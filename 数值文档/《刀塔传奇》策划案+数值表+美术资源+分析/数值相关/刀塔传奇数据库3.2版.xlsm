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375" windowWidth="20175" windowHeight="7500"/>
  </bookViews>
  <sheets>
    <sheet name="单英雄" sheetId="1" r:id="rId1"/>
    <sheet name="英雄对比" sheetId="16" r:id="rId2"/>
    <sheet name="中介表格1" sheetId="13" state="hidden" r:id="rId3"/>
    <sheet name="中介表格2" sheetId="17" state="hidden" r:id="rId4"/>
    <sheet name="中介表格3" sheetId="18" state="hidden" r:id="rId5"/>
    <sheet name="装备属性" sheetId="2" state="hidden" r:id="rId6"/>
    <sheet name="装备附魔" sheetId="5" state="hidden" r:id="rId7"/>
    <sheet name="英雄装备" sheetId="8" state="hidden" r:id="rId8"/>
    <sheet name="英雄初始" sheetId="7" state="hidden" r:id="rId9"/>
    <sheet name="英雄成长" sheetId="3" state="hidden" r:id="rId10"/>
    <sheet name="进阶奖励" sheetId="12" state="hidden" r:id="rId11"/>
    <sheet name="数据网址" sheetId="4" state="hidden" r:id="rId12"/>
    <sheet name="我需要您！" sheetId="14" r:id="rId13"/>
    <sheet name="待改进项" sheetId="15" state="hidden" r:id="rId14"/>
  </sheets>
  <definedNames>
    <definedName name="_xlnm._FilterDatabase" localSheetId="10" hidden="1">进阶奖励!$A$1:$N$1</definedName>
    <definedName name="_xlnm._FilterDatabase" localSheetId="9" hidden="1">英雄成长!$A$1:$R$1</definedName>
    <definedName name="_xlnm._FilterDatabase" localSheetId="8" hidden="1">英雄初始!$A$1:$U$1</definedName>
    <definedName name="_xlnm._FilterDatabase" localSheetId="7" hidden="1">英雄装备!$F$2:$F$47</definedName>
    <definedName name="_xlnm._FilterDatabase" localSheetId="6" hidden="1">装备附魔!$A$1:$W$129</definedName>
    <definedName name="_xlnm._FilterDatabase" localSheetId="5" hidden="1">装备属性!$A$1:$W$1</definedName>
    <definedName name="_xlnm.Print_Area" localSheetId="0">单英雄!$A$1:$Q$17</definedName>
    <definedName name="_xlnm.Print_Area" localSheetId="1">英雄对比!$A$1:$R$17</definedName>
  </definedNames>
  <calcPr calcId="124519"/>
</workbook>
</file>

<file path=xl/calcChain.xml><?xml version="1.0" encoding="utf-8"?>
<calcChain xmlns="http://schemas.openxmlformats.org/spreadsheetml/2006/main">
  <c r="I53" i="18"/>
  <c r="J53"/>
  <c r="K53"/>
  <c r="L53"/>
  <c r="M53"/>
  <c r="N53"/>
  <c r="O53"/>
  <c r="P53"/>
  <c r="Q53"/>
  <c r="R53"/>
  <c r="S53"/>
  <c r="T53"/>
  <c r="I53" i="17"/>
  <c r="J53"/>
  <c r="K53"/>
  <c r="L53"/>
  <c r="M53"/>
  <c r="N53"/>
  <c r="O53"/>
  <c r="P53"/>
  <c r="Q53"/>
  <c r="R53"/>
  <c r="S53"/>
  <c r="T53"/>
  <c r="I53" i="13"/>
  <c r="J53"/>
  <c r="K53"/>
  <c r="L53"/>
  <c r="M53"/>
  <c r="N53"/>
  <c r="O53"/>
  <c r="P53"/>
  <c r="Q53"/>
  <c r="R53"/>
  <c r="S53"/>
  <c r="T53"/>
  <c r="V70" i="18"/>
  <c r="V70" i="17"/>
  <c r="V70" i="13"/>
  <c r="N2" i="16"/>
  <c r="N3"/>
  <c r="AF131" i="18"/>
  <c r="AE131"/>
  <c r="AF130"/>
  <c r="AE130"/>
  <c r="AF129"/>
  <c r="AE129"/>
  <c r="AF128"/>
  <c r="AE128"/>
  <c r="AF124"/>
  <c r="AF123"/>
  <c r="AF122"/>
  <c r="AF121"/>
  <c r="AF120"/>
  <c r="AF119"/>
  <c r="AE116"/>
  <c r="AE115"/>
  <c r="AE114"/>
  <c r="AE113"/>
  <c r="AE112"/>
  <c r="AE111"/>
  <c r="D27"/>
  <c r="N6" i="16" s="1"/>
  <c r="D26" i="18"/>
  <c r="N5" i="16" s="1"/>
  <c r="D25" i="18"/>
  <c r="N4" i="16" s="1"/>
  <c r="AN19" i="18"/>
  <c r="AM19"/>
  <c r="AL19"/>
  <c r="AK19"/>
  <c r="AJ19"/>
  <c r="AI19"/>
  <c r="AB12"/>
  <c r="AB25" s="1"/>
  <c r="AA12"/>
  <c r="AA25" s="1"/>
  <c r="Z12"/>
  <c r="Z25" s="1"/>
  <c r="Y12"/>
  <c r="Y25" s="1"/>
  <c r="X12"/>
  <c r="X25" s="1"/>
  <c r="AC11"/>
  <c r="AC24" s="1"/>
  <c r="AB11"/>
  <c r="AB24" s="1"/>
  <c r="AA11"/>
  <c r="AA24" s="1"/>
  <c r="Z11"/>
  <c r="Z24" s="1"/>
  <c r="Y11"/>
  <c r="Y24" s="1"/>
  <c r="X11"/>
  <c r="X24" s="1"/>
  <c r="AC10"/>
  <c r="AC23" s="1"/>
  <c r="AB10"/>
  <c r="AB23" s="1"/>
  <c r="AA10"/>
  <c r="AA23" s="1"/>
  <c r="Z10"/>
  <c r="Z23" s="1"/>
  <c r="Y10"/>
  <c r="Y23" s="1"/>
  <c r="X10"/>
  <c r="X23" s="1"/>
  <c r="AF9"/>
  <c r="AC9"/>
  <c r="AC22" s="1"/>
  <c r="AB9"/>
  <c r="AB22" s="1"/>
  <c r="AA9"/>
  <c r="AA22" s="1"/>
  <c r="Z9"/>
  <c r="Z22" s="1"/>
  <c r="Y9"/>
  <c r="Y22" s="1"/>
  <c r="X9"/>
  <c r="X22" s="1"/>
  <c r="AF8"/>
  <c r="AC8"/>
  <c r="AC21" s="1"/>
  <c r="AB8"/>
  <c r="AB21" s="1"/>
  <c r="AA8"/>
  <c r="AA21" s="1"/>
  <c r="Z8"/>
  <c r="Z21" s="1"/>
  <c r="Y8"/>
  <c r="Y21" s="1"/>
  <c r="X8"/>
  <c r="X21" s="1"/>
  <c r="AF7"/>
  <c r="AC7"/>
  <c r="AC20" s="1"/>
  <c r="AB7"/>
  <c r="AB20" s="1"/>
  <c r="AA7"/>
  <c r="AA20" s="1"/>
  <c r="Z7"/>
  <c r="Z20" s="1"/>
  <c r="Y7"/>
  <c r="Y20" s="1"/>
  <c r="X7"/>
  <c r="X20" s="1"/>
  <c r="E7"/>
  <c r="AC6"/>
  <c r="AC19" s="1"/>
  <c r="AB6"/>
  <c r="AB19" s="1"/>
  <c r="AA6"/>
  <c r="AA19" s="1"/>
  <c r="Z6"/>
  <c r="Z19" s="1"/>
  <c r="Y6"/>
  <c r="Y19" s="1"/>
  <c r="X6"/>
  <c r="X19" s="1"/>
  <c r="AC5"/>
  <c r="AC18" s="1"/>
  <c r="AB5"/>
  <c r="AB18" s="1"/>
  <c r="AA5"/>
  <c r="AA18" s="1"/>
  <c r="Z5"/>
  <c r="Z18" s="1"/>
  <c r="Y5"/>
  <c r="Y18" s="1"/>
  <c r="X5"/>
  <c r="X18" s="1"/>
  <c r="AC4"/>
  <c r="AC17" s="1"/>
  <c r="AB4"/>
  <c r="AB17" s="1"/>
  <c r="AA4"/>
  <c r="AA17" s="1"/>
  <c r="Z4"/>
  <c r="Z17" s="1"/>
  <c r="Y4"/>
  <c r="Y17" s="1"/>
  <c r="X4"/>
  <c r="X17" s="1"/>
  <c r="AC3"/>
  <c r="AC16" s="1"/>
  <c r="AB3"/>
  <c r="AB16" s="1"/>
  <c r="AA3"/>
  <c r="AA16" s="1"/>
  <c r="Z3"/>
  <c r="Z16" s="1"/>
  <c r="Y3"/>
  <c r="Y16" s="1"/>
  <c r="X3"/>
  <c r="X16" s="1"/>
  <c r="AC2"/>
  <c r="AC15" s="1"/>
  <c r="AB2"/>
  <c r="AB15" s="1"/>
  <c r="AA2"/>
  <c r="AA15" s="1"/>
  <c r="Z2"/>
  <c r="Z15" s="1"/>
  <c r="Y2"/>
  <c r="Y15" s="1"/>
  <c r="X2"/>
  <c r="X15" s="1"/>
  <c r="AC1"/>
  <c r="AC14" s="1"/>
  <c r="AB1"/>
  <c r="AB14" s="1"/>
  <c r="AA1"/>
  <c r="AA14" s="1"/>
  <c r="Z1"/>
  <c r="Z14" s="1"/>
  <c r="Y1"/>
  <c r="Y14" s="1"/>
  <c r="X1"/>
  <c r="X14" s="1"/>
  <c r="AF131" i="17"/>
  <c r="AE131"/>
  <c r="AF130"/>
  <c r="AE130"/>
  <c r="AF129"/>
  <c r="AE129"/>
  <c r="AF128"/>
  <c r="AE128"/>
  <c r="AF124"/>
  <c r="AF123"/>
  <c r="AF122"/>
  <c r="AF121"/>
  <c r="AF120"/>
  <c r="AF119"/>
  <c r="AE116"/>
  <c r="AE115"/>
  <c r="AE114"/>
  <c r="AE113"/>
  <c r="AE112"/>
  <c r="AE111"/>
  <c r="D27"/>
  <c r="M6" i="16" s="1"/>
  <c r="D26" i="17"/>
  <c r="M5" i="16" s="1"/>
  <c r="D25" i="17"/>
  <c r="M4" i="16" s="1"/>
  <c r="AN19" i="17"/>
  <c r="AM19"/>
  <c r="AL19"/>
  <c r="AK19"/>
  <c r="AJ19"/>
  <c r="AI19"/>
  <c r="AB12"/>
  <c r="AB25" s="1"/>
  <c r="AA12"/>
  <c r="AA25" s="1"/>
  <c r="Z12"/>
  <c r="Z25" s="1"/>
  <c r="Y12"/>
  <c r="Y25" s="1"/>
  <c r="X12"/>
  <c r="X25" s="1"/>
  <c r="AC11"/>
  <c r="AC24" s="1"/>
  <c r="AB11"/>
  <c r="AB24" s="1"/>
  <c r="AA11"/>
  <c r="AA24" s="1"/>
  <c r="Z11"/>
  <c r="Z24" s="1"/>
  <c r="Y11"/>
  <c r="Y24" s="1"/>
  <c r="X11"/>
  <c r="X24" s="1"/>
  <c r="AC10"/>
  <c r="AC23" s="1"/>
  <c r="AB10"/>
  <c r="AB23" s="1"/>
  <c r="AA10"/>
  <c r="AA23" s="1"/>
  <c r="Z10"/>
  <c r="Z23" s="1"/>
  <c r="Y10"/>
  <c r="Y23" s="1"/>
  <c r="X10"/>
  <c r="X23" s="1"/>
  <c r="AF9"/>
  <c r="AC9"/>
  <c r="AC22" s="1"/>
  <c r="AB9"/>
  <c r="AB22" s="1"/>
  <c r="AA9"/>
  <c r="AA22" s="1"/>
  <c r="Z9"/>
  <c r="Z22" s="1"/>
  <c r="Y9"/>
  <c r="Y22" s="1"/>
  <c r="X9"/>
  <c r="X22" s="1"/>
  <c r="AF8"/>
  <c r="AC8"/>
  <c r="AC21" s="1"/>
  <c r="AB8"/>
  <c r="AB21" s="1"/>
  <c r="AA8"/>
  <c r="AA21" s="1"/>
  <c r="Z8"/>
  <c r="Z21" s="1"/>
  <c r="Y8"/>
  <c r="Y21" s="1"/>
  <c r="X8"/>
  <c r="X21" s="1"/>
  <c r="AF7"/>
  <c r="AC7"/>
  <c r="AC20" s="1"/>
  <c r="AB7"/>
  <c r="AB20" s="1"/>
  <c r="AA7"/>
  <c r="AA20" s="1"/>
  <c r="Z7"/>
  <c r="Z20" s="1"/>
  <c r="Y7"/>
  <c r="Y20" s="1"/>
  <c r="X7"/>
  <c r="X20" s="1"/>
  <c r="E7"/>
  <c r="AC6"/>
  <c r="AC19" s="1"/>
  <c r="AB6"/>
  <c r="AB19" s="1"/>
  <c r="AA6"/>
  <c r="AA19" s="1"/>
  <c r="Z6"/>
  <c r="Z19" s="1"/>
  <c r="Y6"/>
  <c r="Y19" s="1"/>
  <c r="X6"/>
  <c r="X19" s="1"/>
  <c r="AC5"/>
  <c r="AC18" s="1"/>
  <c r="AB5"/>
  <c r="AB18" s="1"/>
  <c r="AA5"/>
  <c r="AA18" s="1"/>
  <c r="Z5"/>
  <c r="Z18" s="1"/>
  <c r="Y5"/>
  <c r="Y18" s="1"/>
  <c r="X5"/>
  <c r="X18" s="1"/>
  <c r="AC4"/>
  <c r="AC17" s="1"/>
  <c r="AB4"/>
  <c r="AB17" s="1"/>
  <c r="AA4"/>
  <c r="AA17" s="1"/>
  <c r="Z4"/>
  <c r="Z17" s="1"/>
  <c r="Y4"/>
  <c r="Y17" s="1"/>
  <c r="X4"/>
  <c r="X17" s="1"/>
  <c r="AC3"/>
  <c r="AC16" s="1"/>
  <c r="AB3"/>
  <c r="AB16" s="1"/>
  <c r="AA3"/>
  <c r="AA16" s="1"/>
  <c r="Z3"/>
  <c r="Z16" s="1"/>
  <c r="Y3"/>
  <c r="Y16" s="1"/>
  <c r="X3"/>
  <c r="X16" s="1"/>
  <c r="AC2"/>
  <c r="AC15" s="1"/>
  <c r="AB2"/>
  <c r="AB15" s="1"/>
  <c r="AA2"/>
  <c r="AA15" s="1"/>
  <c r="Z2"/>
  <c r="Z15" s="1"/>
  <c r="Y2"/>
  <c r="Y15" s="1"/>
  <c r="X2"/>
  <c r="X15" s="1"/>
  <c r="AC1"/>
  <c r="AC14" s="1"/>
  <c r="AB1"/>
  <c r="AB14" s="1"/>
  <c r="AA1"/>
  <c r="AA14" s="1"/>
  <c r="Z1"/>
  <c r="Z14" s="1"/>
  <c r="Y1"/>
  <c r="Y14" s="1"/>
  <c r="X1"/>
  <c r="X14" s="1"/>
  <c r="T52" i="18"/>
  <c r="S52"/>
  <c r="R52"/>
  <c r="Q52"/>
  <c r="P52"/>
  <c r="O52"/>
  <c r="N52"/>
  <c r="M52"/>
  <c r="L52"/>
  <c r="K52"/>
  <c r="J52"/>
  <c r="I52"/>
  <c r="T51"/>
  <c r="S51"/>
  <c r="R51"/>
  <c r="Q51"/>
  <c r="P51"/>
  <c r="O51"/>
  <c r="N51"/>
  <c r="M51"/>
  <c r="L51"/>
  <c r="K51"/>
  <c r="J51"/>
  <c r="I51"/>
  <c r="T50"/>
  <c r="S50"/>
  <c r="R50"/>
  <c r="Q50"/>
  <c r="P50"/>
  <c r="O50"/>
  <c r="N50"/>
  <c r="M50"/>
  <c r="L50"/>
  <c r="K50"/>
  <c r="J50"/>
  <c r="I50"/>
  <c r="T49"/>
  <c r="S49"/>
  <c r="R49"/>
  <c r="Q49"/>
  <c r="P49"/>
  <c r="O49"/>
  <c r="N49"/>
  <c r="M49"/>
  <c r="L49"/>
  <c r="K49"/>
  <c r="J49"/>
  <c r="I49"/>
  <c r="T48"/>
  <c r="S48"/>
  <c r="R48"/>
  <c r="Q48"/>
  <c r="P48"/>
  <c r="O48"/>
  <c r="N48"/>
  <c r="M48"/>
  <c r="L48"/>
  <c r="K48"/>
  <c r="J48"/>
  <c r="I48"/>
  <c r="T47"/>
  <c r="S47"/>
  <c r="R47"/>
  <c r="Q47"/>
  <c r="P47"/>
  <c r="O47"/>
  <c r="N47"/>
  <c r="M47"/>
  <c r="L47"/>
  <c r="K47"/>
  <c r="J47"/>
  <c r="I47"/>
  <c r="T46"/>
  <c r="S46"/>
  <c r="R46"/>
  <c r="Q46"/>
  <c r="P46"/>
  <c r="O46"/>
  <c r="N46"/>
  <c r="M46"/>
  <c r="L46"/>
  <c r="K46"/>
  <c r="J46"/>
  <c r="I46"/>
  <c r="B46"/>
  <c r="T45"/>
  <c r="S45"/>
  <c r="R45"/>
  <c r="Q45"/>
  <c r="P45"/>
  <c r="O45"/>
  <c r="N45"/>
  <c r="M45"/>
  <c r="L45"/>
  <c r="K45"/>
  <c r="J45"/>
  <c r="I45"/>
  <c r="B45"/>
  <c r="T44"/>
  <c r="S44"/>
  <c r="R44"/>
  <c r="Q44"/>
  <c r="P44"/>
  <c r="O44"/>
  <c r="N44"/>
  <c r="M44"/>
  <c r="L44"/>
  <c r="K44"/>
  <c r="J44"/>
  <c r="I44"/>
  <c r="B44"/>
  <c r="T43"/>
  <c r="S43"/>
  <c r="R43"/>
  <c r="Q43"/>
  <c r="P43"/>
  <c r="O43"/>
  <c r="N43"/>
  <c r="M43"/>
  <c r="L43"/>
  <c r="K43"/>
  <c r="J43"/>
  <c r="I43"/>
  <c r="B43"/>
  <c r="T42"/>
  <c r="S42"/>
  <c r="R42"/>
  <c r="Q42"/>
  <c r="P42"/>
  <c r="O42"/>
  <c r="N42"/>
  <c r="M42"/>
  <c r="L42"/>
  <c r="K42"/>
  <c r="J42"/>
  <c r="I42"/>
  <c r="B42"/>
  <c r="T41"/>
  <c r="S41"/>
  <c r="R41"/>
  <c r="Q41"/>
  <c r="P41"/>
  <c r="O41"/>
  <c r="N41"/>
  <c r="M41"/>
  <c r="L41"/>
  <c r="K41"/>
  <c r="J41"/>
  <c r="I41"/>
  <c r="B41"/>
  <c r="T40"/>
  <c r="S40"/>
  <c r="R40"/>
  <c r="Q40"/>
  <c r="P40"/>
  <c r="O40"/>
  <c r="N40"/>
  <c r="M40"/>
  <c r="L40"/>
  <c r="K40"/>
  <c r="J40"/>
  <c r="I40"/>
  <c r="B40"/>
  <c r="T39"/>
  <c r="S39"/>
  <c r="R39"/>
  <c r="Q39"/>
  <c r="P39"/>
  <c r="O39"/>
  <c r="N39"/>
  <c r="M39"/>
  <c r="L39"/>
  <c r="K39"/>
  <c r="J39"/>
  <c r="I39"/>
  <c r="B39"/>
  <c r="T38"/>
  <c r="S38"/>
  <c r="R38"/>
  <c r="Q38"/>
  <c r="P38"/>
  <c r="O38"/>
  <c r="N38"/>
  <c r="M38"/>
  <c r="L38"/>
  <c r="K38"/>
  <c r="J38"/>
  <c r="I38"/>
  <c r="B38"/>
  <c r="T37"/>
  <c r="S37"/>
  <c r="R37"/>
  <c r="Q37"/>
  <c r="P37"/>
  <c r="O37"/>
  <c r="N37"/>
  <c r="M37"/>
  <c r="L37"/>
  <c r="K37"/>
  <c r="J37"/>
  <c r="I37"/>
  <c r="B37"/>
  <c r="T36"/>
  <c r="S36"/>
  <c r="R36"/>
  <c r="Q36"/>
  <c r="P36"/>
  <c r="O36"/>
  <c r="N36"/>
  <c r="M36"/>
  <c r="L36"/>
  <c r="K36"/>
  <c r="J36"/>
  <c r="I36"/>
  <c r="B36"/>
  <c r="T35"/>
  <c r="S35"/>
  <c r="R35"/>
  <c r="Q35"/>
  <c r="P35"/>
  <c r="O35"/>
  <c r="N35"/>
  <c r="M35"/>
  <c r="L35"/>
  <c r="K35"/>
  <c r="J35"/>
  <c r="I35"/>
  <c r="B35"/>
  <c r="T34"/>
  <c r="S34"/>
  <c r="R34"/>
  <c r="Q34"/>
  <c r="P34"/>
  <c r="O34"/>
  <c r="N34"/>
  <c r="M34"/>
  <c r="L34"/>
  <c r="K34"/>
  <c r="J34"/>
  <c r="I34"/>
  <c r="B34"/>
  <c r="T33"/>
  <c r="S33"/>
  <c r="R33"/>
  <c r="Q33"/>
  <c r="P33"/>
  <c r="O33"/>
  <c r="N33"/>
  <c r="M33"/>
  <c r="L33"/>
  <c r="K33"/>
  <c r="J33"/>
  <c r="I33"/>
  <c r="B33"/>
  <c r="T32"/>
  <c r="S32"/>
  <c r="R32"/>
  <c r="Q32"/>
  <c r="P32"/>
  <c r="O32"/>
  <c r="N32"/>
  <c r="M32"/>
  <c r="L32"/>
  <c r="K32"/>
  <c r="J32"/>
  <c r="I32"/>
  <c r="B32"/>
  <c r="T31"/>
  <c r="S31"/>
  <c r="R31"/>
  <c r="Q31"/>
  <c r="P31"/>
  <c r="O31"/>
  <c r="N31"/>
  <c r="M31"/>
  <c r="L31"/>
  <c r="K31"/>
  <c r="J31"/>
  <c r="I31"/>
  <c r="B31"/>
  <c r="T30"/>
  <c r="S30"/>
  <c r="R30"/>
  <c r="Q30"/>
  <c r="P30"/>
  <c r="O30"/>
  <c r="N30"/>
  <c r="M30"/>
  <c r="L30"/>
  <c r="K30"/>
  <c r="J30"/>
  <c r="I30"/>
  <c r="B30"/>
  <c r="T29"/>
  <c r="S29"/>
  <c r="R29"/>
  <c r="Q29"/>
  <c r="P29"/>
  <c r="O29"/>
  <c r="N29"/>
  <c r="M29"/>
  <c r="L29"/>
  <c r="K29"/>
  <c r="J29"/>
  <c r="I29"/>
  <c r="B29"/>
  <c r="T28"/>
  <c r="S28"/>
  <c r="R28"/>
  <c r="Q28"/>
  <c r="P28"/>
  <c r="O28"/>
  <c r="N28"/>
  <c r="M28"/>
  <c r="L28"/>
  <c r="K28"/>
  <c r="J28"/>
  <c r="I28"/>
  <c r="B28"/>
  <c r="T27"/>
  <c r="S27"/>
  <c r="R27"/>
  <c r="Q27"/>
  <c r="P27"/>
  <c r="O27"/>
  <c r="N27"/>
  <c r="M27"/>
  <c r="L27"/>
  <c r="K27"/>
  <c r="J27"/>
  <c r="I27"/>
  <c r="B27"/>
  <c r="T26"/>
  <c r="S26"/>
  <c r="R26"/>
  <c r="Q26"/>
  <c r="P26"/>
  <c r="O26"/>
  <c r="N26"/>
  <c r="M26"/>
  <c r="L26"/>
  <c r="K26"/>
  <c r="J26"/>
  <c r="I26"/>
  <c r="B26"/>
  <c r="T25"/>
  <c r="S25"/>
  <c r="R25"/>
  <c r="Q25"/>
  <c r="P25"/>
  <c r="O25"/>
  <c r="N25"/>
  <c r="M25"/>
  <c r="L25"/>
  <c r="K25"/>
  <c r="J25"/>
  <c r="I25"/>
  <c r="B25"/>
  <c r="T24"/>
  <c r="S24"/>
  <c r="R24"/>
  <c r="Q24"/>
  <c r="P24"/>
  <c r="O24"/>
  <c r="N24"/>
  <c r="M24"/>
  <c r="L24"/>
  <c r="K24"/>
  <c r="J24"/>
  <c r="I24"/>
  <c r="B24"/>
  <c r="T23"/>
  <c r="S23"/>
  <c r="R23"/>
  <c r="Q23"/>
  <c r="P23"/>
  <c r="O23"/>
  <c r="N23"/>
  <c r="M23"/>
  <c r="L23"/>
  <c r="K23"/>
  <c r="J23"/>
  <c r="I23"/>
  <c r="B23"/>
  <c r="T22"/>
  <c r="S22"/>
  <c r="R22"/>
  <c r="Q22"/>
  <c r="P22"/>
  <c r="O22"/>
  <c r="N22"/>
  <c r="M22"/>
  <c r="L22"/>
  <c r="K22"/>
  <c r="J22"/>
  <c r="I22"/>
  <c r="E22"/>
  <c r="B22"/>
  <c r="T21"/>
  <c r="S21"/>
  <c r="R21"/>
  <c r="Q21"/>
  <c r="P21"/>
  <c r="O21"/>
  <c r="N21"/>
  <c r="M21"/>
  <c r="L21"/>
  <c r="K21"/>
  <c r="J21"/>
  <c r="I21"/>
  <c r="E21"/>
  <c r="B21"/>
  <c r="T20"/>
  <c r="S20"/>
  <c r="R20"/>
  <c r="Q20"/>
  <c r="P20"/>
  <c r="O20"/>
  <c r="N20"/>
  <c r="M20"/>
  <c r="L20"/>
  <c r="K20"/>
  <c r="J20"/>
  <c r="I20"/>
  <c r="E20"/>
  <c r="B20"/>
  <c r="T19"/>
  <c r="S19"/>
  <c r="R19"/>
  <c r="Q19"/>
  <c r="P19"/>
  <c r="O19"/>
  <c r="N19"/>
  <c r="M19"/>
  <c r="L19"/>
  <c r="K19"/>
  <c r="J19"/>
  <c r="I19"/>
  <c r="E19"/>
  <c r="B19"/>
  <c r="T18"/>
  <c r="S18"/>
  <c r="R18"/>
  <c r="Q18"/>
  <c r="P18"/>
  <c r="O18"/>
  <c r="N18"/>
  <c r="M18"/>
  <c r="L18"/>
  <c r="K18"/>
  <c r="J18"/>
  <c r="I18"/>
  <c r="E18"/>
  <c r="B18"/>
  <c r="T17"/>
  <c r="S17"/>
  <c r="R17"/>
  <c r="Q17"/>
  <c r="P17"/>
  <c r="O17"/>
  <c r="N17"/>
  <c r="M17"/>
  <c r="L17"/>
  <c r="K17"/>
  <c r="J17"/>
  <c r="I17"/>
  <c r="E17"/>
  <c r="B17"/>
  <c r="T16"/>
  <c r="S16"/>
  <c r="R16"/>
  <c r="Q16"/>
  <c r="P16"/>
  <c r="O16"/>
  <c r="N16"/>
  <c r="M16"/>
  <c r="L16"/>
  <c r="K16"/>
  <c r="J16"/>
  <c r="I16"/>
  <c r="E16"/>
  <c r="B16"/>
  <c r="T15"/>
  <c r="S15"/>
  <c r="R15"/>
  <c r="Q15"/>
  <c r="P15"/>
  <c r="O15"/>
  <c r="N15"/>
  <c r="M15"/>
  <c r="L15"/>
  <c r="K15"/>
  <c r="J15"/>
  <c r="I15"/>
  <c r="E15"/>
  <c r="B15"/>
  <c r="T14"/>
  <c r="S14"/>
  <c r="R14"/>
  <c r="Q14"/>
  <c r="P14"/>
  <c r="O14"/>
  <c r="N14"/>
  <c r="M14"/>
  <c r="L14"/>
  <c r="K14"/>
  <c r="J14"/>
  <c r="I14"/>
  <c r="E14"/>
  <c r="B14"/>
  <c r="T13"/>
  <c r="S13"/>
  <c r="R13"/>
  <c r="Q13"/>
  <c r="P13"/>
  <c r="O13"/>
  <c r="N13"/>
  <c r="M13"/>
  <c r="L13"/>
  <c r="K13"/>
  <c r="J13"/>
  <c r="I13"/>
  <c r="E13"/>
  <c r="B13"/>
  <c r="T12"/>
  <c r="S12"/>
  <c r="R12"/>
  <c r="Q12"/>
  <c r="P12"/>
  <c r="O12"/>
  <c r="N12"/>
  <c r="M12"/>
  <c r="L12"/>
  <c r="K12"/>
  <c r="J12"/>
  <c r="I12"/>
  <c r="E12"/>
  <c r="B12"/>
  <c r="T11"/>
  <c r="S11"/>
  <c r="R11"/>
  <c r="Q11"/>
  <c r="P11"/>
  <c r="O11"/>
  <c r="N11"/>
  <c r="M11"/>
  <c r="L11"/>
  <c r="K11"/>
  <c r="J11"/>
  <c r="I11"/>
  <c r="E11"/>
  <c r="B11"/>
  <c r="T10"/>
  <c r="S10"/>
  <c r="R10"/>
  <c r="Q10"/>
  <c r="P10"/>
  <c r="O10"/>
  <c r="N10"/>
  <c r="M10"/>
  <c r="L10"/>
  <c r="K10"/>
  <c r="J10"/>
  <c r="I10"/>
  <c r="B10"/>
  <c r="T9"/>
  <c r="S9"/>
  <c r="R9"/>
  <c r="Q9"/>
  <c r="P9"/>
  <c r="O9"/>
  <c r="N9"/>
  <c r="M9"/>
  <c r="L9"/>
  <c r="K9"/>
  <c r="J9"/>
  <c r="I9"/>
  <c r="B9"/>
  <c r="T8"/>
  <c r="S8"/>
  <c r="R8"/>
  <c r="Q8"/>
  <c r="P8"/>
  <c r="O8"/>
  <c r="N8"/>
  <c r="M8"/>
  <c r="L8"/>
  <c r="K8"/>
  <c r="J8"/>
  <c r="I8"/>
  <c r="B8"/>
  <c r="T7"/>
  <c r="S7"/>
  <c r="R7"/>
  <c r="Q7"/>
  <c r="P7"/>
  <c r="O7"/>
  <c r="N7"/>
  <c r="M7"/>
  <c r="L7"/>
  <c r="K7"/>
  <c r="J7"/>
  <c r="I7"/>
  <c r="B7"/>
  <c r="T6"/>
  <c r="S6"/>
  <c r="R6"/>
  <c r="Q6"/>
  <c r="P6"/>
  <c r="O6"/>
  <c r="N6"/>
  <c r="M6"/>
  <c r="L6"/>
  <c r="K6"/>
  <c r="J6"/>
  <c r="I6"/>
  <c r="B6"/>
  <c r="T5"/>
  <c r="S5"/>
  <c r="R5"/>
  <c r="Q5"/>
  <c r="P5"/>
  <c r="O5"/>
  <c r="N5"/>
  <c r="M5"/>
  <c r="L5"/>
  <c r="K5"/>
  <c r="J5"/>
  <c r="I5"/>
  <c r="B5"/>
  <c r="T4"/>
  <c r="S4"/>
  <c r="R4"/>
  <c r="Q4"/>
  <c r="P4"/>
  <c r="O4"/>
  <c r="N4"/>
  <c r="M4"/>
  <c r="L4"/>
  <c r="K4"/>
  <c r="J4"/>
  <c r="I4"/>
  <c r="B4"/>
  <c r="T3"/>
  <c r="S3"/>
  <c r="R3"/>
  <c r="Q3"/>
  <c r="P3"/>
  <c r="O3"/>
  <c r="N3"/>
  <c r="M3"/>
  <c r="L3"/>
  <c r="K3"/>
  <c r="J3"/>
  <c r="I3"/>
  <c r="B3"/>
  <c r="B2"/>
  <c r="AG27"/>
  <c r="B1"/>
  <c r="T52" i="17"/>
  <c r="S52"/>
  <c r="R52"/>
  <c r="Q52"/>
  <c r="P52"/>
  <c r="O52"/>
  <c r="N52"/>
  <c r="M52"/>
  <c r="L52"/>
  <c r="K52"/>
  <c r="J52"/>
  <c r="I52"/>
  <c r="T51"/>
  <c r="S51"/>
  <c r="R51"/>
  <c r="Q51"/>
  <c r="P51"/>
  <c r="O51"/>
  <c r="N51"/>
  <c r="M51"/>
  <c r="L51"/>
  <c r="K51"/>
  <c r="J51"/>
  <c r="I51"/>
  <c r="T50"/>
  <c r="S50"/>
  <c r="R50"/>
  <c r="Q50"/>
  <c r="P50"/>
  <c r="O50"/>
  <c r="N50"/>
  <c r="M50"/>
  <c r="L50"/>
  <c r="K50"/>
  <c r="J50"/>
  <c r="I50"/>
  <c r="T49"/>
  <c r="S49"/>
  <c r="R49"/>
  <c r="Q49"/>
  <c r="P49"/>
  <c r="O49"/>
  <c r="N49"/>
  <c r="M49"/>
  <c r="L49"/>
  <c r="K49"/>
  <c r="J49"/>
  <c r="I49"/>
  <c r="T48"/>
  <c r="S48"/>
  <c r="R48"/>
  <c r="Q48"/>
  <c r="P48"/>
  <c r="O48"/>
  <c r="N48"/>
  <c r="M48"/>
  <c r="L48"/>
  <c r="K48"/>
  <c r="J48"/>
  <c r="I48"/>
  <c r="T47"/>
  <c r="S47"/>
  <c r="R47"/>
  <c r="Q47"/>
  <c r="P47"/>
  <c r="O47"/>
  <c r="N47"/>
  <c r="M47"/>
  <c r="L47"/>
  <c r="K47"/>
  <c r="J47"/>
  <c r="I47"/>
  <c r="T46"/>
  <c r="S46"/>
  <c r="R46"/>
  <c r="Q46"/>
  <c r="P46"/>
  <c r="O46"/>
  <c r="N46"/>
  <c r="M46"/>
  <c r="L46"/>
  <c r="K46"/>
  <c r="J46"/>
  <c r="I46"/>
  <c r="B46"/>
  <c r="T45"/>
  <c r="S45"/>
  <c r="R45"/>
  <c r="Q45"/>
  <c r="P45"/>
  <c r="O45"/>
  <c r="N45"/>
  <c r="M45"/>
  <c r="L45"/>
  <c r="K45"/>
  <c r="J45"/>
  <c r="I45"/>
  <c r="B45"/>
  <c r="T44"/>
  <c r="S44"/>
  <c r="R44"/>
  <c r="Q44"/>
  <c r="P44"/>
  <c r="O44"/>
  <c r="N44"/>
  <c r="M44"/>
  <c r="L44"/>
  <c r="K44"/>
  <c r="J44"/>
  <c r="I44"/>
  <c r="B44"/>
  <c r="T43"/>
  <c r="S43"/>
  <c r="R43"/>
  <c r="Q43"/>
  <c r="P43"/>
  <c r="O43"/>
  <c r="N43"/>
  <c r="M43"/>
  <c r="L43"/>
  <c r="K43"/>
  <c r="J43"/>
  <c r="I43"/>
  <c r="B43"/>
  <c r="T42"/>
  <c r="S42"/>
  <c r="R42"/>
  <c r="Q42"/>
  <c r="P42"/>
  <c r="O42"/>
  <c r="N42"/>
  <c r="M42"/>
  <c r="L42"/>
  <c r="K42"/>
  <c r="J42"/>
  <c r="I42"/>
  <c r="B42"/>
  <c r="T41"/>
  <c r="S41"/>
  <c r="R41"/>
  <c r="Q41"/>
  <c r="P41"/>
  <c r="O41"/>
  <c r="N41"/>
  <c r="M41"/>
  <c r="L41"/>
  <c r="K41"/>
  <c r="J41"/>
  <c r="I41"/>
  <c r="B41"/>
  <c r="T40"/>
  <c r="S40"/>
  <c r="R40"/>
  <c r="Q40"/>
  <c r="P40"/>
  <c r="O40"/>
  <c r="N40"/>
  <c r="M40"/>
  <c r="L40"/>
  <c r="K40"/>
  <c r="J40"/>
  <c r="I40"/>
  <c r="B40"/>
  <c r="T39"/>
  <c r="S39"/>
  <c r="R39"/>
  <c r="Q39"/>
  <c r="P39"/>
  <c r="O39"/>
  <c r="N39"/>
  <c r="M39"/>
  <c r="L39"/>
  <c r="K39"/>
  <c r="J39"/>
  <c r="I39"/>
  <c r="B39"/>
  <c r="T38"/>
  <c r="S38"/>
  <c r="R38"/>
  <c r="Q38"/>
  <c r="P38"/>
  <c r="O38"/>
  <c r="N38"/>
  <c r="M38"/>
  <c r="L38"/>
  <c r="K38"/>
  <c r="J38"/>
  <c r="I38"/>
  <c r="B38"/>
  <c r="T37"/>
  <c r="S37"/>
  <c r="R37"/>
  <c r="Q37"/>
  <c r="P37"/>
  <c r="O37"/>
  <c r="N37"/>
  <c r="M37"/>
  <c r="L37"/>
  <c r="K37"/>
  <c r="J37"/>
  <c r="I37"/>
  <c r="B37"/>
  <c r="T36"/>
  <c r="S36"/>
  <c r="R36"/>
  <c r="Q36"/>
  <c r="P36"/>
  <c r="O36"/>
  <c r="N36"/>
  <c r="M36"/>
  <c r="L36"/>
  <c r="K36"/>
  <c r="J36"/>
  <c r="I36"/>
  <c r="B36"/>
  <c r="T35"/>
  <c r="S35"/>
  <c r="R35"/>
  <c r="Q35"/>
  <c r="P35"/>
  <c r="O35"/>
  <c r="N35"/>
  <c r="M35"/>
  <c r="L35"/>
  <c r="K35"/>
  <c r="J35"/>
  <c r="I35"/>
  <c r="B35"/>
  <c r="T34"/>
  <c r="S34"/>
  <c r="R34"/>
  <c r="Q34"/>
  <c r="P34"/>
  <c r="O34"/>
  <c r="N34"/>
  <c r="M34"/>
  <c r="L34"/>
  <c r="K34"/>
  <c r="J34"/>
  <c r="I34"/>
  <c r="B34"/>
  <c r="T33"/>
  <c r="S33"/>
  <c r="R33"/>
  <c r="Q33"/>
  <c r="P33"/>
  <c r="O33"/>
  <c r="N33"/>
  <c r="M33"/>
  <c r="L33"/>
  <c r="K33"/>
  <c r="J33"/>
  <c r="I33"/>
  <c r="B33"/>
  <c r="T32"/>
  <c r="S32"/>
  <c r="R32"/>
  <c r="Q32"/>
  <c r="P32"/>
  <c r="O32"/>
  <c r="N32"/>
  <c r="M32"/>
  <c r="L32"/>
  <c r="K32"/>
  <c r="J32"/>
  <c r="I32"/>
  <c r="B32"/>
  <c r="T31"/>
  <c r="S31"/>
  <c r="R31"/>
  <c r="Q31"/>
  <c r="P31"/>
  <c r="O31"/>
  <c r="N31"/>
  <c r="M31"/>
  <c r="L31"/>
  <c r="K31"/>
  <c r="J31"/>
  <c r="I31"/>
  <c r="B31"/>
  <c r="T30"/>
  <c r="S30"/>
  <c r="R30"/>
  <c r="Q30"/>
  <c r="P30"/>
  <c r="O30"/>
  <c r="N30"/>
  <c r="M30"/>
  <c r="L30"/>
  <c r="K30"/>
  <c r="J30"/>
  <c r="I30"/>
  <c r="B30"/>
  <c r="T29"/>
  <c r="S29"/>
  <c r="R29"/>
  <c r="Q29"/>
  <c r="P29"/>
  <c r="O29"/>
  <c r="N29"/>
  <c r="M29"/>
  <c r="L29"/>
  <c r="K29"/>
  <c r="J29"/>
  <c r="I29"/>
  <c r="B29"/>
  <c r="T28"/>
  <c r="S28"/>
  <c r="R28"/>
  <c r="Q28"/>
  <c r="P28"/>
  <c r="O28"/>
  <c r="N28"/>
  <c r="M28"/>
  <c r="L28"/>
  <c r="K28"/>
  <c r="J28"/>
  <c r="I28"/>
  <c r="B28"/>
  <c r="T27"/>
  <c r="S27"/>
  <c r="R27"/>
  <c r="Q27"/>
  <c r="P27"/>
  <c r="O27"/>
  <c r="N27"/>
  <c r="M27"/>
  <c r="L27"/>
  <c r="K27"/>
  <c r="J27"/>
  <c r="I27"/>
  <c r="B27"/>
  <c r="T26"/>
  <c r="S26"/>
  <c r="R26"/>
  <c r="Q26"/>
  <c r="P26"/>
  <c r="O26"/>
  <c r="N26"/>
  <c r="M26"/>
  <c r="L26"/>
  <c r="K26"/>
  <c r="J26"/>
  <c r="I26"/>
  <c r="B26"/>
  <c r="T25"/>
  <c r="S25"/>
  <c r="R25"/>
  <c r="Q25"/>
  <c r="P25"/>
  <c r="O25"/>
  <c r="N25"/>
  <c r="M25"/>
  <c r="L25"/>
  <c r="K25"/>
  <c r="J25"/>
  <c r="I25"/>
  <c r="B25"/>
  <c r="T24"/>
  <c r="S24"/>
  <c r="R24"/>
  <c r="Q24"/>
  <c r="P24"/>
  <c r="O24"/>
  <c r="N24"/>
  <c r="M24"/>
  <c r="L24"/>
  <c r="K24"/>
  <c r="J24"/>
  <c r="I24"/>
  <c r="B24"/>
  <c r="T23"/>
  <c r="S23"/>
  <c r="R23"/>
  <c r="Q23"/>
  <c r="P23"/>
  <c r="O23"/>
  <c r="N23"/>
  <c r="M23"/>
  <c r="L23"/>
  <c r="K23"/>
  <c r="J23"/>
  <c r="I23"/>
  <c r="B23"/>
  <c r="T22"/>
  <c r="S22"/>
  <c r="R22"/>
  <c r="Q22"/>
  <c r="P22"/>
  <c r="O22"/>
  <c r="N22"/>
  <c r="M22"/>
  <c r="L22"/>
  <c r="K22"/>
  <c r="J22"/>
  <c r="I22"/>
  <c r="E22"/>
  <c r="B22"/>
  <c r="T21"/>
  <c r="S21"/>
  <c r="R21"/>
  <c r="Q21"/>
  <c r="P21"/>
  <c r="O21"/>
  <c r="N21"/>
  <c r="M21"/>
  <c r="L21"/>
  <c r="K21"/>
  <c r="J21"/>
  <c r="I21"/>
  <c r="E21"/>
  <c r="B21"/>
  <c r="T20"/>
  <c r="S20"/>
  <c r="R20"/>
  <c r="Q20"/>
  <c r="P20"/>
  <c r="O20"/>
  <c r="N20"/>
  <c r="M20"/>
  <c r="L20"/>
  <c r="K20"/>
  <c r="J20"/>
  <c r="I20"/>
  <c r="E20"/>
  <c r="B20"/>
  <c r="T19"/>
  <c r="S19"/>
  <c r="R19"/>
  <c r="Q19"/>
  <c r="P19"/>
  <c r="O19"/>
  <c r="N19"/>
  <c r="M19"/>
  <c r="L19"/>
  <c r="K19"/>
  <c r="J19"/>
  <c r="I19"/>
  <c r="E19"/>
  <c r="B19"/>
  <c r="T18"/>
  <c r="S18"/>
  <c r="R18"/>
  <c r="Q18"/>
  <c r="P18"/>
  <c r="O18"/>
  <c r="N18"/>
  <c r="M18"/>
  <c r="L18"/>
  <c r="K18"/>
  <c r="J18"/>
  <c r="I18"/>
  <c r="E18"/>
  <c r="B18"/>
  <c r="T17"/>
  <c r="S17"/>
  <c r="R17"/>
  <c r="Q17"/>
  <c r="P17"/>
  <c r="O17"/>
  <c r="N17"/>
  <c r="M17"/>
  <c r="L17"/>
  <c r="K17"/>
  <c r="J17"/>
  <c r="I17"/>
  <c r="E17"/>
  <c r="B17"/>
  <c r="T16"/>
  <c r="S16"/>
  <c r="R16"/>
  <c r="Q16"/>
  <c r="P16"/>
  <c r="O16"/>
  <c r="N16"/>
  <c r="M16"/>
  <c r="L16"/>
  <c r="K16"/>
  <c r="J16"/>
  <c r="I16"/>
  <c r="E16"/>
  <c r="B16"/>
  <c r="T15"/>
  <c r="S15"/>
  <c r="R15"/>
  <c r="Q15"/>
  <c r="P15"/>
  <c r="O15"/>
  <c r="N15"/>
  <c r="M15"/>
  <c r="L15"/>
  <c r="K15"/>
  <c r="J15"/>
  <c r="I15"/>
  <c r="E15"/>
  <c r="B15"/>
  <c r="T14"/>
  <c r="S14"/>
  <c r="R14"/>
  <c r="Q14"/>
  <c r="P14"/>
  <c r="O14"/>
  <c r="N14"/>
  <c r="M14"/>
  <c r="L14"/>
  <c r="K14"/>
  <c r="J14"/>
  <c r="I14"/>
  <c r="E14"/>
  <c r="B14"/>
  <c r="T13"/>
  <c r="S13"/>
  <c r="R13"/>
  <c r="Q13"/>
  <c r="P13"/>
  <c r="O13"/>
  <c r="N13"/>
  <c r="M13"/>
  <c r="L13"/>
  <c r="K13"/>
  <c r="J13"/>
  <c r="I13"/>
  <c r="E13"/>
  <c r="B13"/>
  <c r="T12"/>
  <c r="S12"/>
  <c r="R12"/>
  <c r="Q12"/>
  <c r="P12"/>
  <c r="O12"/>
  <c r="N12"/>
  <c r="M12"/>
  <c r="L12"/>
  <c r="K12"/>
  <c r="J12"/>
  <c r="I12"/>
  <c r="E12"/>
  <c r="B12"/>
  <c r="T11"/>
  <c r="S11"/>
  <c r="R11"/>
  <c r="Q11"/>
  <c r="P11"/>
  <c r="O11"/>
  <c r="N11"/>
  <c r="M11"/>
  <c r="L11"/>
  <c r="K11"/>
  <c r="J11"/>
  <c r="I11"/>
  <c r="E11"/>
  <c r="B11"/>
  <c r="AG80"/>
  <c r="T10"/>
  <c r="S10"/>
  <c r="R10"/>
  <c r="Q10"/>
  <c r="P10"/>
  <c r="O10"/>
  <c r="N10"/>
  <c r="M10"/>
  <c r="L10"/>
  <c r="K10"/>
  <c r="J10"/>
  <c r="I10"/>
  <c r="B10"/>
  <c r="AG73"/>
  <c r="T9"/>
  <c r="S9"/>
  <c r="R9"/>
  <c r="Q9"/>
  <c r="P9"/>
  <c r="O9"/>
  <c r="N9"/>
  <c r="M9"/>
  <c r="L9"/>
  <c r="K9"/>
  <c r="J9"/>
  <c r="I9"/>
  <c r="B9"/>
  <c r="T8"/>
  <c r="S8"/>
  <c r="R8"/>
  <c r="Q8"/>
  <c r="P8"/>
  <c r="O8"/>
  <c r="N8"/>
  <c r="M8"/>
  <c r="L8"/>
  <c r="K8"/>
  <c r="J8"/>
  <c r="I8"/>
  <c r="B8"/>
  <c r="T7"/>
  <c r="S7"/>
  <c r="R7"/>
  <c r="Q7"/>
  <c r="P7"/>
  <c r="O7"/>
  <c r="N7"/>
  <c r="M7"/>
  <c r="L7"/>
  <c r="K7"/>
  <c r="J7"/>
  <c r="I7"/>
  <c r="B7"/>
  <c r="T6"/>
  <c r="S6"/>
  <c r="R6"/>
  <c r="Q6"/>
  <c r="P6"/>
  <c r="O6"/>
  <c r="N6"/>
  <c r="M6"/>
  <c r="L6"/>
  <c r="K6"/>
  <c r="J6"/>
  <c r="I6"/>
  <c r="B6"/>
  <c r="T5"/>
  <c r="S5"/>
  <c r="R5"/>
  <c r="Q5"/>
  <c r="P5"/>
  <c r="O5"/>
  <c r="N5"/>
  <c r="M5"/>
  <c r="L5"/>
  <c r="K5"/>
  <c r="J5"/>
  <c r="I5"/>
  <c r="B5"/>
  <c r="T4"/>
  <c r="S4"/>
  <c r="R4"/>
  <c r="Q4"/>
  <c r="P4"/>
  <c r="O4"/>
  <c r="N4"/>
  <c r="M4"/>
  <c r="L4"/>
  <c r="K4"/>
  <c r="J4"/>
  <c r="I4"/>
  <c r="B4"/>
  <c r="T3"/>
  <c r="S3"/>
  <c r="R3"/>
  <c r="Q3"/>
  <c r="P3"/>
  <c r="O3"/>
  <c r="N3"/>
  <c r="M3"/>
  <c r="L3"/>
  <c r="K3"/>
  <c r="J3"/>
  <c r="I3"/>
  <c r="B3"/>
  <c r="B2"/>
  <c r="B1"/>
  <c r="M3" i="16"/>
  <c r="M2"/>
  <c r="G14" i="17" l="1"/>
  <c r="G18"/>
  <c r="G22"/>
  <c r="G11" i="18"/>
  <c r="G15"/>
  <c r="G19"/>
  <c r="G13" i="17"/>
  <c r="G17"/>
  <c r="G21"/>
  <c r="G14" i="18"/>
  <c r="G18"/>
  <c r="G22"/>
  <c r="G12" i="17"/>
  <c r="G16"/>
  <c r="G20"/>
  <c r="G13" i="18"/>
  <c r="G17"/>
  <c r="G21"/>
  <c r="G11" i="17"/>
  <c r="G15"/>
  <c r="G19"/>
  <c r="G12" i="18"/>
  <c r="G16"/>
  <c r="G20"/>
  <c r="AG39"/>
  <c r="AX39" s="1"/>
  <c r="AG72"/>
  <c r="G3"/>
  <c r="G5" s="1"/>
  <c r="AG128" s="1"/>
  <c r="AD128" s="1"/>
  <c r="G3" i="17"/>
  <c r="G5" s="1"/>
  <c r="B7" i="16" s="1"/>
  <c r="AG41" i="18"/>
  <c r="AZ41" s="1"/>
  <c r="AG60"/>
  <c r="AX60" s="1"/>
  <c r="AG56" i="17"/>
  <c r="AG61"/>
  <c r="AV61" s="1"/>
  <c r="AG68"/>
  <c r="AV68" s="1"/>
  <c r="O4" i="16"/>
  <c r="O6"/>
  <c r="O5"/>
  <c r="E24" i="17"/>
  <c r="J2" i="16" s="1"/>
  <c r="E24" i="18"/>
  <c r="AG30"/>
  <c r="AY30" s="1"/>
  <c r="AG35"/>
  <c r="AI35" s="1"/>
  <c r="AG45"/>
  <c r="AZ45" s="1"/>
  <c r="AG47"/>
  <c r="AJ47" s="1"/>
  <c r="AG64"/>
  <c r="AZ64" s="1"/>
  <c r="AG76"/>
  <c r="BA76" s="1"/>
  <c r="AG42" i="17"/>
  <c r="AG46"/>
  <c r="AG90"/>
  <c r="AG34" i="18"/>
  <c r="AG78"/>
  <c r="AW78" s="1"/>
  <c r="AG36" i="17"/>
  <c r="AV36" s="1"/>
  <c r="AG44"/>
  <c r="AG34"/>
  <c r="AT34" s="1"/>
  <c r="AG35"/>
  <c r="AV35" s="1"/>
  <c r="AG39"/>
  <c r="BB39" s="1"/>
  <c r="AG41"/>
  <c r="AG43"/>
  <c r="AN43" s="1"/>
  <c r="AG45"/>
  <c r="BB45" s="1"/>
  <c r="AG70" i="18"/>
  <c r="AR70" s="1"/>
  <c r="AG25" i="17"/>
  <c r="AZ25" s="1"/>
  <c r="AG54"/>
  <c r="BB54" s="1"/>
  <c r="AG58"/>
  <c r="AZ58" s="1"/>
  <c r="AG59"/>
  <c r="BB59" s="1"/>
  <c r="AG63"/>
  <c r="AG66"/>
  <c r="BB66" s="1"/>
  <c r="AG70"/>
  <c r="AW70" s="1"/>
  <c r="AG71"/>
  <c r="AZ71" s="1"/>
  <c r="AG75"/>
  <c r="AG78"/>
  <c r="AZ78" s="1"/>
  <c r="AG82"/>
  <c r="AG92"/>
  <c r="AG32" i="18"/>
  <c r="AU32" s="1"/>
  <c r="AG37"/>
  <c r="AV37" s="1"/>
  <c r="AG43"/>
  <c r="BB43" s="1"/>
  <c r="AG49"/>
  <c r="AP49" s="1"/>
  <c r="AG62"/>
  <c r="AG74"/>
  <c r="AP74" s="1"/>
  <c r="AG23" i="17"/>
  <c r="BA23" s="1"/>
  <c r="AG27"/>
  <c r="AR27" s="1"/>
  <c r="AG86"/>
  <c r="BB86" s="1"/>
  <c r="AG85" i="18"/>
  <c r="AG30" i="17"/>
  <c r="AY30" s="1"/>
  <c r="AG49"/>
  <c r="AG89"/>
  <c r="AG91"/>
  <c r="AG93"/>
  <c r="AG58" i="18"/>
  <c r="AL58" s="1"/>
  <c r="AG66"/>
  <c r="AV66" s="1"/>
  <c r="AG82"/>
  <c r="AX82" s="1"/>
  <c r="AG90"/>
  <c r="AW90" s="1"/>
  <c r="AG32" i="17"/>
  <c r="AU32" s="1"/>
  <c r="AG47"/>
  <c r="AG51"/>
  <c r="AG53"/>
  <c r="AG55"/>
  <c r="AG57"/>
  <c r="AG60"/>
  <c r="AG62"/>
  <c r="AG64"/>
  <c r="AG65"/>
  <c r="AG67"/>
  <c r="AG69"/>
  <c r="AG72"/>
  <c r="AG74"/>
  <c r="AG76"/>
  <c r="AG77"/>
  <c r="AG79"/>
  <c r="AG81"/>
  <c r="AG84"/>
  <c r="BB84" s="1"/>
  <c r="AG88"/>
  <c r="AZ88" s="1"/>
  <c r="AG23" i="18"/>
  <c r="AP23" s="1"/>
  <c r="AG42"/>
  <c r="AX42" s="1"/>
  <c r="AG44"/>
  <c r="AG46"/>
  <c r="AT46" s="1"/>
  <c r="AG52"/>
  <c r="AM52" s="1"/>
  <c r="AG54"/>
  <c r="AX54" s="1"/>
  <c r="AG68"/>
  <c r="BB68" s="1"/>
  <c r="AG80"/>
  <c r="AY80" s="1"/>
  <c r="AG83"/>
  <c r="AL83" s="1"/>
  <c r="AG87"/>
  <c r="AY87" s="1"/>
  <c r="AG92"/>
  <c r="AG38" i="17"/>
  <c r="AS38" s="1"/>
  <c r="AG40"/>
  <c r="AG48"/>
  <c r="AZ48" s="1"/>
  <c r="AG50"/>
  <c r="AZ50" s="1"/>
  <c r="AG52"/>
  <c r="AY52" s="1"/>
  <c r="AG83"/>
  <c r="AG85"/>
  <c r="AG87"/>
  <c r="AG31"/>
  <c r="BB31" s="1"/>
  <c r="AG26" i="18"/>
  <c r="AS26" s="1"/>
  <c r="AG28"/>
  <c r="AG29"/>
  <c r="BB29" s="1"/>
  <c r="AG31"/>
  <c r="AG33"/>
  <c r="AX33" s="1"/>
  <c r="AG36"/>
  <c r="AG38"/>
  <c r="BA38" s="1"/>
  <c r="AG40"/>
  <c r="AG48"/>
  <c r="AY48" s="1"/>
  <c r="AG50"/>
  <c r="AG56"/>
  <c r="AV56" s="1"/>
  <c r="AJ16" i="17"/>
  <c r="AN16"/>
  <c r="AG24"/>
  <c r="BB24" s="1"/>
  <c r="AG29"/>
  <c r="BB29" s="1"/>
  <c r="AG33"/>
  <c r="BB33" s="1"/>
  <c r="AG24" i="18"/>
  <c r="AT24" s="1"/>
  <c r="AL16"/>
  <c r="AJ16"/>
  <c r="AN16"/>
  <c r="AG28" i="17"/>
  <c r="AQ28" s="1"/>
  <c r="AG26"/>
  <c r="BB26" s="1"/>
  <c r="AL16"/>
  <c r="AG51" i="18"/>
  <c r="AG53"/>
  <c r="AG55"/>
  <c r="AG57"/>
  <c r="BB60"/>
  <c r="BB64"/>
  <c r="AQ64"/>
  <c r="AG65"/>
  <c r="AG67"/>
  <c r="AG69"/>
  <c r="BB72"/>
  <c r="AZ72"/>
  <c r="AX72"/>
  <c r="AV72"/>
  <c r="AT72"/>
  <c r="AR72"/>
  <c r="AP72"/>
  <c r="AN72"/>
  <c r="AL72"/>
  <c r="AJ72"/>
  <c r="AH72"/>
  <c r="BA72"/>
  <c r="AY72"/>
  <c r="AW72"/>
  <c r="AU72"/>
  <c r="AS72"/>
  <c r="AQ72"/>
  <c r="AO72"/>
  <c r="AM72"/>
  <c r="AK72"/>
  <c r="AI72"/>
  <c r="AX74"/>
  <c r="AK76"/>
  <c r="AG77"/>
  <c r="AG79"/>
  <c r="AG81"/>
  <c r="AG25"/>
  <c r="AW28"/>
  <c r="BB27"/>
  <c r="AZ27"/>
  <c r="AX27"/>
  <c r="AV27"/>
  <c r="AT27"/>
  <c r="AR27"/>
  <c r="AP27"/>
  <c r="AN27"/>
  <c r="AL27"/>
  <c r="AJ27"/>
  <c r="AH27"/>
  <c r="BA27"/>
  <c r="AY27"/>
  <c r="AW27"/>
  <c r="AU27"/>
  <c r="AS27"/>
  <c r="AQ27"/>
  <c r="AO27"/>
  <c r="AM27"/>
  <c r="AK27"/>
  <c r="AI27"/>
  <c r="AU30"/>
  <c r="AK30"/>
  <c r="AT30"/>
  <c r="AJ30"/>
  <c r="AT34"/>
  <c r="AZ37"/>
  <c r="AO37"/>
  <c r="AV39"/>
  <c r="AN39"/>
  <c r="BA39"/>
  <c r="AS39"/>
  <c r="AK39"/>
  <c r="AX41"/>
  <c r="AP41"/>
  <c r="AH41"/>
  <c r="AU41"/>
  <c r="AM41"/>
  <c r="AM48"/>
  <c r="AS50"/>
  <c r="AX50"/>
  <c r="AH50"/>
  <c r="BB54"/>
  <c r="AR54"/>
  <c r="BA54"/>
  <c r="AQ54"/>
  <c r="AG59"/>
  <c r="AG61"/>
  <c r="AG63"/>
  <c r="AX66"/>
  <c r="AP66"/>
  <c r="AH66"/>
  <c r="AU66"/>
  <c r="AM66"/>
  <c r="AT68"/>
  <c r="AI68"/>
  <c r="AG71"/>
  <c r="AG73"/>
  <c r="AG75"/>
  <c r="BA82"/>
  <c r="AP82"/>
  <c r="AG84"/>
  <c r="AG86"/>
  <c r="AG88"/>
  <c r="AG89"/>
  <c r="AG91"/>
  <c r="AG93"/>
  <c r="AV28" i="17"/>
  <c r="BB25"/>
  <c r="AT25"/>
  <c r="AL25"/>
  <c r="AY25"/>
  <c r="AQ25"/>
  <c r="AI25"/>
  <c r="AW34"/>
  <c r="AO34"/>
  <c r="AL34"/>
  <c r="AQ36"/>
  <c r="AJ43"/>
  <c r="BA43"/>
  <c r="AO43"/>
  <c r="AK43"/>
  <c r="AR54"/>
  <c r="AN54"/>
  <c r="AQ54"/>
  <c r="AI54"/>
  <c r="BB61"/>
  <c r="AZ61"/>
  <c r="AT61"/>
  <c r="AR61"/>
  <c r="AL61"/>
  <c r="AJ61"/>
  <c r="AW61"/>
  <c r="AS61"/>
  <c r="AY61"/>
  <c r="AU61"/>
  <c r="AI61"/>
  <c r="BB73"/>
  <c r="AZ73"/>
  <c r="AX73"/>
  <c r="AV73"/>
  <c r="AT73"/>
  <c r="AR73"/>
  <c r="AP73"/>
  <c r="AN73"/>
  <c r="AL73"/>
  <c r="AJ73"/>
  <c r="AH73"/>
  <c r="BA73"/>
  <c r="AW73"/>
  <c r="AS73"/>
  <c r="AO73"/>
  <c r="AK73"/>
  <c r="AY73"/>
  <c r="AU73"/>
  <c r="AQ73"/>
  <c r="AM73"/>
  <c r="AI73"/>
  <c r="BB80"/>
  <c r="AZ80"/>
  <c r="AX80"/>
  <c r="AV80"/>
  <c r="AT80"/>
  <c r="AR80"/>
  <c r="AP80"/>
  <c r="AN80"/>
  <c r="AL80"/>
  <c r="AJ80"/>
  <c r="AH80"/>
  <c r="AY80"/>
  <c r="AU80"/>
  <c r="AQ80"/>
  <c r="AM80"/>
  <c r="AI80"/>
  <c r="BA80"/>
  <c r="AW80"/>
  <c r="AS80"/>
  <c r="AO80"/>
  <c r="AK80"/>
  <c r="AZ84"/>
  <c r="AV84"/>
  <c r="AR84"/>
  <c r="AN84"/>
  <c r="AJ84"/>
  <c r="BA84"/>
  <c r="AW84"/>
  <c r="AS84"/>
  <c r="AO84"/>
  <c r="AK84"/>
  <c r="AI24"/>
  <c r="AM24"/>
  <c r="AQ24"/>
  <c r="AU24"/>
  <c r="AY24"/>
  <c r="AI26"/>
  <c r="AM26"/>
  <c r="AQ26"/>
  <c r="AU26"/>
  <c r="AY26"/>
  <c r="BA33"/>
  <c r="AG37"/>
  <c r="BB41"/>
  <c r="AZ41"/>
  <c r="AX41"/>
  <c r="AV41"/>
  <c r="AT41"/>
  <c r="AR41"/>
  <c r="AP41"/>
  <c r="AN41"/>
  <c r="AL41"/>
  <c r="AJ41"/>
  <c r="AH41"/>
  <c r="BA41"/>
  <c r="AY41"/>
  <c r="AW41"/>
  <c r="AU41"/>
  <c r="AS41"/>
  <c r="AQ41"/>
  <c r="AO41"/>
  <c r="AM41"/>
  <c r="AK41"/>
  <c r="AI41"/>
  <c r="BB48"/>
  <c r="AX48"/>
  <c r="AT48"/>
  <c r="AP48"/>
  <c r="AL48"/>
  <c r="AH48"/>
  <c r="AY48"/>
  <c r="AU48"/>
  <c r="AQ48"/>
  <c r="AM48"/>
  <c r="AI48"/>
  <c r="AM50"/>
  <c r="BA52"/>
  <c r="AW52"/>
  <c r="BB52"/>
  <c r="AT52"/>
  <c r="AV52"/>
  <c r="AN52"/>
  <c r="BB56"/>
  <c r="AZ56"/>
  <c r="AX56"/>
  <c r="AV56"/>
  <c r="AT56"/>
  <c r="AR56"/>
  <c r="AP56"/>
  <c r="AN56"/>
  <c r="AL56"/>
  <c r="AJ56"/>
  <c r="AH56"/>
  <c r="AY56"/>
  <c r="AU56"/>
  <c r="AQ56"/>
  <c r="AM56"/>
  <c r="AI56"/>
  <c r="BA56"/>
  <c r="AW56"/>
  <c r="AS56"/>
  <c r="AO56"/>
  <c r="AK56"/>
  <c r="AX58"/>
  <c r="AP58"/>
  <c r="AM58"/>
  <c r="AS58"/>
  <c r="AZ59"/>
  <c r="AV59"/>
  <c r="AR59"/>
  <c r="AN59"/>
  <c r="AJ59"/>
  <c r="BA59"/>
  <c r="AS59"/>
  <c r="AK59"/>
  <c r="AU59"/>
  <c r="AM59"/>
  <c r="BB63"/>
  <c r="AZ63"/>
  <c r="AX63"/>
  <c r="AV63"/>
  <c r="AT63"/>
  <c r="AR63"/>
  <c r="AP63"/>
  <c r="AN63"/>
  <c r="AL63"/>
  <c r="AJ63"/>
  <c r="AH63"/>
  <c r="BA63"/>
  <c r="AW63"/>
  <c r="AS63"/>
  <c r="AO63"/>
  <c r="AK63"/>
  <c r="AY63"/>
  <c r="AU63"/>
  <c r="AQ63"/>
  <c r="AM63"/>
  <c r="AI63"/>
  <c r="AZ66"/>
  <c r="AV66"/>
  <c r="AR66"/>
  <c r="AN66"/>
  <c r="AJ66"/>
  <c r="AY66"/>
  <c r="AQ66"/>
  <c r="AI66"/>
  <c r="AW66"/>
  <c r="AO66"/>
  <c r="BB68"/>
  <c r="AT68"/>
  <c r="AL68"/>
  <c r="AU68"/>
  <c r="BA68"/>
  <c r="AK68"/>
  <c r="AU70"/>
  <c r="AM70"/>
  <c r="AX70"/>
  <c r="AH70"/>
  <c r="AN70"/>
  <c r="BB71"/>
  <c r="AX71"/>
  <c r="AT71"/>
  <c r="AP71"/>
  <c r="AL71"/>
  <c r="AH71"/>
  <c r="AW71"/>
  <c r="AO71"/>
  <c r="AY71"/>
  <c r="AQ71"/>
  <c r="AI71"/>
  <c r="BB75"/>
  <c r="AZ75"/>
  <c r="AX75"/>
  <c r="AV75"/>
  <c r="AT75"/>
  <c r="AR75"/>
  <c r="AP75"/>
  <c r="AN75"/>
  <c r="AL75"/>
  <c r="AJ75"/>
  <c r="AH75"/>
  <c r="BA75"/>
  <c r="AW75"/>
  <c r="AS75"/>
  <c r="AO75"/>
  <c r="AK75"/>
  <c r="AY75"/>
  <c r="AU75"/>
  <c r="AQ75"/>
  <c r="AM75"/>
  <c r="AI75"/>
  <c r="AX78"/>
  <c r="AP78"/>
  <c r="AH78"/>
  <c r="AM78"/>
  <c r="AS78"/>
  <c r="BB82"/>
  <c r="BA82"/>
  <c r="AZ82"/>
  <c r="AX82"/>
  <c r="AV82"/>
  <c r="AT82"/>
  <c r="AR82"/>
  <c r="AP82"/>
  <c r="AN82"/>
  <c r="AL82"/>
  <c r="AJ82"/>
  <c r="AH82"/>
  <c r="AY82"/>
  <c r="AU82"/>
  <c r="AQ82"/>
  <c r="AM82"/>
  <c r="AI82"/>
  <c r="AW82"/>
  <c r="AS82"/>
  <c r="AO82"/>
  <c r="AK82"/>
  <c r="AZ86"/>
  <c r="AV86"/>
  <c r="AR86"/>
  <c r="AN86"/>
  <c r="AJ86"/>
  <c r="BA86"/>
  <c r="AW86"/>
  <c r="AS86"/>
  <c r="AO86"/>
  <c r="AK86"/>
  <c r="BB88"/>
  <c r="AX88"/>
  <c r="AT88"/>
  <c r="AP88"/>
  <c r="AL88"/>
  <c r="AH88"/>
  <c r="BA88"/>
  <c r="AY88"/>
  <c r="AW88"/>
  <c r="AU88"/>
  <c r="AS88"/>
  <c r="AQ88"/>
  <c r="AO88"/>
  <c r="AM88"/>
  <c r="AK88"/>
  <c r="AI88"/>
  <c r="BB89"/>
  <c r="AZ89"/>
  <c r="AX89"/>
  <c r="AV89"/>
  <c r="AT89"/>
  <c r="AR89"/>
  <c r="AP89"/>
  <c r="AN89"/>
  <c r="AL89"/>
  <c r="AJ89"/>
  <c r="AH89"/>
  <c r="BA89"/>
  <c r="AY89"/>
  <c r="AW89"/>
  <c r="AU89"/>
  <c r="AS89"/>
  <c r="AQ89"/>
  <c r="AO89"/>
  <c r="AM89"/>
  <c r="AK89"/>
  <c r="AI89"/>
  <c r="BB91"/>
  <c r="AZ91"/>
  <c r="AX91"/>
  <c r="AV91"/>
  <c r="AT91"/>
  <c r="AR91"/>
  <c r="AP91"/>
  <c r="AN91"/>
  <c r="AL91"/>
  <c r="AJ91"/>
  <c r="AH91"/>
  <c r="AY91"/>
  <c r="AU91"/>
  <c r="AQ91"/>
  <c r="AM91"/>
  <c r="AI91"/>
  <c r="BA91"/>
  <c r="AW91"/>
  <c r="AS91"/>
  <c r="AO91"/>
  <c r="AK91"/>
  <c r="BB93"/>
  <c r="AZ93"/>
  <c r="AX93"/>
  <c r="AV93"/>
  <c r="AT93"/>
  <c r="AR93"/>
  <c r="AP93"/>
  <c r="AN93"/>
  <c r="AL93"/>
  <c r="AJ93"/>
  <c r="AH93"/>
  <c r="AY93"/>
  <c r="AU93"/>
  <c r="AQ93"/>
  <c r="AM93"/>
  <c r="AI93"/>
  <c r="BA93"/>
  <c r="AW93"/>
  <c r="AS93"/>
  <c r="AO93"/>
  <c r="AK93"/>
  <c r="AI31"/>
  <c r="AK31"/>
  <c r="AM31"/>
  <c r="AO31"/>
  <c r="AQ31"/>
  <c r="AS31"/>
  <c r="AU31"/>
  <c r="AW31"/>
  <c r="AY31"/>
  <c r="BA31"/>
  <c r="AK33"/>
  <c r="AQ33"/>
  <c r="BA40"/>
  <c r="AY40"/>
  <c r="AW40"/>
  <c r="AU40"/>
  <c r="AS40"/>
  <c r="AQ40"/>
  <c r="AO40"/>
  <c r="AM40"/>
  <c r="AK40"/>
  <c r="AI40"/>
  <c r="BB40"/>
  <c r="AZ40"/>
  <c r="AX40"/>
  <c r="AV40"/>
  <c r="AT40"/>
  <c r="AR40"/>
  <c r="AP40"/>
  <c r="AN40"/>
  <c r="AL40"/>
  <c r="AJ40"/>
  <c r="AH40"/>
  <c r="BB42"/>
  <c r="AZ42"/>
  <c r="AX42"/>
  <c r="AV42"/>
  <c r="AT42"/>
  <c r="AR42"/>
  <c r="AP42"/>
  <c r="AN42"/>
  <c r="AL42"/>
  <c r="AJ42"/>
  <c r="AH42"/>
  <c r="BA42"/>
  <c r="AY42"/>
  <c r="AW42"/>
  <c r="AU42"/>
  <c r="AS42"/>
  <c r="AQ42"/>
  <c r="AO42"/>
  <c r="AM42"/>
  <c r="AK42"/>
  <c r="AI42"/>
  <c r="BB44"/>
  <c r="AZ44"/>
  <c r="AX44"/>
  <c r="AV44"/>
  <c r="AT44"/>
  <c r="AR44"/>
  <c r="AP44"/>
  <c r="AN44"/>
  <c r="AL44"/>
  <c r="AJ44"/>
  <c r="AH44"/>
  <c r="BA44"/>
  <c r="AY44"/>
  <c r="AW44"/>
  <c r="AU44"/>
  <c r="AS44"/>
  <c r="AQ44"/>
  <c r="AO44"/>
  <c r="AM44"/>
  <c r="AK44"/>
  <c r="AI44"/>
  <c r="BB46"/>
  <c r="AZ46"/>
  <c r="AX46"/>
  <c r="AV46"/>
  <c r="AT46"/>
  <c r="AR46"/>
  <c r="AP46"/>
  <c r="AN46"/>
  <c r="AL46"/>
  <c r="AJ46"/>
  <c r="AH46"/>
  <c r="BA46"/>
  <c r="AY46"/>
  <c r="AW46"/>
  <c r="AU46"/>
  <c r="AS46"/>
  <c r="AQ46"/>
  <c r="AO46"/>
  <c r="AM46"/>
  <c r="AK46"/>
  <c r="AI46"/>
  <c r="BA47"/>
  <c r="AY47"/>
  <c r="AW47"/>
  <c r="AU47"/>
  <c r="AS47"/>
  <c r="AQ47"/>
  <c r="AO47"/>
  <c r="AM47"/>
  <c r="AK47"/>
  <c r="AI47"/>
  <c r="BB47"/>
  <c r="AZ47"/>
  <c r="AX47"/>
  <c r="AV47"/>
  <c r="AT47"/>
  <c r="AR47"/>
  <c r="AP47"/>
  <c r="AN47"/>
  <c r="AL47"/>
  <c r="AJ47"/>
  <c r="AH47"/>
  <c r="BA49"/>
  <c r="AY49"/>
  <c r="AW49"/>
  <c r="AU49"/>
  <c r="AS49"/>
  <c r="AQ49"/>
  <c r="AO49"/>
  <c r="AM49"/>
  <c r="AK49"/>
  <c r="AI49"/>
  <c r="BB49"/>
  <c r="AZ49"/>
  <c r="AX49"/>
  <c r="AV49"/>
  <c r="AT49"/>
  <c r="AR49"/>
  <c r="AP49"/>
  <c r="AN49"/>
  <c r="AL49"/>
  <c r="AJ49"/>
  <c r="AH49"/>
  <c r="BA51"/>
  <c r="AY51"/>
  <c r="AW51"/>
  <c r="AU51"/>
  <c r="AS51"/>
  <c r="AQ51"/>
  <c r="AO51"/>
  <c r="AM51"/>
  <c r="AK51"/>
  <c r="AI51"/>
  <c r="BB51"/>
  <c r="AZ51"/>
  <c r="AX51"/>
  <c r="AV51"/>
  <c r="AT51"/>
  <c r="AR51"/>
  <c r="AP51"/>
  <c r="AN51"/>
  <c r="AL51"/>
  <c r="AJ51"/>
  <c r="AH51"/>
  <c r="BB53"/>
  <c r="AZ53"/>
  <c r="AX53"/>
  <c r="AV53"/>
  <c r="AT53"/>
  <c r="AR53"/>
  <c r="AP53"/>
  <c r="AN53"/>
  <c r="AL53"/>
  <c r="AJ53"/>
  <c r="AH53"/>
  <c r="BA53"/>
  <c r="AW53"/>
  <c r="AS53"/>
  <c r="AO53"/>
  <c r="AK53"/>
  <c r="AY53"/>
  <c r="AU53"/>
  <c r="AQ53"/>
  <c r="AM53"/>
  <c r="AI53"/>
  <c r="BB55"/>
  <c r="AZ55"/>
  <c r="AX55"/>
  <c r="AV55"/>
  <c r="AT55"/>
  <c r="AR55"/>
  <c r="AP55"/>
  <c r="AN55"/>
  <c r="AL55"/>
  <c r="AJ55"/>
  <c r="AH55"/>
  <c r="BA55"/>
  <c r="AW55"/>
  <c r="AS55"/>
  <c r="AO55"/>
  <c r="AK55"/>
  <c r="AY55"/>
  <c r="AU55"/>
  <c r="AQ55"/>
  <c r="AM55"/>
  <c r="AI55"/>
  <c r="BB57"/>
  <c r="AZ57"/>
  <c r="AX57"/>
  <c r="AV57"/>
  <c r="AT57"/>
  <c r="AR57"/>
  <c r="AP57"/>
  <c r="AN57"/>
  <c r="AL57"/>
  <c r="AJ57"/>
  <c r="AH57"/>
  <c r="BA57"/>
  <c r="AW57"/>
  <c r="AS57"/>
  <c r="AO57"/>
  <c r="AK57"/>
  <c r="AY57"/>
  <c r="AU57"/>
  <c r="AQ57"/>
  <c r="AM57"/>
  <c r="AI57"/>
  <c r="BB60"/>
  <c r="AZ60"/>
  <c r="AX60"/>
  <c r="AV60"/>
  <c r="AT60"/>
  <c r="AR60"/>
  <c r="AP60"/>
  <c r="AN60"/>
  <c r="AL60"/>
  <c r="AJ60"/>
  <c r="AH60"/>
  <c r="AY60"/>
  <c r="AU60"/>
  <c r="AQ60"/>
  <c r="AM60"/>
  <c r="AI60"/>
  <c r="BA60"/>
  <c r="AW60"/>
  <c r="AS60"/>
  <c r="AO60"/>
  <c r="AK60"/>
  <c r="BB62"/>
  <c r="AZ62"/>
  <c r="AX62"/>
  <c r="AV62"/>
  <c r="AT62"/>
  <c r="AR62"/>
  <c r="AP62"/>
  <c r="AN62"/>
  <c r="AL62"/>
  <c r="AJ62"/>
  <c r="AH62"/>
  <c r="AY62"/>
  <c r="AU62"/>
  <c r="AQ62"/>
  <c r="AM62"/>
  <c r="AI62"/>
  <c r="BA62"/>
  <c r="AW62"/>
  <c r="AS62"/>
  <c r="AO62"/>
  <c r="AK62"/>
  <c r="BB64"/>
  <c r="AZ64"/>
  <c r="AX64"/>
  <c r="AV64"/>
  <c r="AT64"/>
  <c r="AR64"/>
  <c r="AP64"/>
  <c r="AN64"/>
  <c r="AL64"/>
  <c r="AJ64"/>
  <c r="AH64"/>
  <c r="AY64"/>
  <c r="AU64"/>
  <c r="AQ64"/>
  <c r="AM64"/>
  <c r="AI64"/>
  <c r="BA64"/>
  <c r="AW64"/>
  <c r="AS64"/>
  <c r="AO64"/>
  <c r="AK64"/>
  <c r="BB65"/>
  <c r="AZ65"/>
  <c r="AX65"/>
  <c r="AV65"/>
  <c r="AT65"/>
  <c r="AR65"/>
  <c r="AP65"/>
  <c r="AN65"/>
  <c r="AL65"/>
  <c r="AJ65"/>
  <c r="AH65"/>
  <c r="BA65"/>
  <c r="AW65"/>
  <c r="AS65"/>
  <c r="AO65"/>
  <c r="AK65"/>
  <c r="AY65"/>
  <c r="AU65"/>
  <c r="AQ65"/>
  <c r="AM65"/>
  <c r="AI65"/>
  <c r="BB67"/>
  <c r="AZ67"/>
  <c r="AX67"/>
  <c r="AV67"/>
  <c r="AT67"/>
  <c r="AR67"/>
  <c r="AP67"/>
  <c r="AN67"/>
  <c r="AL67"/>
  <c r="AJ67"/>
  <c r="AH67"/>
  <c r="BA67"/>
  <c r="AW67"/>
  <c r="AS67"/>
  <c r="AO67"/>
  <c r="AK67"/>
  <c r="AY67"/>
  <c r="AU67"/>
  <c r="AQ67"/>
  <c r="AM67"/>
  <c r="AI67"/>
  <c r="BB69"/>
  <c r="AZ69"/>
  <c r="AX69"/>
  <c r="AV69"/>
  <c r="AT69"/>
  <c r="AR69"/>
  <c r="AP69"/>
  <c r="AN69"/>
  <c r="AL69"/>
  <c r="AJ69"/>
  <c r="AH69"/>
  <c r="BA69"/>
  <c r="AW69"/>
  <c r="AS69"/>
  <c r="AO69"/>
  <c r="AK69"/>
  <c r="AY69"/>
  <c r="AU69"/>
  <c r="AQ69"/>
  <c r="AM69"/>
  <c r="AI69"/>
  <c r="BB72"/>
  <c r="AZ72"/>
  <c r="AX72"/>
  <c r="AV72"/>
  <c r="AT72"/>
  <c r="AR72"/>
  <c r="AP72"/>
  <c r="AN72"/>
  <c r="AL72"/>
  <c r="AJ72"/>
  <c r="AH72"/>
  <c r="AY72"/>
  <c r="AU72"/>
  <c r="AQ72"/>
  <c r="AM72"/>
  <c r="AI72"/>
  <c r="BA72"/>
  <c r="AW72"/>
  <c r="AS72"/>
  <c r="AO72"/>
  <c r="AK72"/>
  <c r="BB74"/>
  <c r="AZ74"/>
  <c r="AX74"/>
  <c r="AV74"/>
  <c r="AT74"/>
  <c r="AR74"/>
  <c r="AP74"/>
  <c r="AN74"/>
  <c r="AL74"/>
  <c r="AJ74"/>
  <c r="AH74"/>
  <c r="AY74"/>
  <c r="AU74"/>
  <c r="AQ74"/>
  <c r="AM74"/>
  <c r="AI74"/>
  <c r="BA74"/>
  <c r="AW74"/>
  <c r="AS74"/>
  <c r="AO74"/>
  <c r="AK74"/>
  <c r="BB76"/>
  <c r="AZ76"/>
  <c r="AX76"/>
  <c r="AV76"/>
  <c r="AT76"/>
  <c r="AR76"/>
  <c r="AP76"/>
  <c r="AN76"/>
  <c r="AL76"/>
  <c r="AJ76"/>
  <c r="AH76"/>
  <c r="AY76"/>
  <c r="AU76"/>
  <c r="AQ76"/>
  <c r="AM76"/>
  <c r="AI76"/>
  <c r="BA76"/>
  <c r="AW76"/>
  <c r="AS76"/>
  <c r="AO76"/>
  <c r="AK76"/>
  <c r="BB77"/>
  <c r="AZ77"/>
  <c r="AX77"/>
  <c r="AV77"/>
  <c r="AT77"/>
  <c r="AR77"/>
  <c r="AP77"/>
  <c r="AN77"/>
  <c r="AL77"/>
  <c r="AJ77"/>
  <c r="AH77"/>
  <c r="BA77"/>
  <c r="AW77"/>
  <c r="AS77"/>
  <c r="AO77"/>
  <c r="AK77"/>
  <c r="AY77"/>
  <c r="AU77"/>
  <c r="AQ77"/>
  <c r="AM77"/>
  <c r="AI77"/>
  <c r="BB79"/>
  <c r="AZ79"/>
  <c r="AX79"/>
  <c r="AV79"/>
  <c r="AT79"/>
  <c r="AR79"/>
  <c r="AP79"/>
  <c r="AN79"/>
  <c r="AL79"/>
  <c r="AJ79"/>
  <c r="AH79"/>
  <c r="BA79"/>
  <c r="AW79"/>
  <c r="AS79"/>
  <c r="AO79"/>
  <c r="AK79"/>
  <c r="AY79"/>
  <c r="AU79"/>
  <c r="AQ79"/>
  <c r="AM79"/>
  <c r="AI79"/>
  <c r="BB81"/>
  <c r="AZ81"/>
  <c r="AX81"/>
  <c r="AV81"/>
  <c r="AT81"/>
  <c r="AR81"/>
  <c r="AP81"/>
  <c r="AN81"/>
  <c r="AL81"/>
  <c r="AJ81"/>
  <c r="AH81"/>
  <c r="BA81"/>
  <c r="AW81"/>
  <c r="AS81"/>
  <c r="AO81"/>
  <c r="AK81"/>
  <c r="AY81"/>
  <c r="AU81"/>
  <c r="AQ81"/>
  <c r="AM81"/>
  <c r="AI81"/>
  <c r="BB83"/>
  <c r="AZ83"/>
  <c r="AX83"/>
  <c r="AV83"/>
  <c r="AT83"/>
  <c r="AR83"/>
  <c r="AP83"/>
  <c r="AN83"/>
  <c r="AL83"/>
  <c r="AJ83"/>
  <c r="AH83"/>
  <c r="BA83"/>
  <c r="AY83"/>
  <c r="AW83"/>
  <c r="AU83"/>
  <c r="AS83"/>
  <c r="AQ83"/>
  <c r="AO83"/>
  <c r="AM83"/>
  <c r="AK83"/>
  <c r="AI83"/>
  <c r="BB85"/>
  <c r="AZ85"/>
  <c r="AX85"/>
  <c r="AV85"/>
  <c r="AT85"/>
  <c r="AR85"/>
  <c r="AP85"/>
  <c r="AN85"/>
  <c r="AL85"/>
  <c r="AJ85"/>
  <c r="AH85"/>
  <c r="BA85"/>
  <c r="AY85"/>
  <c r="AW85"/>
  <c r="AU85"/>
  <c r="AS85"/>
  <c r="AQ85"/>
  <c r="AO85"/>
  <c r="AM85"/>
  <c r="AK85"/>
  <c r="AI85"/>
  <c r="BB87"/>
  <c r="AZ87"/>
  <c r="AX87"/>
  <c r="AV87"/>
  <c r="AT87"/>
  <c r="AR87"/>
  <c r="AP87"/>
  <c r="AN87"/>
  <c r="AL87"/>
  <c r="AJ87"/>
  <c r="AH87"/>
  <c r="BA87"/>
  <c r="AY87"/>
  <c r="AW87"/>
  <c r="AU87"/>
  <c r="AS87"/>
  <c r="AQ87"/>
  <c r="AO87"/>
  <c r="AM87"/>
  <c r="AK87"/>
  <c r="AI87"/>
  <c r="BB90"/>
  <c r="AZ90"/>
  <c r="AX90"/>
  <c r="AV90"/>
  <c r="BA90"/>
  <c r="AW90"/>
  <c r="AT90"/>
  <c r="AR90"/>
  <c r="AP90"/>
  <c r="AN90"/>
  <c r="AL90"/>
  <c r="AJ90"/>
  <c r="AH90"/>
  <c r="AY90"/>
  <c r="AU90"/>
  <c r="AS90"/>
  <c r="AQ90"/>
  <c r="AO90"/>
  <c r="AM90"/>
  <c r="AK90"/>
  <c r="AI90"/>
  <c r="BB92"/>
  <c r="AZ92"/>
  <c r="AX92"/>
  <c r="AV92"/>
  <c r="AT92"/>
  <c r="AR92"/>
  <c r="AP92"/>
  <c r="AN92"/>
  <c r="AL92"/>
  <c r="AJ92"/>
  <c r="AH92"/>
  <c r="BA92"/>
  <c r="AW92"/>
  <c r="AS92"/>
  <c r="AO92"/>
  <c r="AK92"/>
  <c r="AY92"/>
  <c r="AU92"/>
  <c r="AQ92"/>
  <c r="AM92"/>
  <c r="AI92"/>
  <c r="AH24"/>
  <c r="AJ24"/>
  <c r="AL24"/>
  <c r="AN24"/>
  <c r="AP24"/>
  <c r="AR24"/>
  <c r="AT24"/>
  <c r="AV24"/>
  <c r="AX24"/>
  <c r="AZ24"/>
  <c r="AH26"/>
  <c r="AJ26"/>
  <c r="AL26"/>
  <c r="AN26"/>
  <c r="AP26"/>
  <c r="AR26"/>
  <c r="AT26"/>
  <c r="AV26"/>
  <c r="AX26"/>
  <c r="AZ26"/>
  <c r="AH29"/>
  <c r="AJ29"/>
  <c r="AL29"/>
  <c r="AN29"/>
  <c r="AP29"/>
  <c r="AR29"/>
  <c r="AT29"/>
  <c r="AV29"/>
  <c r="AX29"/>
  <c r="AZ29"/>
  <c r="AH31"/>
  <c r="AJ31"/>
  <c r="AL31"/>
  <c r="AN31"/>
  <c r="AP31"/>
  <c r="AR31"/>
  <c r="AT31"/>
  <c r="AV31"/>
  <c r="AX31"/>
  <c r="AZ31"/>
  <c r="AH33"/>
  <c r="AJ33"/>
  <c r="AL33"/>
  <c r="AN33"/>
  <c r="AP33"/>
  <c r="AR33"/>
  <c r="AT33"/>
  <c r="AV33"/>
  <c r="AX33"/>
  <c r="AZ33"/>
  <c r="N26" i="12"/>
  <c r="M26"/>
  <c r="L26"/>
  <c r="N25"/>
  <c r="M25"/>
  <c r="L25"/>
  <c r="N24"/>
  <c r="M24"/>
  <c r="L24"/>
  <c r="N23"/>
  <c r="M23"/>
  <c r="L23"/>
  <c r="N22"/>
  <c r="M22"/>
  <c r="L22"/>
  <c r="N21"/>
  <c r="M21"/>
  <c r="L21"/>
  <c r="N20"/>
  <c r="M20"/>
  <c r="L20"/>
  <c r="N19"/>
  <c r="M19"/>
  <c r="L19"/>
  <c r="N18"/>
  <c r="M18"/>
  <c r="L18"/>
  <c r="N17"/>
  <c r="M17"/>
  <c r="L17"/>
  <c r="N16"/>
  <c r="M16"/>
  <c r="L16"/>
  <c r="V2" i="17" l="1"/>
  <c r="W53" s="1"/>
  <c r="V2" i="18"/>
  <c r="AG110" s="1"/>
  <c r="AQ61" i="17"/>
  <c r="AO61"/>
  <c r="AH61"/>
  <c r="AP61"/>
  <c r="AX61"/>
  <c r="AW54"/>
  <c r="AJ54"/>
  <c r="AZ54"/>
  <c r="AW43"/>
  <c r="AV43"/>
  <c r="BB34"/>
  <c r="AH82" i="18"/>
  <c r="AS82"/>
  <c r="AL68"/>
  <c r="AK41"/>
  <c r="AS41"/>
  <c r="BA41"/>
  <c r="AN41"/>
  <c r="AV41"/>
  <c r="AI39"/>
  <c r="AQ39"/>
  <c r="AY39"/>
  <c r="AL39"/>
  <c r="AT39"/>
  <c r="BB39"/>
  <c r="AR37"/>
  <c r="AT35"/>
  <c r="AP76"/>
  <c r="AH74"/>
  <c r="AM61" i="17"/>
  <c r="AK61"/>
  <c r="BA61"/>
  <c r="AN61"/>
  <c r="AO54"/>
  <c r="AY54"/>
  <c r="AV54"/>
  <c r="AS43"/>
  <c r="AK82" i="18"/>
  <c r="AY68"/>
  <c r="AI41"/>
  <c r="AQ41"/>
  <c r="AY41"/>
  <c r="AL41"/>
  <c r="AT41"/>
  <c r="BB41"/>
  <c r="AO39"/>
  <c r="AW39"/>
  <c r="AJ39"/>
  <c r="AR39"/>
  <c r="AZ39"/>
  <c r="AJ37"/>
  <c r="AY35"/>
  <c r="AM74"/>
  <c r="AQ68"/>
  <c r="AO41"/>
  <c r="AW41"/>
  <c r="AJ41"/>
  <c r="AR41"/>
  <c r="AM39"/>
  <c r="AU39"/>
  <c r="AH39"/>
  <c r="AP39"/>
  <c r="AW37"/>
  <c r="BA64"/>
  <c r="AQ58"/>
  <c r="AP64"/>
  <c r="AM70"/>
  <c r="AM32" i="17"/>
  <c r="AW33"/>
  <c r="AP38"/>
  <c r="AY36"/>
  <c r="AJ27"/>
  <c r="AK39"/>
  <c r="AU70" i="18"/>
  <c r="AI52" i="17"/>
  <c r="AL52"/>
  <c r="AS52"/>
  <c r="AM33"/>
  <c r="AN36"/>
  <c r="AZ32"/>
  <c r="AV39"/>
  <c r="AH52"/>
  <c r="AO52"/>
  <c r="AS33"/>
  <c r="BA38"/>
  <c r="AZ27"/>
  <c r="AS39"/>
  <c r="AK38"/>
  <c r="AI36"/>
  <c r="AR32"/>
  <c r="AW27"/>
  <c r="AN39"/>
  <c r="AZ70" i="18"/>
  <c r="AX38" i="17"/>
  <c r="AO27"/>
  <c r="AR23" i="18"/>
  <c r="AJ70"/>
  <c r="AH58" i="17"/>
  <c r="AX50"/>
  <c r="AH45" i="18"/>
  <c r="AY35" i="17"/>
  <c r="AY58" i="18"/>
  <c r="AR52"/>
  <c r="AH38" i="17"/>
  <c r="AJ32"/>
  <c r="AT58" i="18"/>
  <c r="AM25" i="17"/>
  <c r="AU25"/>
  <c r="AH25"/>
  <c r="AP25"/>
  <c r="AX25"/>
  <c r="AY28"/>
  <c r="AI66" i="18"/>
  <c r="AQ66"/>
  <c r="AY66"/>
  <c r="AL66"/>
  <c r="AT66"/>
  <c r="BB66"/>
  <c r="AK54"/>
  <c r="AW54"/>
  <c r="AL54"/>
  <c r="AV54"/>
  <c r="AP48"/>
  <c r="AJ32"/>
  <c r="AP30"/>
  <c r="AZ30"/>
  <c r="AO30"/>
  <c r="BA30"/>
  <c r="AV87"/>
  <c r="AK64"/>
  <c r="AU64"/>
  <c r="AL64"/>
  <c r="AV64"/>
  <c r="AK25" i="17"/>
  <c r="AS25"/>
  <c r="BA25"/>
  <c r="AN25"/>
  <c r="AV25"/>
  <c r="AI28"/>
  <c r="AO66" i="18"/>
  <c r="AW66"/>
  <c r="AJ66"/>
  <c r="AR66"/>
  <c r="AZ66"/>
  <c r="AI54"/>
  <c r="AS54"/>
  <c r="AJ54"/>
  <c r="AT54"/>
  <c r="AL48"/>
  <c r="AU48"/>
  <c r="AL30"/>
  <c r="AX30"/>
  <c r="AM30"/>
  <c r="AW30"/>
  <c r="AI64"/>
  <c r="AS64"/>
  <c r="AH64"/>
  <c r="AT64"/>
  <c r="AO25" i="17"/>
  <c r="AW25"/>
  <c r="AJ25"/>
  <c r="AR25"/>
  <c r="AN28"/>
  <c r="AK66" i="18"/>
  <c r="AS66"/>
  <c r="BA66"/>
  <c r="AN66"/>
  <c r="AO54"/>
  <c r="AY54"/>
  <c r="AN54"/>
  <c r="AZ54"/>
  <c r="AT48"/>
  <c r="AH30"/>
  <c r="AR30"/>
  <c r="BB30"/>
  <c r="AS30"/>
  <c r="AQ87"/>
  <c r="AM64"/>
  <c r="AY64"/>
  <c r="AN64"/>
  <c r="AX64"/>
  <c r="AQ60"/>
  <c r="AN60"/>
  <c r="AS60"/>
  <c r="AZ45" i="17"/>
  <c r="AO45"/>
  <c r="AZ78" i="18"/>
  <c r="AQ56"/>
  <c r="AI58"/>
  <c r="BB58"/>
  <c r="AM54"/>
  <c r="AU54"/>
  <c r="AH54"/>
  <c r="AP54"/>
  <c r="AH48"/>
  <c r="AZ48"/>
  <c r="AN30"/>
  <c r="AV30"/>
  <c r="AI30"/>
  <c r="AQ30"/>
  <c r="AO64"/>
  <c r="AW64"/>
  <c r="AJ64"/>
  <c r="AR64"/>
  <c r="AL60"/>
  <c r="AK60"/>
  <c r="BA60"/>
  <c r="AV60"/>
  <c r="AI60"/>
  <c r="AY60"/>
  <c r="AT60"/>
  <c r="AW30" i="17"/>
  <c r="W48"/>
  <c r="AO80" i="18"/>
  <c r="AO60"/>
  <c r="AW60"/>
  <c r="AJ60"/>
  <c r="AR60"/>
  <c r="AZ60"/>
  <c r="AZ23" i="17"/>
  <c r="BB56" i="18"/>
  <c r="AM60"/>
  <c r="AU60"/>
  <c r="AH60"/>
  <c r="AP60"/>
  <c r="AH29"/>
  <c r="AO90"/>
  <c r="AH50" i="17"/>
  <c r="AR45"/>
  <c r="BB30"/>
  <c r="AJ23"/>
  <c r="W47"/>
  <c r="AQ35"/>
  <c r="BB35"/>
  <c r="BB80" i="18"/>
  <c r="AR78"/>
  <c r="AI56"/>
  <c r="AT56"/>
  <c r="AU45"/>
  <c r="AL43"/>
  <c r="AO38"/>
  <c r="AH33"/>
  <c r="AU29" i="17"/>
  <c r="AJ45"/>
  <c r="AL30"/>
  <c r="W6"/>
  <c r="W19" s="1"/>
  <c r="Z32" s="1"/>
  <c r="AI35"/>
  <c r="AT35"/>
  <c r="AT80" i="18"/>
  <c r="AJ78"/>
  <c r="AU78"/>
  <c r="AL56"/>
  <c r="AM45"/>
  <c r="AX45"/>
  <c r="AW45" i="17"/>
  <c r="AU23"/>
  <c r="AL35"/>
  <c r="AL80" i="18"/>
  <c r="AW80"/>
  <c r="AM78"/>
  <c r="AY56"/>
  <c r="AP45"/>
  <c r="AJ70" i="17"/>
  <c r="AZ70"/>
  <c r="AT70"/>
  <c r="AK70"/>
  <c r="AS70"/>
  <c r="BA70"/>
  <c r="AW68"/>
  <c r="AQ68"/>
  <c r="AJ68"/>
  <c r="AR68"/>
  <c r="AZ68"/>
  <c r="AO58"/>
  <c r="AI58"/>
  <c r="AY58"/>
  <c r="AN58"/>
  <c r="AV58"/>
  <c r="AI50"/>
  <c r="AY50"/>
  <c r="AT50"/>
  <c r="AY29"/>
  <c r="AI29"/>
  <c r="AM45"/>
  <c r="AU45"/>
  <c r="AH45"/>
  <c r="AP45"/>
  <c r="AX45"/>
  <c r="AH30"/>
  <c r="AX30"/>
  <c r="AS30"/>
  <c r="AV23"/>
  <c r="AQ23"/>
  <c r="W10"/>
  <c r="W23" s="1"/>
  <c r="AC36" s="1"/>
  <c r="W9"/>
  <c r="W22" s="1"/>
  <c r="W45"/>
  <c r="AO35"/>
  <c r="AW35"/>
  <c r="AJ35"/>
  <c r="AR35"/>
  <c r="AZ35"/>
  <c r="AJ80" i="18"/>
  <c r="AR80"/>
  <c r="AZ80"/>
  <c r="AM80"/>
  <c r="AU80"/>
  <c r="AH78"/>
  <c r="AP78"/>
  <c r="AX78"/>
  <c r="AK78"/>
  <c r="AS78"/>
  <c r="BA78"/>
  <c r="AO56"/>
  <c r="AW56"/>
  <c r="AJ56"/>
  <c r="AR56"/>
  <c r="AZ56"/>
  <c r="AK45"/>
  <c r="AS45"/>
  <c r="BA45"/>
  <c r="AN45"/>
  <c r="AV45"/>
  <c r="AQ43"/>
  <c r="BB38"/>
  <c r="AU29"/>
  <c r="AT90"/>
  <c r="AV70" i="17"/>
  <c r="AP70"/>
  <c r="AI70"/>
  <c r="AQ70"/>
  <c r="AY70"/>
  <c r="AS68"/>
  <c r="AM68"/>
  <c r="AH68"/>
  <c r="AP68"/>
  <c r="AX68"/>
  <c r="AK58"/>
  <c r="BA58"/>
  <c r="AU58"/>
  <c r="AL58"/>
  <c r="AT58"/>
  <c r="BB58"/>
  <c r="AU50"/>
  <c r="AP50"/>
  <c r="AM29"/>
  <c r="AK45"/>
  <c r="AS45"/>
  <c r="BA45"/>
  <c r="AN45"/>
  <c r="AV45"/>
  <c r="AT30"/>
  <c r="AO30"/>
  <c r="AR23"/>
  <c r="AM23"/>
  <c r="W5"/>
  <c r="W18" s="1"/>
  <c r="W4"/>
  <c r="W17" s="1"/>
  <c r="X30" s="1"/>
  <c r="X45" s="1"/>
  <c r="W43"/>
  <c r="AG110"/>
  <c r="AM35"/>
  <c r="AU35"/>
  <c r="AH35"/>
  <c r="AP35"/>
  <c r="AX35"/>
  <c r="AH80" i="18"/>
  <c r="AP80"/>
  <c r="AX80"/>
  <c r="AK80"/>
  <c r="AS80"/>
  <c r="BA80"/>
  <c r="AN78"/>
  <c r="AV78"/>
  <c r="AI78"/>
  <c r="AQ78"/>
  <c r="AY78"/>
  <c r="AM56"/>
  <c r="AU56"/>
  <c r="AH56"/>
  <c r="AP56"/>
  <c r="AX56"/>
  <c r="AI45"/>
  <c r="AQ45"/>
  <c r="AY45"/>
  <c r="AL45"/>
  <c r="AT45"/>
  <c r="BB45"/>
  <c r="AT38"/>
  <c r="AM29"/>
  <c r="AX29"/>
  <c r="AL90"/>
  <c r="AR70" i="17"/>
  <c r="AL70"/>
  <c r="BB70"/>
  <c r="AO70"/>
  <c r="AO68"/>
  <c r="AI68"/>
  <c r="AY68"/>
  <c r="AN68"/>
  <c r="AW58"/>
  <c r="AQ58"/>
  <c r="AJ58"/>
  <c r="AR58"/>
  <c r="AQ50"/>
  <c r="AL50"/>
  <c r="BB50"/>
  <c r="AQ29"/>
  <c r="AI45"/>
  <c r="AQ45"/>
  <c r="AY45"/>
  <c r="AL45"/>
  <c r="AT45"/>
  <c r="AP30"/>
  <c r="AK30"/>
  <c r="BA30"/>
  <c r="AN23"/>
  <c r="AI23"/>
  <c r="AY23"/>
  <c r="W1"/>
  <c r="W14" s="1"/>
  <c r="Y27" s="1"/>
  <c r="W51"/>
  <c r="AK35"/>
  <c r="AS35"/>
  <c r="BA35"/>
  <c r="AN35"/>
  <c r="AN80" i="18"/>
  <c r="AV80"/>
  <c r="AI80"/>
  <c r="AQ80"/>
  <c r="AL78"/>
  <c r="AT78"/>
  <c r="BB78"/>
  <c r="AO78"/>
  <c r="AK56"/>
  <c r="AS56"/>
  <c r="BA56"/>
  <c r="AN56"/>
  <c r="AO45"/>
  <c r="AW45"/>
  <c r="AJ45"/>
  <c r="AR45"/>
  <c r="AL38"/>
  <c r="AW38"/>
  <c r="AP29"/>
  <c r="F7" i="16"/>
  <c r="W8" i="18"/>
  <c r="W21" s="1"/>
  <c r="Z34" s="1"/>
  <c r="AG128" i="17"/>
  <c r="AD128" s="1"/>
  <c r="AX49" i="18"/>
  <c r="AN26"/>
  <c r="AJ88" i="17"/>
  <c r="AN88"/>
  <c r="AR88"/>
  <c r="AV88"/>
  <c r="AI86"/>
  <c r="AM86"/>
  <c r="AQ86"/>
  <c r="AU86"/>
  <c r="AY86"/>
  <c r="AH86"/>
  <c r="AL86"/>
  <c r="AP86"/>
  <c r="AT86"/>
  <c r="AX86"/>
  <c r="AK78"/>
  <c r="BA78"/>
  <c r="AU78"/>
  <c r="AL78"/>
  <c r="AT78"/>
  <c r="BB78"/>
  <c r="AK50"/>
  <c r="AO50"/>
  <c r="AS50"/>
  <c r="AW50"/>
  <c r="BA50"/>
  <c r="AJ50"/>
  <c r="AN50"/>
  <c r="AR50"/>
  <c r="AV50"/>
  <c r="AY33"/>
  <c r="AU33"/>
  <c r="AO33"/>
  <c r="AI33"/>
  <c r="BA26"/>
  <c r="AW26"/>
  <c r="AS26"/>
  <c r="AO26"/>
  <c r="AK26"/>
  <c r="BA24"/>
  <c r="AW24"/>
  <c r="AS24"/>
  <c r="AO24"/>
  <c r="AK24"/>
  <c r="AJ30"/>
  <c r="AN30"/>
  <c r="AR30"/>
  <c r="AV30"/>
  <c r="AZ30"/>
  <c r="AI30"/>
  <c r="AM30"/>
  <c r="AQ30"/>
  <c r="AU30"/>
  <c r="AH23"/>
  <c r="AL23"/>
  <c r="AP23"/>
  <c r="AT23"/>
  <c r="AX23"/>
  <c r="BB23"/>
  <c r="AK23"/>
  <c r="AO23"/>
  <c r="AS23"/>
  <c r="AW23"/>
  <c r="W8"/>
  <c r="W21" s="1"/>
  <c r="AB34" s="1"/>
  <c r="W2"/>
  <c r="W15" s="1"/>
  <c r="Z28" s="1"/>
  <c r="W11"/>
  <c r="W24" s="1"/>
  <c r="W3"/>
  <c r="W16" s="1"/>
  <c r="AB29" s="1"/>
  <c r="W7"/>
  <c r="W20" s="1"/>
  <c r="AC33" s="1"/>
  <c r="AC48" s="1"/>
  <c r="W12"/>
  <c r="W25" s="1"/>
  <c r="X38" s="1"/>
  <c r="W49"/>
  <c r="W42"/>
  <c r="W44"/>
  <c r="W46"/>
  <c r="W50"/>
  <c r="AM49" i="18"/>
  <c r="AX46"/>
  <c r="AM46"/>
  <c r="AU42"/>
  <c r="J7" i="16"/>
  <c r="BA28" i="17"/>
  <c r="AW28"/>
  <c r="AS28"/>
  <c r="AO28"/>
  <c r="AK28"/>
  <c r="BB28"/>
  <c r="AX28"/>
  <c r="AT28"/>
  <c r="AP28"/>
  <c r="AL28"/>
  <c r="AH28"/>
  <c r="AY50" i="18"/>
  <c r="AU50"/>
  <c r="AQ50"/>
  <c r="AM50"/>
  <c r="AI50"/>
  <c r="AZ50"/>
  <c r="AV50"/>
  <c r="AR50"/>
  <c r="AN50"/>
  <c r="AJ50"/>
  <c r="AW50"/>
  <c r="AO50"/>
  <c r="BB50"/>
  <c r="AT50"/>
  <c r="AL50"/>
  <c r="AS40"/>
  <c r="AK40"/>
  <c r="AY36"/>
  <c r="AV36"/>
  <c r="AV31"/>
  <c r="AN31"/>
  <c r="BA28"/>
  <c r="AO28"/>
  <c r="AT28"/>
  <c r="BB28"/>
  <c r="AY38" i="17"/>
  <c r="AU38"/>
  <c r="AQ38"/>
  <c r="AM38"/>
  <c r="AI38"/>
  <c r="AZ38"/>
  <c r="AV38"/>
  <c r="AR38"/>
  <c r="AN38"/>
  <c r="AJ38"/>
  <c r="AW92" i="18"/>
  <c r="AS92"/>
  <c r="AX92"/>
  <c r="AH92"/>
  <c r="BA92"/>
  <c r="AP92"/>
  <c r="BA83"/>
  <c r="AO83"/>
  <c r="AT83"/>
  <c r="BB83"/>
  <c r="AZ68"/>
  <c r="AV68"/>
  <c r="AR68"/>
  <c r="AN68"/>
  <c r="AJ68"/>
  <c r="BA68"/>
  <c r="AW68"/>
  <c r="AS68"/>
  <c r="AO68"/>
  <c r="AK68"/>
  <c r="BA52"/>
  <c r="AW52"/>
  <c r="AS52"/>
  <c r="AO52"/>
  <c r="AK52"/>
  <c r="BB52"/>
  <c r="AX52"/>
  <c r="AT52"/>
  <c r="AP52"/>
  <c r="AL52"/>
  <c r="AH52"/>
  <c r="AY52"/>
  <c r="AQ52"/>
  <c r="AI52"/>
  <c r="AV52"/>
  <c r="AN52"/>
  <c r="AN44"/>
  <c r="AV44"/>
  <c r="AK44"/>
  <c r="BA44"/>
  <c r="AH23"/>
  <c r="AW23"/>
  <c r="AO23"/>
  <c r="AN23"/>
  <c r="AV23"/>
  <c r="BA32" i="17"/>
  <c r="AW32"/>
  <c r="AS32"/>
  <c r="AO32"/>
  <c r="AK32"/>
  <c r="BB32"/>
  <c r="AX32"/>
  <c r="AT32"/>
  <c r="AP32"/>
  <c r="AL32"/>
  <c r="AH32"/>
  <c r="AY82" i="18"/>
  <c r="AU82"/>
  <c r="AQ82"/>
  <c r="AM82"/>
  <c r="AI82"/>
  <c r="AZ82"/>
  <c r="AV82"/>
  <c r="AR82"/>
  <c r="AN82"/>
  <c r="AJ82"/>
  <c r="AZ58"/>
  <c r="AV58"/>
  <c r="AR58"/>
  <c r="AN58"/>
  <c r="AJ58"/>
  <c r="BA58"/>
  <c r="AW58"/>
  <c r="AS58"/>
  <c r="AO58"/>
  <c r="AK58"/>
  <c r="AU85"/>
  <c r="AY85"/>
  <c r="AI85"/>
  <c r="AN85"/>
  <c r="AQ85"/>
  <c r="BB27" i="17"/>
  <c r="AX27"/>
  <c r="AT27"/>
  <c r="AP27"/>
  <c r="AL27"/>
  <c r="AH27"/>
  <c r="AY27"/>
  <c r="AU27"/>
  <c r="AQ27"/>
  <c r="AM27"/>
  <c r="AI27"/>
  <c r="W47" i="18"/>
  <c r="W46"/>
  <c r="W7"/>
  <c r="W20" s="1"/>
  <c r="W12"/>
  <c r="W25" s="1"/>
  <c r="Z38" s="1"/>
  <c r="W6"/>
  <c r="W19" s="1"/>
  <c r="X32" s="1"/>
  <c r="X47" s="1"/>
  <c r="W10"/>
  <c r="W23" s="1"/>
  <c r="AB36" s="1"/>
  <c r="W11"/>
  <c r="W24" s="1"/>
  <c r="AX62"/>
  <c r="AT62"/>
  <c r="AY62"/>
  <c r="AI62"/>
  <c r="BB62"/>
  <c r="AQ62"/>
  <c r="AZ43"/>
  <c r="AV43"/>
  <c r="AR43"/>
  <c r="AN43"/>
  <c r="AJ43"/>
  <c r="BA43"/>
  <c r="AW43"/>
  <c r="AS43"/>
  <c r="AO43"/>
  <c r="AK43"/>
  <c r="AX43"/>
  <c r="AP43"/>
  <c r="AH43"/>
  <c r="AU43"/>
  <c r="AM43"/>
  <c r="BA32"/>
  <c r="AY32"/>
  <c r="AQ32"/>
  <c r="AI32"/>
  <c r="AV32"/>
  <c r="AN32"/>
  <c r="AM32"/>
  <c r="AR32"/>
  <c r="BA70"/>
  <c r="AW70"/>
  <c r="AS70"/>
  <c r="AO70"/>
  <c r="AK70"/>
  <c r="BB70"/>
  <c r="AX70"/>
  <c r="AT70"/>
  <c r="AP70"/>
  <c r="AL70"/>
  <c r="AH70"/>
  <c r="BB43" i="17"/>
  <c r="AX43"/>
  <c r="AT43"/>
  <c r="AP43"/>
  <c r="BA39"/>
  <c r="AX39"/>
  <c r="AT39"/>
  <c r="AP39"/>
  <c r="AL39"/>
  <c r="AH39"/>
  <c r="AY39"/>
  <c r="AU39"/>
  <c r="AQ39"/>
  <c r="AM39"/>
  <c r="AI39"/>
  <c r="AY34"/>
  <c r="AU34"/>
  <c r="AQ34"/>
  <c r="AM34"/>
  <c r="AI34"/>
  <c r="AZ34"/>
  <c r="AV34"/>
  <c r="AR34"/>
  <c r="AN34"/>
  <c r="AJ34"/>
  <c r="BA36"/>
  <c r="AW36"/>
  <c r="AS36"/>
  <c r="AO36"/>
  <c r="AK36"/>
  <c r="BB36"/>
  <c r="AX36"/>
  <c r="AT36"/>
  <c r="AP36"/>
  <c r="AL36"/>
  <c r="AH36"/>
  <c r="AY34" i="18"/>
  <c r="BA34"/>
  <c r="AS34"/>
  <c r="AK34"/>
  <c r="AX34"/>
  <c r="AP34"/>
  <c r="AH34"/>
  <c r="AW34"/>
  <c r="BB34"/>
  <c r="AL34"/>
  <c r="AY76"/>
  <c r="AU76"/>
  <c r="AQ76"/>
  <c r="AM76"/>
  <c r="AI76"/>
  <c r="AZ76"/>
  <c r="AV76"/>
  <c r="AR76"/>
  <c r="AN76"/>
  <c r="AJ76"/>
  <c r="AW76"/>
  <c r="AO76"/>
  <c r="BB76"/>
  <c r="AT76"/>
  <c r="AL76"/>
  <c r="BB47"/>
  <c r="AV47"/>
  <c r="AN47"/>
  <c r="BA47"/>
  <c r="AS47"/>
  <c r="AK47"/>
  <c r="AR47"/>
  <c r="AW47"/>
  <c r="AZ35"/>
  <c r="AV35"/>
  <c r="AR35"/>
  <c r="AN35"/>
  <c r="AJ35"/>
  <c r="BA35"/>
  <c r="AW35"/>
  <c r="AS35"/>
  <c r="AO35"/>
  <c r="AK35"/>
  <c r="AX35"/>
  <c r="AP35"/>
  <c r="AH35"/>
  <c r="AU35"/>
  <c r="AM35"/>
  <c r="AO78" i="17"/>
  <c r="AW78"/>
  <c r="AI78"/>
  <c r="AQ78"/>
  <c r="AY78"/>
  <c r="AJ78"/>
  <c r="AN78"/>
  <c r="AR78"/>
  <c r="AV78"/>
  <c r="AM71"/>
  <c r="AU71"/>
  <c r="AK71"/>
  <c r="AS71"/>
  <c r="BA71"/>
  <c r="AJ71"/>
  <c r="AN71"/>
  <c r="AR71"/>
  <c r="AV71"/>
  <c r="AK66"/>
  <c r="AS66"/>
  <c r="BA66"/>
  <c r="AM66"/>
  <c r="AU66"/>
  <c r="AH66"/>
  <c r="AL66"/>
  <c r="AP66"/>
  <c r="AT66"/>
  <c r="AX66"/>
  <c r="AI59"/>
  <c r="AQ59"/>
  <c r="AY59"/>
  <c r="AO59"/>
  <c r="AW59"/>
  <c r="AH59"/>
  <c r="AL59"/>
  <c r="AP59"/>
  <c r="AT59"/>
  <c r="AX59"/>
  <c r="AK52"/>
  <c r="AR52"/>
  <c r="AZ52"/>
  <c r="AJ52"/>
  <c r="AP52"/>
  <c r="AX52"/>
  <c r="AM52"/>
  <c r="AQ52"/>
  <c r="AU52"/>
  <c r="AK48"/>
  <c r="AO48"/>
  <c r="AS48"/>
  <c r="AW48"/>
  <c r="BA48"/>
  <c r="AJ48"/>
  <c r="AN48"/>
  <c r="AR48"/>
  <c r="AV48"/>
  <c r="BA29"/>
  <c r="AW29"/>
  <c r="AS29"/>
  <c r="AO29"/>
  <c r="AK29"/>
  <c r="AI84"/>
  <c r="AM84"/>
  <c r="AQ84"/>
  <c r="AU84"/>
  <c r="AY84"/>
  <c r="AH84"/>
  <c r="AL84"/>
  <c r="AP84"/>
  <c r="AT84"/>
  <c r="AX84"/>
  <c r="AK54"/>
  <c r="AS54"/>
  <c r="BA54"/>
  <c r="AM54"/>
  <c r="AU54"/>
  <c r="AH54"/>
  <c r="AL54"/>
  <c r="AP54"/>
  <c r="AT54"/>
  <c r="AX54"/>
  <c r="AI43"/>
  <c r="AM43"/>
  <c r="AQ43"/>
  <c r="AU43"/>
  <c r="AY43"/>
  <c r="AH43"/>
  <c r="AL43"/>
  <c r="AR43"/>
  <c r="AZ43"/>
  <c r="AL38"/>
  <c r="AT38"/>
  <c r="BB38"/>
  <c r="AO38"/>
  <c r="AW38"/>
  <c r="AJ36"/>
  <c r="AR36"/>
  <c r="AZ36"/>
  <c r="AM36"/>
  <c r="AU36"/>
  <c r="AH34"/>
  <c r="AP34"/>
  <c r="AX34"/>
  <c r="AK34"/>
  <c r="AS34"/>
  <c r="BA34"/>
  <c r="AN32"/>
  <c r="AV32"/>
  <c r="AI32"/>
  <c r="AQ32"/>
  <c r="AY32"/>
  <c r="AK27"/>
  <c r="AS27"/>
  <c r="BA27"/>
  <c r="AN27"/>
  <c r="AV27"/>
  <c r="AO39"/>
  <c r="AW39"/>
  <c r="AJ39"/>
  <c r="AR39"/>
  <c r="AZ39"/>
  <c r="AJ28"/>
  <c r="AR28"/>
  <c r="AZ28"/>
  <c r="AM28"/>
  <c r="AU28"/>
  <c r="AZ23" i="18"/>
  <c r="AJ23"/>
  <c r="AL82"/>
  <c r="AT82"/>
  <c r="BB82"/>
  <c r="AO82"/>
  <c r="AW82"/>
  <c r="AN70"/>
  <c r="AV70"/>
  <c r="AI70"/>
  <c r="AQ70"/>
  <c r="AY70"/>
  <c r="AM68"/>
  <c r="AU68"/>
  <c r="AH68"/>
  <c r="AP68"/>
  <c r="AX68"/>
  <c r="AM58"/>
  <c r="AU58"/>
  <c r="AH58"/>
  <c r="AP58"/>
  <c r="AX58"/>
  <c r="AJ52"/>
  <c r="AZ52"/>
  <c r="AU52"/>
  <c r="AP50"/>
  <c r="AK50"/>
  <c r="BA50"/>
  <c r="W5"/>
  <c r="W18" s="1"/>
  <c r="AC31" s="1"/>
  <c r="AC46" s="1"/>
  <c r="AI43"/>
  <c r="AY43"/>
  <c r="AT43"/>
  <c r="AQ35"/>
  <c r="AL35"/>
  <c r="BB35"/>
  <c r="AO34"/>
  <c r="AZ32"/>
  <c r="AL28"/>
  <c r="AK92"/>
  <c r="AV85"/>
  <c r="AW83"/>
  <c r="AH76"/>
  <c r="AX76"/>
  <c r="AS76"/>
  <c r="AL62"/>
  <c r="AO47"/>
  <c r="AZ47"/>
  <c r="AH49"/>
  <c r="AI47"/>
  <c r="AM47"/>
  <c r="AQ47"/>
  <c r="AU47"/>
  <c r="AY47"/>
  <c r="AH47"/>
  <c r="AL47"/>
  <c r="AP47"/>
  <c r="AT47"/>
  <c r="AX47"/>
  <c r="AL46"/>
  <c r="AP42"/>
  <c r="AH32"/>
  <c r="AL32"/>
  <c r="AP32"/>
  <c r="AT32"/>
  <c r="AX32"/>
  <c r="BB32"/>
  <c r="AK32"/>
  <c r="AO32"/>
  <c r="AS32"/>
  <c r="AW32"/>
  <c r="W2"/>
  <c r="W15" s="1"/>
  <c r="AB28" s="1"/>
  <c r="AK23"/>
  <c r="AS23"/>
  <c r="BA23"/>
  <c r="W3"/>
  <c r="W16" s="1"/>
  <c r="AB29" s="1"/>
  <c r="AH28"/>
  <c r="AP28"/>
  <c r="AX28"/>
  <c r="AK28"/>
  <c r="AS28"/>
  <c r="AX23"/>
  <c r="AL92"/>
  <c r="AT92"/>
  <c r="BB92"/>
  <c r="AO92"/>
  <c r="AJ85"/>
  <c r="AR85"/>
  <c r="AZ85"/>
  <c r="AM85"/>
  <c r="AH83"/>
  <c r="AP83"/>
  <c r="AX83"/>
  <c r="AK83"/>
  <c r="AS83"/>
  <c r="AM62"/>
  <c r="AU62"/>
  <c r="AH62"/>
  <c r="AP62"/>
  <c r="AS44"/>
  <c r="AP40"/>
  <c r="BA40"/>
  <c r="AQ36"/>
  <c r="AS31"/>
  <c r="W42"/>
  <c r="AH40"/>
  <c r="AX40"/>
  <c r="AN36"/>
  <c r="AI36"/>
  <c r="AK31"/>
  <c r="BA31"/>
  <c r="AY40"/>
  <c r="AW40"/>
  <c r="AO40"/>
  <c r="BB40"/>
  <c r="AT40"/>
  <c r="AL40"/>
  <c r="BA36"/>
  <c r="AU36"/>
  <c r="AM36"/>
  <c r="AZ36"/>
  <c r="AR36"/>
  <c r="AJ36"/>
  <c r="BB31"/>
  <c r="AZ31"/>
  <c r="AR31"/>
  <c r="AJ31"/>
  <c r="AW31"/>
  <c r="AO31"/>
  <c r="AY28"/>
  <c r="AU28"/>
  <c r="AQ28"/>
  <c r="AM28"/>
  <c r="AI28"/>
  <c r="AZ28"/>
  <c r="AV28"/>
  <c r="AR28"/>
  <c r="AN28"/>
  <c r="AJ28"/>
  <c r="AY92"/>
  <c r="AU92"/>
  <c r="AQ92"/>
  <c r="AM92"/>
  <c r="AI92"/>
  <c r="AZ92"/>
  <c r="AV92"/>
  <c r="AR92"/>
  <c r="AN92"/>
  <c r="AJ92"/>
  <c r="AY83"/>
  <c r="AU83"/>
  <c r="AQ83"/>
  <c r="AM83"/>
  <c r="AI83"/>
  <c r="AZ83"/>
  <c r="AV83"/>
  <c r="AR83"/>
  <c r="AN83"/>
  <c r="AJ83"/>
  <c r="BB44"/>
  <c r="AZ44"/>
  <c r="AR44"/>
  <c r="AJ44"/>
  <c r="AW44"/>
  <c r="AO44"/>
  <c r="BB23"/>
  <c r="AL23"/>
  <c r="AT23"/>
  <c r="AY23"/>
  <c r="AU23"/>
  <c r="AQ23"/>
  <c r="AM23"/>
  <c r="AI23"/>
  <c r="BA85"/>
  <c r="AW85"/>
  <c r="AS85"/>
  <c r="AO85"/>
  <c r="AK85"/>
  <c r="BB85"/>
  <c r="AX85"/>
  <c r="AT85"/>
  <c r="AP85"/>
  <c r="AL85"/>
  <c r="AH85"/>
  <c r="W1"/>
  <c r="W14" s="1"/>
  <c r="AG129"/>
  <c r="AD129" s="1"/>
  <c r="W51"/>
  <c r="W50"/>
  <c r="W44"/>
  <c r="W9"/>
  <c r="W22" s="1"/>
  <c r="AC35" s="1"/>
  <c r="AZ62"/>
  <c r="AV62"/>
  <c r="AR62"/>
  <c r="AN62"/>
  <c r="AJ62"/>
  <c r="BA62"/>
  <c r="AW62"/>
  <c r="AS62"/>
  <c r="AO62"/>
  <c r="AK62"/>
  <c r="AJ48"/>
  <c r="AN48"/>
  <c r="AR48"/>
  <c r="AV48"/>
  <c r="AI48"/>
  <c r="AQ48"/>
  <c r="AK37"/>
  <c r="AS37"/>
  <c r="BA37"/>
  <c r="AN37"/>
  <c r="AJ34"/>
  <c r="AN34"/>
  <c r="AR34"/>
  <c r="AV34"/>
  <c r="AZ34"/>
  <c r="AI34"/>
  <c r="AM34"/>
  <c r="AQ34"/>
  <c r="AU34"/>
  <c r="AH38"/>
  <c r="AP38"/>
  <c r="AX38"/>
  <c r="AK38"/>
  <c r="AS38"/>
  <c r="AI29"/>
  <c r="AQ29"/>
  <c r="AY29"/>
  <c r="AL29"/>
  <c r="AT29"/>
  <c r="AH90"/>
  <c r="AP90"/>
  <c r="AZ90"/>
  <c r="AN87"/>
  <c r="AI87"/>
  <c r="AU74"/>
  <c r="AU49"/>
  <c r="AU46"/>
  <c r="AM42"/>
  <c r="AH42"/>
  <c r="AM33"/>
  <c r="AI44"/>
  <c r="AM44"/>
  <c r="AQ44"/>
  <c r="AU44"/>
  <c r="AY44"/>
  <c r="AH44"/>
  <c r="AL44"/>
  <c r="AP44"/>
  <c r="AT44"/>
  <c r="AX44"/>
  <c r="W4"/>
  <c r="W17" s="1"/>
  <c r="AB30" s="1"/>
  <c r="AJ40"/>
  <c r="AN40"/>
  <c r="AR40"/>
  <c r="AV40"/>
  <c r="AZ40"/>
  <c r="AI40"/>
  <c r="AM40"/>
  <c r="AQ40"/>
  <c r="AU40"/>
  <c r="AH36"/>
  <c r="AL36"/>
  <c r="AP36"/>
  <c r="AT36"/>
  <c r="AX36"/>
  <c r="BB36"/>
  <c r="AK36"/>
  <c r="AO36"/>
  <c r="AS36"/>
  <c r="AW36"/>
  <c r="AI31"/>
  <c r="AM31"/>
  <c r="AQ31"/>
  <c r="AU31"/>
  <c r="AY31"/>
  <c r="AH31"/>
  <c r="AL31"/>
  <c r="AP31"/>
  <c r="AT31"/>
  <c r="AX31"/>
  <c r="W43"/>
  <c r="W45"/>
  <c r="W48"/>
  <c r="W52"/>
  <c r="W49"/>
  <c r="W53"/>
  <c r="AU24"/>
  <c r="AG130"/>
  <c r="AD130" s="1"/>
  <c r="AG131"/>
  <c r="BA48"/>
  <c r="AW48"/>
  <c r="AS48"/>
  <c r="AO48"/>
  <c r="AK48"/>
  <c r="BB48"/>
  <c r="AX48"/>
  <c r="AY38"/>
  <c r="AU38"/>
  <c r="AQ38"/>
  <c r="AM38"/>
  <c r="AI38"/>
  <c r="AZ38"/>
  <c r="AV38"/>
  <c r="AR38"/>
  <c r="AN38"/>
  <c r="AJ38"/>
  <c r="BB33"/>
  <c r="AT33"/>
  <c r="AL33"/>
  <c r="AY33"/>
  <c r="AQ33"/>
  <c r="AI33"/>
  <c r="AZ29"/>
  <c r="AV29"/>
  <c r="AR29"/>
  <c r="AN29"/>
  <c r="AJ29"/>
  <c r="BA29"/>
  <c r="AW29"/>
  <c r="AS29"/>
  <c r="AO29"/>
  <c r="AK29"/>
  <c r="AZ26"/>
  <c r="AR26"/>
  <c r="AJ26"/>
  <c r="AW26"/>
  <c r="AO26"/>
  <c r="AU87"/>
  <c r="AM87"/>
  <c r="AZ87"/>
  <c r="AR87"/>
  <c r="AJ87"/>
  <c r="BB46"/>
  <c r="BA46"/>
  <c r="AP46"/>
  <c r="AH46"/>
  <c r="AQ46"/>
  <c r="AI46"/>
  <c r="BB42"/>
  <c r="AT42"/>
  <c r="AL42"/>
  <c r="AY42"/>
  <c r="AQ42"/>
  <c r="AI42"/>
  <c r="BA90"/>
  <c r="AS90"/>
  <c r="AK90"/>
  <c r="AV90"/>
  <c r="AR90"/>
  <c r="AN90"/>
  <c r="AJ90"/>
  <c r="BB74"/>
  <c r="AT74"/>
  <c r="AL74"/>
  <c r="AY74"/>
  <c r="AQ74"/>
  <c r="AI74"/>
  <c r="BB49"/>
  <c r="AT49"/>
  <c r="AL49"/>
  <c r="AY49"/>
  <c r="AQ49"/>
  <c r="AI49"/>
  <c r="BB37"/>
  <c r="AX37"/>
  <c r="AT37"/>
  <c r="AP37"/>
  <c r="AL37"/>
  <c r="AH37"/>
  <c r="AY37"/>
  <c r="AU37"/>
  <c r="AQ37"/>
  <c r="AM37"/>
  <c r="AI37"/>
  <c r="AU33"/>
  <c r="AP33"/>
  <c r="AK26"/>
  <c r="BA26"/>
  <c r="AV26"/>
  <c r="AK24"/>
  <c r="AZ33"/>
  <c r="AV33"/>
  <c r="AR33"/>
  <c r="AN33"/>
  <c r="AJ33"/>
  <c r="BA33"/>
  <c r="AW33"/>
  <c r="AS33"/>
  <c r="AO33"/>
  <c r="AK33"/>
  <c r="BB26"/>
  <c r="AX26"/>
  <c r="AT26"/>
  <c r="AP26"/>
  <c r="AL26"/>
  <c r="AH26"/>
  <c r="AY26"/>
  <c r="AU26"/>
  <c r="AQ26"/>
  <c r="AM26"/>
  <c r="AI26"/>
  <c r="AG131" i="17"/>
  <c r="AD131" s="1"/>
  <c r="AG130"/>
  <c r="AD130" s="1"/>
  <c r="AG129"/>
  <c r="AD129" s="1"/>
  <c r="BA87" i="18"/>
  <c r="AW87"/>
  <c r="AS87"/>
  <c r="AO87"/>
  <c r="AK87"/>
  <c r="BB87"/>
  <c r="AX87"/>
  <c r="AT87"/>
  <c r="AP87"/>
  <c r="AL87"/>
  <c r="AH87"/>
  <c r="AZ46"/>
  <c r="AV46"/>
  <c r="AW46"/>
  <c r="AR46"/>
  <c r="AN46"/>
  <c r="AJ46"/>
  <c r="AY46"/>
  <c r="AS46"/>
  <c r="AO46"/>
  <c r="AK46"/>
  <c r="AZ42"/>
  <c r="AV42"/>
  <c r="AR42"/>
  <c r="AN42"/>
  <c r="AJ42"/>
  <c r="BA42"/>
  <c r="AW42"/>
  <c r="AS42"/>
  <c r="AO42"/>
  <c r="AK42"/>
  <c r="BB90"/>
  <c r="AY90"/>
  <c r="AU90"/>
  <c r="AQ90"/>
  <c r="AM90"/>
  <c r="AI90"/>
  <c r="AX90"/>
  <c r="AZ74"/>
  <c r="AV74"/>
  <c r="AR74"/>
  <c r="AN74"/>
  <c r="AJ74"/>
  <c r="BA74"/>
  <c r="AW74"/>
  <c r="AS74"/>
  <c r="AO74"/>
  <c r="AK74"/>
  <c r="AZ49"/>
  <c r="AV49"/>
  <c r="AR49"/>
  <c r="AN49"/>
  <c r="AJ49"/>
  <c r="BA49"/>
  <c r="AW49"/>
  <c r="AS49"/>
  <c r="AO49"/>
  <c r="AK49"/>
  <c r="AZ24"/>
  <c r="BB24"/>
  <c r="AL24"/>
  <c r="BA24"/>
  <c r="AS24"/>
  <c r="AM24"/>
  <c r="AH24"/>
  <c r="AP24"/>
  <c r="AX24"/>
  <c r="AO24"/>
  <c r="AW24"/>
  <c r="AI24"/>
  <c r="AQ24"/>
  <c r="AY24"/>
  <c r="AJ24"/>
  <c r="AN24"/>
  <c r="AR24"/>
  <c r="AV24"/>
  <c r="AD131"/>
  <c r="BA88"/>
  <c r="AY88"/>
  <c r="AW88"/>
  <c r="AU88"/>
  <c r="AS88"/>
  <c r="AQ88"/>
  <c r="AO88"/>
  <c r="AM88"/>
  <c r="AK88"/>
  <c r="AI88"/>
  <c r="BB88"/>
  <c r="AZ88"/>
  <c r="AX88"/>
  <c r="AV88"/>
  <c r="AT88"/>
  <c r="AR88"/>
  <c r="AP88"/>
  <c r="AN88"/>
  <c r="AL88"/>
  <c r="AJ88"/>
  <c r="AH88"/>
  <c r="BA86"/>
  <c r="AY86"/>
  <c r="AW86"/>
  <c r="AU86"/>
  <c r="AS86"/>
  <c r="AQ86"/>
  <c r="AO86"/>
  <c r="AM86"/>
  <c r="AK86"/>
  <c r="AI86"/>
  <c r="BB86"/>
  <c r="AZ86"/>
  <c r="AX86"/>
  <c r="AV86"/>
  <c r="AT86"/>
  <c r="AR86"/>
  <c r="AP86"/>
  <c r="AN86"/>
  <c r="AL86"/>
  <c r="AJ86"/>
  <c r="AH86"/>
  <c r="BA84"/>
  <c r="AY84"/>
  <c r="AW84"/>
  <c r="AU84"/>
  <c r="AS84"/>
  <c r="AQ84"/>
  <c r="AO84"/>
  <c r="AM84"/>
  <c r="AK84"/>
  <c r="AI84"/>
  <c r="BB84"/>
  <c r="AZ84"/>
  <c r="AX84"/>
  <c r="AV84"/>
  <c r="AT84"/>
  <c r="AR84"/>
  <c r="AP84"/>
  <c r="AN84"/>
  <c r="AL84"/>
  <c r="AJ84"/>
  <c r="AH84"/>
  <c r="BA93"/>
  <c r="AY93"/>
  <c r="AW93"/>
  <c r="AU93"/>
  <c r="AS93"/>
  <c r="AQ93"/>
  <c r="AO93"/>
  <c r="AM93"/>
  <c r="AK93"/>
  <c r="AI93"/>
  <c r="BB93"/>
  <c r="AZ93"/>
  <c r="AX93"/>
  <c r="AV93"/>
  <c r="AT93"/>
  <c r="AR93"/>
  <c r="AP93"/>
  <c r="AN93"/>
  <c r="AL93"/>
  <c r="AJ93"/>
  <c r="AH93"/>
  <c r="BA91"/>
  <c r="AY91"/>
  <c r="AW91"/>
  <c r="AU91"/>
  <c r="AS91"/>
  <c r="AQ91"/>
  <c r="AO91"/>
  <c r="AM91"/>
  <c r="AK91"/>
  <c r="AI91"/>
  <c r="BB91"/>
  <c r="AZ91"/>
  <c r="AX91"/>
  <c r="AV91"/>
  <c r="AT91"/>
  <c r="AR91"/>
  <c r="AP91"/>
  <c r="AN91"/>
  <c r="AL91"/>
  <c r="AJ91"/>
  <c r="AH91"/>
  <c r="BA89"/>
  <c r="AY89"/>
  <c r="AW89"/>
  <c r="AU89"/>
  <c r="AS89"/>
  <c r="AQ89"/>
  <c r="AO89"/>
  <c r="AM89"/>
  <c r="AK89"/>
  <c r="AI89"/>
  <c r="BB89"/>
  <c r="AZ89"/>
  <c r="AX89"/>
  <c r="AV89"/>
  <c r="AT89"/>
  <c r="AR89"/>
  <c r="AP89"/>
  <c r="AN89"/>
  <c r="AL89"/>
  <c r="AJ89"/>
  <c r="AH89"/>
  <c r="AC37"/>
  <c r="AA37"/>
  <c r="Y37"/>
  <c r="AB37"/>
  <c r="Z37"/>
  <c r="X37"/>
  <c r="BA75"/>
  <c r="AY75"/>
  <c r="AW75"/>
  <c r="AU75"/>
  <c r="AS75"/>
  <c r="AQ75"/>
  <c r="BB75"/>
  <c r="AZ75"/>
  <c r="AX75"/>
  <c r="AV75"/>
  <c r="AT75"/>
  <c r="AR75"/>
  <c r="AP75"/>
  <c r="AN75"/>
  <c r="AL75"/>
  <c r="AJ75"/>
  <c r="AH75"/>
  <c r="AO75"/>
  <c r="AM75"/>
  <c r="AK75"/>
  <c r="AI75"/>
  <c r="BB73"/>
  <c r="AZ73"/>
  <c r="AX73"/>
  <c r="AV73"/>
  <c r="AT73"/>
  <c r="AR73"/>
  <c r="AP73"/>
  <c r="AN73"/>
  <c r="AL73"/>
  <c r="AJ73"/>
  <c r="AH73"/>
  <c r="BA73"/>
  <c r="AY73"/>
  <c r="AW73"/>
  <c r="AU73"/>
  <c r="AS73"/>
  <c r="AQ73"/>
  <c r="AO73"/>
  <c r="AM73"/>
  <c r="AK73"/>
  <c r="AI73"/>
  <c r="BB71"/>
  <c r="AZ71"/>
  <c r="AX71"/>
  <c r="AV71"/>
  <c r="AT71"/>
  <c r="AR71"/>
  <c r="AP71"/>
  <c r="AN71"/>
  <c r="AL71"/>
  <c r="AJ71"/>
  <c r="AH71"/>
  <c r="BA71"/>
  <c r="AY71"/>
  <c r="AW71"/>
  <c r="AU71"/>
  <c r="AS71"/>
  <c r="AQ71"/>
  <c r="AO71"/>
  <c r="AM71"/>
  <c r="AK71"/>
  <c r="AI71"/>
  <c r="X34"/>
  <c r="AC34"/>
  <c r="BB63"/>
  <c r="AZ63"/>
  <c r="AX63"/>
  <c r="AV63"/>
  <c r="AT63"/>
  <c r="AR63"/>
  <c r="AP63"/>
  <c r="AN63"/>
  <c r="AL63"/>
  <c r="AJ63"/>
  <c r="AH63"/>
  <c r="BA63"/>
  <c r="AY63"/>
  <c r="AW63"/>
  <c r="AU63"/>
  <c r="AS63"/>
  <c r="AQ63"/>
  <c r="AO63"/>
  <c r="AM63"/>
  <c r="AK63"/>
  <c r="AI63"/>
  <c r="BB61"/>
  <c r="AZ61"/>
  <c r="AX61"/>
  <c r="AV61"/>
  <c r="AT61"/>
  <c r="AR61"/>
  <c r="AP61"/>
  <c r="AN61"/>
  <c r="AL61"/>
  <c r="AJ61"/>
  <c r="AH61"/>
  <c r="BA61"/>
  <c r="AY61"/>
  <c r="AW61"/>
  <c r="AU61"/>
  <c r="AS61"/>
  <c r="AQ61"/>
  <c r="AO61"/>
  <c r="AM61"/>
  <c r="AK61"/>
  <c r="AI61"/>
  <c r="BB59"/>
  <c r="AZ59"/>
  <c r="AX59"/>
  <c r="AV59"/>
  <c r="AT59"/>
  <c r="AR59"/>
  <c r="AP59"/>
  <c r="AN59"/>
  <c r="AL59"/>
  <c r="AJ59"/>
  <c r="AH59"/>
  <c r="BA59"/>
  <c r="AY59"/>
  <c r="AW59"/>
  <c r="AU59"/>
  <c r="AS59"/>
  <c r="AQ59"/>
  <c r="AO59"/>
  <c r="AM59"/>
  <c r="AK59"/>
  <c r="AI59"/>
  <c r="Y32"/>
  <c r="Y47" s="1"/>
  <c r="BB25"/>
  <c r="AZ25"/>
  <c r="AX25"/>
  <c r="AV25"/>
  <c r="AT25"/>
  <c r="AR25"/>
  <c r="AP25"/>
  <c r="AN25"/>
  <c r="AL25"/>
  <c r="AJ25"/>
  <c r="AH25"/>
  <c r="AY25"/>
  <c r="AU25"/>
  <c r="AQ25"/>
  <c r="AM25"/>
  <c r="AI25"/>
  <c r="BA25"/>
  <c r="AW25"/>
  <c r="AS25"/>
  <c r="AO25"/>
  <c r="AK25"/>
  <c r="BA81"/>
  <c r="AY81"/>
  <c r="AW81"/>
  <c r="AU81"/>
  <c r="AS81"/>
  <c r="AQ81"/>
  <c r="AO81"/>
  <c r="AM81"/>
  <c r="AK81"/>
  <c r="AI81"/>
  <c r="BB81"/>
  <c r="AZ81"/>
  <c r="AX81"/>
  <c r="AV81"/>
  <c r="AT81"/>
  <c r="AR81"/>
  <c r="AP81"/>
  <c r="AN81"/>
  <c r="AL81"/>
  <c r="AJ81"/>
  <c r="AH81"/>
  <c r="BA79"/>
  <c r="AY79"/>
  <c r="AW79"/>
  <c r="AU79"/>
  <c r="AS79"/>
  <c r="AQ79"/>
  <c r="AO79"/>
  <c r="AM79"/>
  <c r="AK79"/>
  <c r="AI79"/>
  <c r="BB79"/>
  <c r="AZ79"/>
  <c r="AX79"/>
  <c r="AV79"/>
  <c r="AT79"/>
  <c r="AR79"/>
  <c r="AP79"/>
  <c r="AN79"/>
  <c r="AL79"/>
  <c r="AJ79"/>
  <c r="AH79"/>
  <c r="BA77"/>
  <c r="AY77"/>
  <c r="AW77"/>
  <c r="AU77"/>
  <c r="AS77"/>
  <c r="AQ77"/>
  <c r="AO77"/>
  <c r="AM77"/>
  <c r="AK77"/>
  <c r="AI77"/>
  <c r="BB77"/>
  <c r="AZ77"/>
  <c r="AX77"/>
  <c r="AV77"/>
  <c r="AT77"/>
  <c r="AR77"/>
  <c r="AP77"/>
  <c r="AN77"/>
  <c r="AL77"/>
  <c r="AJ77"/>
  <c r="AH77"/>
  <c r="BB69"/>
  <c r="AZ69"/>
  <c r="AX69"/>
  <c r="AV69"/>
  <c r="AT69"/>
  <c r="AR69"/>
  <c r="AP69"/>
  <c r="AN69"/>
  <c r="AL69"/>
  <c r="AJ69"/>
  <c r="AH69"/>
  <c r="BA69"/>
  <c r="AY69"/>
  <c r="AW69"/>
  <c r="AU69"/>
  <c r="AS69"/>
  <c r="AQ69"/>
  <c r="AO69"/>
  <c r="AM69"/>
  <c r="AK69"/>
  <c r="AI69"/>
  <c r="BB67"/>
  <c r="AZ67"/>
  <c r="AX67"/>
  <c r="AV67"/>
  <c r="AT67"/>
  <c r="AR67"/>
  <c r="AP67"/>
  <c r="AN67"/>
  <c r="AL67"/>
  <c r="AJ67"/>
  <c r="AH67"/>
  <c r="BA67"/>
  <c r="AY67"/>
  <c r="AW67"/>
  <c r="AU67"/>
  <c r="AS67"/>
  <c r="AQ67"/>
  <c r="AO67"/>
  <c r="AM67"/>
  <c r="AK67"/>
  <c r="AI67"/>
  <c r="BB65"/>
  <c r="AZ65"/>
  <c r="AX65"/>
  <c r="AV65"/>
  <c r="AT65"/>
  <c r="AR65"/>
  <c r="AP65"/>
  <c r="AN65"/>
  <c r="AL65"/>
  <c r="AJ65"/>
  <c r="AH65"/>
  <c r="BA65"/>
  <c r="AY65"/>
  <c r="AW65"/>
  <c r="AU65"/>
  <c r="AS65"/>
  <c r="AQ65"/>
  <c r="AO65"/>
  <c r="AM65"/>
  <c r="AK65"/>
  <c r="AI65"/>
  <c r="AC33"/>
  <c r="AA33"/>
  <c r="Y33"/>
  <c r="AB33"/>
  <c r="Z33"/>
  <c r="X33"/>
  <c r="BB57"/>
  <c r="AZ57"/>
  <c r="AX57"/>
  <c r="AV57"/>
  <c r="AT57"/>
  <c r="AR57"/>
  <c r="AP57"/>
  <c r="AN57"/>
  <c r="AL57"/>
  <c r="AJ57"/>
  <c r="AH57"/>
  <c r="BA57"/>
  <c r="AY57"/>
  <c r="AW57"/>
  <c r="AU57"/>
  <c r="AS57"/>
  <c r="AQ57"/>
  <c r="AO57"/>
  <c r="AM57"/>
  <c r="AK57"/>
  <c r="AI57"/>
  <c r="BB55"/>
  <c r="AZ55"/>
  <c r="AX55"/>
  <c r="AV55"/>
  <c r="AT55"/>
  <c r="AR55"/>
  <c r="AP55"/>
  <c r="AN55"/>
  <c r="AL55"/>
  <c r="AJ55"/>
  <c r="AH55"/>
  <c r="BA55"/>
  <c r="AY55"/>
  <c r="AW55"/>
  <c r="AU55"/>
  <c r="AS55"/>
  <c r="AQ55"/>
  <c r="AO55"/>
  <c r="AM55"/>
  <c r="AK55"/>
  <c r="AI55"/>
  <c r="BB53"/>
  <c r="AZ53"/>
  <c r="AX53"/>
  <c r="AV53"/>
  <c r="AT53"/>
  <c r="AR53"/>
  <c r="AP53"/>
  <c r="AN53"/>
  <c r="AL53"/>
  <c r="AJ53"/>
  <c r="AH53"/>
  <c r="BA53"/>
  <c r="AY53"/>
  <c r="AW53"/>
  <c r="AU53"/>
  <c r="AS53"/>
  <c r="AQ53"/>
  <c r="AO53"/>
  <c r="AM53"/>
  <c r="AK53"/>
  <c r="AI53"/>
  <c r="BB51"/>
  <c r="AZ51"/>
  <c r="AX51"/>
  <c r="AV51"/>
  <c r="AT51"/>
  <c r="AR51"/>
  <c r="AP51"/>
  <c r="AN51"/>
  <c r="AL51"/>
  <c r="AJ51"/>
  <c r="AH51"/>
  <c r="BA51"/>
  <c r="AY51"/>
  <c r="AW51"/>
  <c r="AU51"/>
  <c r="AS51"/>
  <c r="AQ51"/>
  <c r="AO51"/>
  <c r="AM51"/>
  <c r="AK51"/>
  <c r="AI51"/>
  <c r="Y30"/>
  <c r="BB37" i="17"/>
  <c r="AZ37"/>
  <c r="AX37"/>
  <c r="AV37"/>
  <c r="AT37"/>
  <c r="AR37"/>
  <c r="AP37"/>
  <c r="AN37"/>
  <c r="AL37"/>
  <c r="AJ37"/>
  <c r="AH37"/>
  <c r="BA37"/>
  <c r="AY37"/>
  <c r="AW37"/>
  <c r="AU37"/>
  <c r="AS37"/>
  <c r="AQ37"/>
  <c r="AO37"/>
  <c r="AM37"/>
  <c r="AK37"/>
  <c r="AI37"/>
  <c r="AI97"/>
  <c r="AC31"/>
  <c r="AA31"/>
  <c r="Y31"/>
  <c r="Y46" s="1"/>
  <c r="AB31"/>
  <c r="Z31"/>
  <c r="X31"/>
  <c r="AB36"/>
  <c r="AB51" s="1"/>
  <c r="AA36"/>
  <c r="AA51" s="1"/>
  <c r="X32"/>
  <c r="AC27"/>
  <c r="AC35"/>
  <c r="AC50" s="1"/>
  <c r="AA35"/>
  <c r="AA50" s="1"/>
  <c r="Y35"/>
  <c r="Y50" s="1"/>
  <c r="AB35"/>
  <c r="AB50" s="1"/>
  <c r="Z35"/>
  <c r="Z50" s="1"/>
  <c r="X35"/>
  <c r="X50" s="1"/>
  <c r="AH97"/>
  <c r="AP97"/>
  <c r="AX97"/>
  <c r="AA28"/>
  <c r="AC37"/>
  <c r="AA37"/>
  <c r="Y37"/>
  <c r="AB37"/>
  <c r="Z37"/>
  <c r="X37"/>
  <c r="Z38"/>
  <c r="E11" i="13"/>
  <c r="E12"/>
  <c r="E13"/>
  <c r="E14"/>
  <c r="E15"/>
  <c r="E16"/>
  <c r="E17"/>
  <c r="E18"/>
  <c r="E19"/>
  <c r="E20"/>
  <c r="E21"/>
  <c r="E22"/>
  <c r="AB12"/>
  <c r="AG93" s="1"/>
  <c r="AA12"/>
  <c r="AG92" s="1"/>
  <c r="Z12"/>
  <c r="AG91" s="1"/>
  <c r="Y12"/>
  <c r="AG90" s="1"/>
  <c r="X12"/>
  <c r="AG89" s="1"/>
  <c r="AC11"/>
  <c r="AG88" s="1"/>
  <c r="AB11"/>
  <c r="AG87" s="1"/>
  <c r="AA11"/>
  <c r="AG86" s="1"/>
  <c r="Z11"/>
  <c r="AG85" s="1"/>
  <c r="Y11"/>
  <c r="AG84" s="1"/>
  <c r="X11"/>
  <c r="AG83" s="1"/>
  <c r="AC10"/>
  <c r="AB10"/>
  <c r="AA10"/>
  <c r="Z10"/>
  <c r="Y10"/>
  <c r="X10"/>
  <c r="AG77" s="1"/>
  <c r="AC9"/>
  <c r="AB9"/>
  <c r="AA9"/>
  <c r="Z9"/>
  <c r="Y9"/>
  <c r="X9"/>
  <c r="AC8"/>
  <c r="AB8"/>
  <c r="AA8"/>
  <c r="Z8"/>
  <c r="Y8"/>
  <c r="X8"/>
  <c r="AC7"/>
  <c r="AB7"/>
  <c r="AA7"/>
  <c r="Z7"/>
  <c r="Y7"/>
  <c r="X7"/>
  <c r="AC6"/>
  <c r="AB6"/>
  <c r="AA6"/>
  <c r="Z6"/>
  <c r="Y6"/>
  <c r="X6"/>
  <c r="AC5"/>
  <c r="AB5"/>
  <c r="AA5"/>
  <c r="Z5"/>
  <c r="Y5"/>
  <c r="X5"/>
  <c r="AC4"/>
  <c r="AB4"/>
  <c r="AA4"/>
  <c r="Z4"/>
  <c r="Y4"/>
  <c r="X4"/>
  <c r="AC3"/>
  <c r="AB3"/>
  <c r="AA3"/>
  <c r="Z3"/>
  <c r="Y3"/>
  <c r="X3"/>
  <c r="AC2"/>
  <c r="AB2"/>
  <c r="AA2"/>
  <c r="Z2"/>
  <c r="Y2"/>
  <c r="X2"/>
  <c r="X15" s="1"/>
  <c r="AC1"/>
  <c r="AB1"/>
  <c r="AA1"/>
  <c r="Z1"/>
  <c r="Y1"/>
  <c r="X1"/>
  <c r="Z52" i="17" l="1"/>
  <c r="AC52"/>
  <c r="X53"/>
  <c r="W52"/>
  <c r="X52"/>
  <c r="AA52"/>
  <c r="Z53"/>
  <c r="Y52"/>
  <c r="AB52"/>
  <c r="AA38" i="18"/>
  <c r="AA53" s="1"/>
  <c r="AB52"/>
  <c r="AO97" i="17"/>
  <c r="AV97"/>
  <c r="AU97"/>
  <c r="AB27"/>
  <c r="AB42" s="1"/>
  <c r="Z27"/>
  <c r="Z42" s="1"/>
  <c r="Y33"/>
  <c r="Y48" s="1"/>
  <c r="X34"/>
  <c r="X49" s="1"/>
  <c r="X27"/>
  <c r="X42" s="1"/>
  <c r="AA27"/>
  <c r="AA42" s="1"/>
  <c r="AA43"/>
  <c r="AC30"/>
  <c r="AC45" s="1"/>
  <c r="AC32"/>
  <c r="AC47" s="1"/>
  <c r="Z36"/>
  <c r="Z51" s="1"/>
  <c r="AC46"/>
  <c r="AC38"/>
  <c r="AC53" s="1"/>
  <c r="Y36"/>
  <c r="Y51" s="1"/>
  <c r="Y38"/>
  <c r="Y53" s="1"/>
  <c r="AB28"/>
  <c r="AB43" s="1"/>
  <c r="AA32"/>
  <c r="AA47" s="1"/>
  <c r="AB32"/>
  <c r="AB47" s="1"/>
  <c r="X36"/>
  <c r="X51" s="1"/>
  <c r="Z46"/>
  <c r="X28"/>
  <c r="X43" s="1"/>
  <c r="Y32"/>
  <c r="Y47" s="1"/>
  <c r="AC29"/>
  <c r="AC44" s="1"/>
  <c r="X29"/>
  <c r="X44" s="1"/>
  <c r="AQ97"/>
  <c r="AR98"/>
  <c r="X48" i="18"/>
  <c r="AA48"/>
  <c r="Z30"/>
  <c r="Z45" s="1"/>
  <c r="AC30"/>
  <c r="AC45" s="1"/>
  <c r="AB48"/>
  <c r="AS98" i="17"/>
  <c r="AP98"/>
  <c r="BB98"/>
  <c r="AL98"/>
  <c r="AK97"/>
  <c r="AZ97"/>
  <c r="BA97"/>
  <c r="AA29"/>
  <c r="AA44" s="1"/>
  <c r="Z29"/>
  <c r="Z44" s="1"/>
  <c r="Y42"/>
  <c r="Y29"/>
  <c r="Y44" s="1"/>
  <c r="Y30"/>
  <c r="Y45" s="1"/>
  <c r="Z30"/>
  <c r="Z45" s="1"/>
  <c r="Z47"/>
  <c r="Z43"/>
  <c r="AA30"/>
  <c r="AA45" s="1"/>
  <c r="AB30"/>
  <c r="AB45" s="1"/>
  <c r="AC42"/>
  <c r="X47"/>
  <c r="AR97"/>
  <c r="AB35" i="18"/>
  <c r="AB50" s="1"/>
  <c r="AH98" i="17"/>
  <c r="AX98"/>
  <c r="X29" i="18"/>
  <c r="X44" s="1"/>
  <c r="AN99" i="17"/>
  <c r="AC29" i="18"/>
  <c r="AC44" s="1"/>
  <c r="AN98" i="17"/>
  <c r="AA31" i="18"/>
  <c r="AA46" s="1"/>
  <c r="Z36"/>
  <c r="Z51" s="1"/>
  <c r="AB31"/>
  <c r="AB46" s="1"/>
  <c r="AC36"/>
  <c r="AC51" s="1"/>
  <c r="AM98" i="17"/>
  <c r="AR102"/>
  <c r="AK98"/>
  <c r="AJ98"/>
  <c r="AZ98"/>
  <c r="AI98"/>
  <c r="AY98"/>
  <c r="AT98"/>
  <c r="AL97"/>
  <c r="BB97"/>
  <c r="AT97"/>
  <c r="AW97"/>
  <c r="AS97"/>
  <c r="AN97"/>
  <c r="X31" i="18"/>
  <c r="X46" s="1"/>
  <c r="Y36"/>
  <c r="Y51" s="1"/>
  <c r="AQ98" i="17"/>
  <c r="AY97"/>
  <c r="AM97"/>
  <c r="AR104"/>
  <c r="X38" i="18"/>
  <c r="X53" s="1"/>
  <c r="Y29"/>
  <c r="Y44" s="1"/>
  <c r="AN97"/>
  <c r="AC28"/>
  <c r="AC43" s="1"/>
  <c r="AA38" i="17"/>
  <c r="AA53" s="1"/>
  <c r="AG114" s="1"/>
  <c r="BB114" s="1"/>
  <c r="AB38"/>
  <c r="AB53" s="1"/>
  <c r="AC28"/>
  <c r="AC43" s="1"/>
  <c r="AB46"/>
  <c r="AM108"/>
  <c r="AU108"/>
  <c r="AH108"/>
  <c r="AP108"/>
  <c r="AX108"/>
  <c r="AC38" i="18"/>
  <c r="AC53" s="1"/>
  <c r="Z29"/>
  <c r="Z44" s="1"/>
  <c r="Y28" i="17"/>
  <c r="Y43" s="1"/>
  <c r="AC51"/>
  <c r="AG124" s="1"/>
  <c r="X46"/>
  <c r="AA46"/>
  <c r="BB108"/>
  <c r="AB38" i="18"/>
  <c r="AB53" s="1"/>
  <c r="AG123" s="1"/>
  <c r="AA29"/>
  <c r="AA44" s="1"/>
  <c r="AU98" i="17"/>
  <c r="AW98"/>
  <c r="AG121"/>
  <c r="E11" i="16" s="1"/>
  <c r="BA98" i="17"/>
  <c r="AG120"/>
  <c r="D11" i="16" s="1"/>
  <c r="AO99" i="18"/>
  <c r="AJ101" i="17"/>
  <c r="AV98"/>
  <c r="AO98"/>
  <c r="AG123"/>
  <c r="G11" i="16" s="1"/>
  <c r="AG122" i="17"/>
  <c r="F11" i="16" s="1"/>
  <c r="AR103" i="17"/>
  <c r="Y28" i="18"/>
  <c r="Y43" s="1"/>
  <c r="AG119" i="17"/>
  <c r="C11" i="16" s="1"/>
  <c r="AB49" i="17"/>
  <c r="Y38" i="18"/>
  <c r="Y53" s="1"/>
  <c r="AG112" s="1"/>
  <c r="BB112" s="1"/>
  <c r="X35"/>
  <c r="X50" s="1"/>
  <c r="Z28"/>
  <c r="Z43" s="1"/>
  <c r="X52"/>
  <c r="AA52"/>
  <c r="AA34"/>
  <c r="AA49" s="1"/>
  <c r="AB34"/>
  <c r="AB49" s="1"/>
  <c r="Z32"/>
  <c r="Z47" s="1"/>
  <c r="Y34"/>
  <c r="Y49" s="1"/>
  <c r="Z33" i="17"/>
  <c r="Z48" s="1"/>
  <c r="AA33"/>
  <c r="AA48" s="1"/>
  <c r="AB44"/>
  <c r="Y34"/>
  <c r="Y49" s="1"/>
  <c r="Z34"/>
  <c r="Z49" s="1"/>
  <c r="AC34"/>
  <c r="AC49" s="1"/>
  <c r="X33"/>
  <c r="X48" s="1"/>
  <c r="AB33"/>
  <c r="AB48" s="1"/>
  <c r="AA34"/>
  <c r="AA49" s="1"/>
  <c r="AJ97"/>
  <c r="AQ108"/>
  <c r="AY108"/>
  <c r="AC32" i="18"/>
  <c r="AC47" s="1"/>
  <c r="AI107" i="17"/>
  <c r="AL108"/>
  <c r="AT108"/>
  <c r="AJ108"/>
  <c r="AO107"/>
  <c r="AW107"/>
  <c r="AJ106"/>
  <c r="AA32" i="18"/>
  <c r="AA47" s="1"/>
  <c r="AB32"/>
  <c r="AB47" s="1"/>
  <c r="AK105" i="17"/>
  <c r="AS107"/>
  <c r="BA107"/>
  <c r="AN104"/>
  <c r="AV104"/>
  <c r="AB44" i="18"/>
  <c r="AA35"/>
  <c r="AA50" s="1"/>
  <c r="AN106" i="17"/>
  <c r="AZ104"/>
  <c r="AC50" i="18"/>
  <c r="AG113" i="17"/>
  <c r="AG111"/>
  <c r="AC49" i="18"/>
  <c r="Z49"/>
  <c r="AV98"/>
  <c r="AN98"/>
  <c r="AB43"/>
  <c r="AB51"/>
  <c r="Z35"/>
  <c r="Z50" s="1"/>
  <c r="Y35"/>
  <c r="Y50" s="1"/>
  <c r="AA28"/>
  <c r="AA43" s="1"/>
  <c r="X28"/>
  <c r="X43" s="1"/>
  <c r="Z31"/>
  <c r="Z46" s="1"/>
  <c r="Y31"/>
  <c r="Y46" s="1"/>
  <c r="AA36"/>
  <c r="AA51" s="1"/>
  <c r="X36"/>
  <c r="X51" s="1"/>
  <c r="AX99" i="17"/>
  <c r="AO105"/>
  <c r="AP106"/>
  <c r="AV97" i="18"/>
  <c r="AO100"/>
  <c r="AB45"/>
  <c r="AA30"/>
  <c r="AA45" s="1"/>
  <c r="X30"/>
  <c r="X45" s="1"/>
  <c r="Z48"/>
  <c r="Y48"/>
  <c r="AC48"/>
  <c r="X49"/>
  <c r="Y27"/>
  <c r="Y42" s="1"/>
  <c r="AC27"/>
  <c r="AC42" s="1"/>
  <c r="AB27"/>
  <c r="AB42" s="1"/>
  <c r="Z27"/>
  <c r="Z42" s="1"/>
  <c r="AA27"/>
  <c r="AA42" s="1"/>
  <c r="X27"/>
  <c r="X42" s="1"/>
  <c r="AV99"/>
  <c r="AN99"/>
  <c r="AO98"/>
  <c r="AK100"/>
  <c r="Z53"/>
  <c r="AO97"/>
  <c r="AN100"/>
  <c r="AV100"/>
  <c r="Y45"/>
  <c r="AH101"/>
  <c r="AP101"/>
  <c r="AX101"/>
  <c r="AK98"/>
  <c r="AS99"/>
  <c r="BA100"/>
  <c r="AM97"/>
  <c r="AU97"/>
  <c r="AH98"/>
  <c r="AL99"/>
  <c r="AP99"/>
  <c r="AT99"/>
  <c r="AX98"/>
  <c r="Z52"/>
  <c r="Y52"/>
  <c r="AC52"/>
  <c r="AT107" i="17"/>
  <c r="AT101"/>
  <c r="AT102"/>
  <c r="AH99"/>
  <c r="BA98" i="18"/>
  <c r="AW99"/>
  <c r="AP97"/>
  <c r="AW100"/>
  <c r="AX97"/>
  <c r="AH97"/>
  <c r="AS100"/>
  <c r="BA108" i="17"/>
  <c r="AP98" i="18"/>
  <c r="BA97"/>
  <c r="AK99"/>
  <c r="AS104" i="17"/>
  <c r="AS102"/>
  <c r="AS101"/>
  <c r="AK107"/>
  <c r="AZ101"/>
  <c r="BA102" i="18"/>
  <c r="BA104" i="17"/>
  <c r="BA102"/>
  <c r="BA101"/>
  <c r="AW105"/>
  <c r="AS108"/>
  <c r="AK104"/>
  <c r="AK106"/>
  <c r="AK99"/>
  <c r="AZ103"/>
  <c r="AL98" i="18"/>
  <c r="AW98"/>
  <c r="AX99"/>
  <c r="AH99"/>
  <c r="AS98"/>
  <c r="BB107" i="17"/>
  <c r="BB101"/>
  <c r="BB102"/>
  <c r="AX106"/>
  <c r="AP99"/>
  <c r="AL107"/>
  <c r="AL101"/>
  <c r="AL102"/>
  <c r="AH106"/>
  <c r="AY106"/>
  <c r="AY103"/>
  <c r="AU104"/>
  <c r="AU99"/>
  <c r="AH100" i="18"/>
  <c r="AP100"/>
  <c r="AX100"/>
  <c r="BA99"/>
  <c r="AW97"/>
  <c r="AS97"/>
  <c r="AK97"/>
  <c r="AN107"/>
  <c r="AT98"/>
  <c r="AU107" i="17"/>
  <c r="AQ106"/>
  <c r="AQ103"/>
  <c r="AK106" i="18"/>
  <c r="AS102"/>
  <c r="AW102"/>
  <c r="AZ136"/>
  <c r="AZ102" i="17"/>
  <c r="AV99"/>
  <c r="AV106"/>
  <c r="AR101"/>
  <c r="AJ107"/>
  <c r="AJ100"/>
  <c r="AL97" i="18"/>
  <c r="AT97"/>
  <c r="AV107"/>
  <c r="BA105" i="17"/>
  <c r="AW104"/>
  <c r="AW102"/>
  <c r="AW101"/>
  <c r="AW108"/>
  <c r="AS105"/>
  <c r="AO104"/>
  <c r="AO102"/>
  <c r="AO101"/>
  <c r="AO108"/>
  <c r="AK103"/>
  <c r="AZ108"/>
  <c r="AZ106"/>
  <c r="AV101"/>
  <c r="AV107"/>
  <c r="AV102"/>
  <c r="AR108"/>
  <c r="AR106"/>
  <c r="AN101"/>
  <c r="AN107"/>
  <c r="AN102"/>
  <c r="AJ99"/>
  <c r="AJ104"/>
  <c r="AK102" i="18"/>
  <c r="AO102"/>
  <c r="AS108"/>
  <c r="AW108"/>
  <c r="BA108"/>
  <c r="AN105"/>
  <c r="AV105"/>
  <c r="AH105"/>
  <c r="AP105"/>
  <c r="AX105"/>
  <c r="AL100"/>
  <c r="AT100"/>
  <c r="BA100" i="17"/>
  <c r="BA106"/>
  <c r="BA99"/>
  <c r="BA103"/>
  <c r="AW100"/>
  <c r="AW106"/>
  <c r="AW99"/>
  <c r="AW103"/>
  <c r="AS100"/>
  <c r="AS106"/>
  <c r="AS99"/>
  <c r="AS103"/>
  <c r="AO100"/>
  <c r="AO106"/>
  <c r="AO99"/>
  <c r="AO103"/>
  <c r="AK100"/>
  <c r="AK108"/>
  <c r="AK102"/>
  <c r="AK101"/>
  <c r="AZ105"/>
  <c r="AZ99"/>
  <c r="AZ107"/>
  <c r="AZ100"/>
  <c r="AV105"/>
  <c r="AV103"/>
  <c r="AV108"/>
  <c r="AV100"/>
  <c r="AR105"/>
  <c r="AR99"/>
  <c r="AR107"/>
  <c r="AR100"/>
  <c r="AN105"/>
  <c r="AN103"/>
  <c r="AN108"/>
  <c r="AN100"/>
  <c r="AJ105"/>
  <c r="AJ103"/>
  <c r="AJ102"/>
  <c r="AH102" i="18"/>
  <c r="AP102"/>
  <c r="AX102"/>
  <c r="BA101"/>
  <c r="AW101"/>
  <c r="AS101"/>
  <c r="AO101"/>
  <c r="AN108"/>
  <c r="AV108"/>
  <c r="BB99" i="17"/>
  <c r="BB106"/>
  <c r="AX107"/>
  <c r="AX101"/>
  <c r="AX102"/>
  <c r="AT99"/>
  <c r="AT106"/>
  <c r="AP107"/>
  <c r="AP101"/>
  <c r="AP102"/>
  <c r="AL99"/>
  <c r="AL106"/>
  <c r="AH107"/>
  <c r="AH101"/>
  <c r="AH102"/>
  <c r="AY104"/>
  <c r="AY99"/>
  <c r="AY107"/>
  <c r="AU106"/>
  <c r="AU103"/>
  <c r="AQ104"/>
  <c r="AQ99"/>
  <c r="AQ107"/>
  <c r="AM106"/>
  <c r="AM103"/>
  <c r="AH106" i="18"/>
  <c r="AP106"/>
  <c r="AX106"/>
  <c r="BA105"/>
  <c r="BA106"/>
  <c r="AW105"/>
  <c r="AW106"/>
  <c r="AS105"/>
  <c r="AS106"/>
  <c r="AO106"/>
  <c r="AN104"/>
  <c r="AN103"/>
  <c r="AV104"/>
  <c r="AV103"/>
  <c r="AW136"/>
  <c r="AM104" i="17"/>
  <c r="AM99"/>
  <c r="AM107"/>
  <c r="AI104"/>
  <c r="AI101"/>
  <c r="AL133" i="18"/>
  <c r="AR136"/>
  <c r="AO136"/>
  <c r="AJ136"/>
  <c r="AV136"/>
  <c r="AI106" i="17"/>
  <c r="AI105"/>
  <c r="AK136" i="18"/>
  <c r="AS136"/>
  <c r="AJ133"/>
  <c r="AN136"/>
  <c r="AO105"/>
  <c r="AK105"/>
  <c r="AX136"/>
  <c r="AH107"/>
  <c r="AP107"/>
  <c r="AX107"/>
  <c r="B21" i="16"/>
  <c r="AI108" i="18"/>
  <c r="AQ108"/>
  <c r="AY108"/>
  <c r="AJ105"/>
  <c r="AR105"/>
  <c r="AZ105"/>
  <c r="AH104"/>
  <c r="AH108"/>
  <c r="AH103"/>
  <c r="AP104"/>
  <c r="AP108"/>
  <c r="AP103"/>
  <c r="AX104"/>
  <c r="AX108"/>
  <c r="AX103"/>
  <c r="BA103"/>
  <c r="BA107"/>
  <c r="BA104"/>
  <c r="AW103"/>
  <c r="AW107"/>
  <c r="AW104"/>
  <c r="AS103"/>
  <c r="AS107"/>
  <c r="AS104"/>
  <c r="AO103"/>
  <c r="AK101"/>
  <c r="AN102"/>
  <c r="AN106"/>
  <c r="AN101"/>
  <c r="AV102"/>
  <c r="AV106"/>
  <c r="AV101"/>
  <c r="AM106"/>
  <c r="AU106"/>
  <c r="AL105"/>
  <c r="AT105"/>
  <c r="AK108"/>
  <c r="AO108"/>
  <c r="AG116"/>
  <c r="BA116" s="1"/>
  <c r="AM108"/>
  <c r="AU108"/>
  <c r="AU98"/>
  <c r="AM98"/>
  <c r="AI136"/>
  <c r="AM136"/>
  <c r="AQ136"/>
  <c r="AU136"/>
  <c r="AY136"/>
  <c r="AN133"/>
  <c r="AL136"/>
  <c r="AP136"/>
  <c r="AT136"/>
  <c r="AG115" i="17"/>
  <c r="BB115" s="1"/>
  <c r="BB103"/>
  <c r="BB105"/>
  <c r="BB100"/>
  <c r="BB104"/>
  <c r="AX103"/>
  <c r="AX105"/>
  <c r="AX100"/>
  <c r="AX104"/>
  <c r="AT103"/>
  <c r="AT105"/>
  <c r="AT100"/>
  <c r="AT104"/>
  <c r="AP103"/>
  <c r="AP105"/>
  <c r="AP100"/>
  <c r="AP104"/>
  <c r="AL103"/>
  <c r="AL105"/>
  <c r="AL100"/>
  <c r="AL104"/>
  <c r="AH103"/>
  <c r="AH105"/>
  <c r="AH100"/>
  <c r="AH104"/>
  <c r="AG112"/>
  <c r="BB112" s="1"/>
  <c r="B14" i="16"/>
  <c r="AY102" i="17"/>
  <c r="AY100"/>
  <c r="AY101"/>
  <c r="AY105"/>
  <c r="AU102"/>
  <c r="AU100"/>
  <c r="AU101"/>
  <c r="AU105"/>
  <c r="AQ102"/>
  <c r="AQ100"/>
  <c r="AQ101"/>
  <c r="AQ105"/>
  <c r="AM102"/>
  <c r="AM100"/>
  <c r="AM101"/>
  <c r="AM105"/>
  <c r="AI102"/>
  <c r="AI100"/>
  <c r="AI108"/>
  <c r="AI99"/>
  <c r="AI103"/>
  <c r="AZ136"/>
  <c r="AX136"/>
  <c r="AV136"/>
  <c r="AT136"/>
  <c r="AR136"/>
  <c r="AP136"/>
  <c r="AN136"/>
  <c r="AL136"/>
  <c r="AJ136"/>
  <c r="AN133"/>
  <c r="AJ133"/>
  <c r="AY136"/>
  <c r="AU136"/>
  <c r="AQ136"/>
  <c r="AM136"/>
  <c r="AI136"/>
  <c r="AW136"/>
  <c r="AS136"/>
  <c r="AO136"/>
  <c r="AK136"/>
  <c r="AL133"/>
  <c r="AO107" i="18"/>
  <c r="AO104"/>
  <c r="AK103"/>
  <c r="AK107"/>
  <c r="AK104"/>
  <c r="AL104"/>
  <c r="AL108"/>
  <c r="AL103"/>
  <c r="AL107"/>
  <c r="AT104"/>
  <c r="AT108"/>
  <c r="AT103"/>
  <c r="AT107"/>
  <c r="AY97"/>
  <c r="AY101"/>
  <c r="AY105"/>
  <c r="AY98"/>
  <c r="AY102"/>
  <c r="AY106"/>
  <c r="AU101"/>
  <c r="AU105"/>
  <c r="AU102"/>
  <c r="AQ97"/>
  <c r="AQ101"/>
  <c r="AQ105"/>
  <c r="AQ98"/>
  <c r="AQ102"/>
  <c r="AQ106"/>
  <c r="AM101"/>
  <c r="AM105"/>
  <c r="AM102"/>
  <c r="AI97"/>
  <c r="AI101"/>
  <c r="AI105"/>
  <c r="AI98"/>
  <c r="AI102"/>
  <c r="AI106"/>
  <c r="AJ100"/>
  <c r="AJ104"/>
  <c r="AJ108"/>
  <c r="AJ99"/>
  <c r="AJ103"/>
  <c r="AJ107"/>
  <c r="AR100"/>
  <c r="AR104"/>
  <c r="AR108"/>
  <c r="AR99"/>
  <c r="AR103"/>
  <c r="AR107"/>
  <c r="AZ100"/>
  <c r="AZ104"/>
  <c r="AZ108"/>
  <c r="AZ99"/>
  <c r="AZ103"/>
  <c r="AZ107"/>
  <c r="AL102"/>
  <c r="AL106"/>
  <c r="AL101"/>
  <c r="AT102"/>
  <c r="AT106"/>
  <c r="AT101"/>
  <c r="BB107"/>
  <c r="BB103"/>
  <c r="BB99"/>
  <c r="BB106"/>
  <c r="BB102"/>
  <c r="BB98"/>
  <c r="BB108"/>
  <c r="BB105"/>
  <c r="BB101"/>
  <c r="BB97"/>
  <c r="BB104"/>
  <c r="BB100"/>
  <c r="AY99"/>
  <c r="AY103"/>
  <c r="AY107"/>
  <c r="AY100"/>
  <c r="AY104"/>
  <c r="AU99"/>
  <c r="AU103"/>
  <c r="AU107"/>
  <c r="AU100"/>
  <c r="AU104"/>
  <c r="AQ99"/>
  <c r="AQ103"/>
  <c r="AQ107"/>
  <c r="AQ100"/>
  <c r="AQ104"/>
  <c r="AM99"/>
  <c r="AM103"/>
  <c r="AM107"/>
  <c r="AM100"/>
  <c r="AM104"/>
  <c r="AI99"/>
  <c r="AI103"/>
  <c r="AI107"/>
  <c r="AI100"/>
  <c r="AI104"/>
  <c r="AJ98"/>
  <c r="AJ102"/>
  <c r="AJ106"/>
  <c r="AJ97"/>
  <c r="AJ101"/>
  <c r="AR98"/>
  <c r="AR102"/>
  <c r="AR106"/>
  <c r="AR97"/>
  <c r="AR101"/>
  <c r="AZ98"/>
  <c r="AZ102"/>
  <c r="AZ106"/>
  <c r="AZ97"/>
  <c r="AZ101"/>
  <c r="BA77" i="13"/>
  <c r="AZ77"/>
  <c r="BB77"/>
  <c r="AX77"/>
  <c r="AV77"/>
  <c r="AT77"/>
  <c r="AR77"/>
  <c r="AY77"/>
  <c r="AW77"/>
  <c r="AU77"/>
  <c r="AS77"/>
  <c r="AQ77"/>
  <c r="AP77"/>
  <c r="AO77"/>
  <c r="AM77"/>
  <c r="AK77"/>
  <c r="AI77"/>
  <c r="AN77"/>
  <c r="AJ77"/>
  <c r="AL77"/>
  <c r="BA83"/>
  <c r="AX83"/>
  <c r="AV83"/>
  <c r="AT83"/>
  <c r="AR83"/>
  <c r="AP83"/>
  <c r="AN83"/>
  <c r="AL83"/>
  <c r="AJ83"/>
  <c r="AH83"/>
  <c r="AZ83"/>
  <c r="BB83"/>
  <c r="AY83"/>
  <c r="AW83"/>
  <c r="AU83"/>
  <c r="AS83"/>
  <c r="AQ83"/>
  <c r="AO83"/>
  <c r="AM83"/>
  <c r="AK83"/>
  <c r="AI83"/>
  <c r="BA85"/>
  <c r="AX85"/>
  <c r="AV85"/>
  <c r="AT85"/>
  <c r="AR85"/>
  <c r="AP85"/>
  <c r="AN85"/>
  <c r="AL85"/>
  <c r="AJ85"/>
  <c r="AH85"/>
  <c r="AZ85"/>
  <c r="BB85"/>
  <c r="AY85"/>
  <c r="AW85"/>
  <c r="AU85"/>
  <c r="AS85"/>
  <c r="AQ85"/>
  <c r="AO85"/>
  <c r="AM85"/>
  <c r="AK85"/>
  <c r="AI85"/>
  <c r="BA87"/>
  <c r="AX87"/>
  <c r="AV87"/>
  <c r="AT87"/>
  <c r="AR87"/>
  <c r="AP87"/>
  <c r="AN87"/>
  <c r="AL87"/>
  <c r="AJ87"/>
  <c r="AH87"/>
  <c r="AZ87"/>
  <c r="BB87"/>
  <c r="AY87"/>
  <c r="AW87"/>
  <c r="AU87"/>
  <c r="AS87"/>
  <c r="AQ87"/>
  <c r="AO87"/>
  <c r="AM87"/>
  <c r="AK87"/>
  <c r="AI87"/>
  <c r="BA89"/>
  <c r="AX89"/>
  <c r="AV89"/>
  <c r="AT89"/>
  <c r="AR89"/>
  <c r="AP89"/>
  <c r="AN89"/>
  <c r="AL89"/>
  <c r="AJ89"/>
  <c r="AH89"/>
  <c r="AZ89"/>
  <c r="BB89"/>
  <c r="AY89"/>
  <c r="AW89"/>
  <c r="AU89"/>
  <c r="AS89"/>
  <c r="AQ89"/>
  <c r="AO89"/>
  <c r="AM89"/>
  <c r="AK89"/>
  <c r="AI89"/>
  <c r="BA91"/>
  <c r="AX91"/>
  <c r="AV91"/>
  <c r="AT91"/>
  <c r="AR91"/>
  <c r="AP91"/>
  <c r="AN91"/>
  <c r="AL91"/>
  <c r="AJ91"/>
  <c r="AH91"/>
  <c r="AZ91"/>
  <c r="BB91"/>
  <c r="AY91"/>
  <c r="AW91"/>
  <c r="AU91"/>
  <c r="AS91"/>
  <c r="AQ91"/>
  <c r="AO91"/>
  <c r="AM91"/>
  <c r="AK91"/>
  <c r="AI91"/>
  <c r="BA93"/>
  <c r="AX93"/>
  <c r="AV93"/>
  <c r="AT93"/>
  <c r="AR93"/>
  <c r="AP93"/>
  <c r="AN93"/>
  <c r="AL93"/>
  <c r="AJ93"/>
  <c r="AH93"/>
  <c r="AZ93"/>
  <c r="BB93"/>
  <c r="AY93"/>
  <c r="AW93"/>
  <c r="AU93"/>
  <c r="AS93"/>
  <c r="AQ93"/>
  <c r="AO93"/>
  <c r="AM93"/>
  <c r="AK93"/>
  <c r="AI93"/>
  <c r="AZ84"/>
  <c r="BB84"/>
  <c r="AX84"/>
  <c r="AV84"/>
  <c r="AT84"/>
  <c r="AR84"/>
  <c r="AP84"/>
  <c r="AN84"/>
  <c r="AL84"/>
  <c r="AJ84"/>
  <c r="AH84"/>
  <c r="BA84"/>
  <c r="AY84"/>
  <c r="AW84"/>
  <c r="AU84"/>
  <c r="AS84"/>
  <c r="AQ84"/>
  <c r="AO84"/>
  <c r="AM84"/>
  <c r="AK84"/>
  <c r="AI84"/>
  <c r="AZ86"/>
  <c r="BB86"/>
  <c r="AX86"/>
  <c r="AV86"/>
  <c r="AT86"/>
  <c r="AR86"/>
  <c r="AP86"/>
  <c r="AN86"/>
  <c r="AL86"/>
  <c r="AJ86"/>
  <c r="AH86"/>
  <c r="BA86"/>
  <c r="AY86"/>
  <c r="AW86"/>
  <c r="AU86"/>
  <c r="AS86"/>
  <c r="AQ86"/>
  <c r="AO86"/>
  <c r="AM86"/>
  <c r="AK86"/>
  <c r="AI86"/>
  <c r="AZ88"/>
  <c r="BB88"/>
  <c r="AX88"/>
  <c r="AV88"/>
  <c r="AT88"/>
  <c r="AR88"/>
  <c r="AP88"/>
  <c r="AN88"/>
  <c r="AL88"/>
  <c r="AJ88"/>
  <c r="AH88"/>
  <c r="BA88"/>
  <c r="AY88"/>
  <c r="AW88"/>
  <c r="AU88"/>
  <c r="AS88"/>
  <c r="AQ88"/>
  <c r="AO88"/>
  <c r="AM88"/>
  <c r="AK88"/>
  <c r="AI88"/>
  <c r="AZ90"/>
  <c r="BB90"/>
  <c r="AX90"/>
  <c r="AV90"/>
  <c r="AT90"/>
  <c r="AR90"/>
  <c r="AP90"/>
  <c r="AN90"/>
  <c r="AL90"/>
  <c r="AJ90"/>
  <c r="AH90"/>
  <c r="BA90"/>
  <c r="AY90"/>
  <c r="AW90"/>
  <c r="AU90"/>
  <c r="AS90"/>
  <c r="AQ90"/>
  <c r="AO90"/>
  <c r="AM90"/>
  <c r="AK90"/>
  <c r="AI90"/>
  <c r="AZ92"/>
  <c r="BB92"/>
  <c r="AX92"/>
  <c r="AV92"/>
  <c r="AT92"/>
  <c r="AR92"/>
  <c r="AP92"/>
  <c r="AN92"/>
  <c r="AL92"/>
  <c r="AJ92"/>
  <c r="AH92"/>
  <c r="BA92"/>
  <c r="AY92"/>
  <c r="AW92"/>
  <c r="AU92"/>
  <c r="AS92"/>
  <c r="AQ92"/>
  <c r="AO92"/>
  <c r="AM92"/>
  <c r="AK92"/>
  <c r="AI92"/>
  <c r="AH77"/>
  <c r="T4"/>
  <c r="AG115" i="18" l="1"/>
  <c r="AZ115" s="1"/>
  <c r="AG113"/>
  <c r="BB113" s="1"/>
  <c r="AH119" i="17"/>
  <c r="AQ119"/>
  <c r="AR123"/>
  <c r="AO121"/>
  <c r="AS123"/>
  <c r="AX119"/>
  <c r="AY114"/>
  <c r="AS120"/>
  <c r="AQ122"/>
  <c r="AJ114"/>
  <c r="AQ121"/>
  <c r="AX121"/>
  <c r="AG116"/>
  <c r="AU116" s="1"/>
  <c r="AP121"/>
  <c r="AH121"/>
  <c r="AQ114"/>
  <c r="AZ114"/>
  <c r="AJ120"/>
  <c r="AI114"/>
  <c r="AR114"/>
  <c r="AN116"/>
  <c r="AV115"/>
  <c r="AU115"/>
  <c r="AM115"/>
  <c r="AK120"/>
  <c r="AT120"/>
  <c r="AZ120"/>
  <c r="BA120"/>
  <c r="AJ112"/>
  <c r="H11" i="16"/>
  <c r="BB124" i="17"/>
  <c r="AO124"/>
  <c r="AW124"/>
  <c r="AR124"/>
  <c r="AL124"/>
  <c r="AP122"/>
  <c r="AV122"/>
  <c r="AY122"/>
  <c r="AI122"/>
  <c r="AO123"/>
  <c r="AP123"/>
  <c r="AM119"/>
  <c r="BA119"/>
  <c r="AV119"/>
  <c r="AY112"/>
  <c r="AM121"/>
  <c r="AK121"/>
  <c r="BA121"/>
  <c r="AN121"/>
  <c r="AV121"/>
  <c r="AU123"/>
  <c r="AJ123"/>
  <c r="AZ123"/>
  <c r="AO119"/>
  <c r="AP119"/>
  <c r="AQ112"/>
  <c r="AZ112"/>
  <c r="AI121"/>
  <c r="AY121"/>
  <c r="AW121"/>
  <c r="AL121"/>
  <c r="AT121"/>
  <c r="BB121"/>
  <c r="AQ123"/>
  <c r="AH123"/>
  <c r="AX123"/>
  <c r="AK119"/>
  <c r="AN119"/>
  <c r="AI112"/>
  <c r="AR112"/>
  <c r="AU121"/>
  <c r="AS121"/>
  <c r="AJ121"/>
  <c r="AR121"/>
  <c r="AZ121"/>
  <c r="AO114"/>
  <c r="AW114"/>
  <c r="AH114"/>
  <c r="AP114"/>
  <c r="AX114"/>
  <c r="AR122"/>
  <c r="AL122"/>
  <c r="BB122"/>
  <c r="AO122"/>
  <c r="AW122"/>
  <c r="AG119" i="18"/>
  <c r="BA119" s="1"/>
  <c r="AM114" i="17"/>
  <c r="AU114"/>
  <c r="AF114"/>
  <c r="AE5" i="16" s="1"/>
  <c r="AN114" i="17"/>
  <c r="AV114"/>
  <c r="AN122"/>
  <c r="AH122"/>
  <c r="AX122"/>
  <c r="AM122"/>
  <c r="AU122"/>
  <c r="AK114"/>
  <c r="AS114"/>
  <c r="BA114"/>
  <c r="AL114"/>
  <c r="AT114"/>
  <c r="AJ122"/>
  <c r="AZ122"/>
  <c r="AT122"/>
  <c r="AK122"/>
  <c r="AS122"/>
  <c r="BA122"/>
  <c r="AO112"/>
  <c r="AW112"/>
  <c r="AH112"/>
  <c r="AP112"/>
  <c r="AX112"/>
  <c r="AN124"/>
  <c r="AH124"/>
  <c r="AX124"/>
  <c r="AM124"/>
  <c r="AU124"/>
  <c r="AN119" i="18"/>
  <c r="AK112" i="17"/>
  <c r="AU112"/>
  <c r="AF112"/>
  <c r="AC4" i="16" s="1"/>
  <c r="AN112" i="17"/>
  <c r="AV112"/>
  <c r="AJ124"/>
  <c r="AZ124"/>
  <c r="AT124"/>
  <c r="AK124"/>
  <c r="AS124"/>
  <c r="BA124"/>
  <c r="AH119" i="18"/>
  <c r="AM112" i="17"/>
  <c r="AS112"/>
  <c r="BA112"/>
  <c r="AL112"/>
  <c r="AT112"/>
  <c r="AV124"/>
  <c r="AP124"/>
  <c r="AI124"/>
  <c r="AQ124"/>
  <c r="AY124"/>
  <c r="V71"/>
  <c r="B15" i="16" s="1"/>
  <c r="AG122" i="18"/>
  <c r="AS122" s="1"/>
  <c r="AV120" i="17"/>
  <c r="AP120"/>
  <c r="AI120"/>
  <c r="AQ120"/>
  <c r="AY120"/>
  <c r="AN115"/>
  <c r="AM123"/>
  <c r="AK123"/>
  <c r="BA123"/>
  <c r="AN123"/>
  <c r="AV123"/>
  <c r="AI119"/>
  <c r="AY119"/>
  <c r="AW119"/>
  <c r="AL119"/>
  <c r="AT119"/>
  <c r="BB119"/>
  <c r="AR120"/>
  <c r="AL120"/>
  <c r="BB120"/>
  <c r="AO120"/>
  <c r="AW120"/>
  <c r="AK14" i="18"/>
  <c r="AJ11" i="17"/>
  <c r="AJ1" s="1"/>
  <c r="AJ14"/>
  <c r="AN14"/>
  <c r="AR14"/>
  <c r="AR4" s="1"/>
  <c r="AV14"/>
  <c r="AV4" s="1"/>
  <c r="AZ14"/>
  <c r="AZ4" s="1"/>
  <c r="AF115"/>
  <c r="AF3" i="16" s="1"/>
  <c r="AI123" i="17"/>
  <c r="AY123"/>
  <c r="AW123"/>
  <c r="AL123"/>
  <c r="AT123"/>
  <c r="BB123"/>
  <c r="AU119"/>
  <c r="AS119"/>
  <c r="AJ119"/>
  <c r="AR119"/>
  <c r="AZ119"/>
  <c r="AN120"/>
  <c r="AH120"/>
  <c r="AX120"/>
  <c r="AM120"/>
  <c r="AU120"/>
  <c r="AP14"/>
  <c r="AP4" s="1"/>
  <c r="AN11"/>
  <c r="AN1" s="1"/>
  <c r="AY112" i="18"/>
  <c r="AT14" i="17"/>
  <c r="AT4" s="1"/>
  <c r="AL14"/>
  <c r="AW14"/>
  <c r="AW4" s="1"/>
  <c r="AO14"/>
  <c r="AO4" s="1"/>
  <c r="AN116" i="18"/>
  <c r="AQ116"/>
  <c r="AY116"/>
  <c r="BB115"/>
  <c r="AF112"/>
  <c r="AX14" i="17"/>
  <c r="AX4" s="1"/>
  <c r="AU14"/>
  <c r="AU4" s="1"/>
  <c r="AI14"/>
  <c r="AK112" i="18"/>
  <c r="AV112"/>
  <c r="AQ14"/>
  <c r="AQ4" s="1"/>
  <c r="AO14"/>
  <c r="AO4" s="1"/>
  <c r="AI112"/>
  <c r="AR112"/>
  <c r="AI14"/>
  <c r="AU14"/>
  <c r="AU4" s="1"/>
  <c r="AL11" i="17"/>
  <c r="AL1" s="1"/>
  <c r="AK14"/>
  <c r="AK4" s="1"/>
  <c r="AY14"/>
  <c r="AY4" s="1"/>
  <c r="AS14"/>
  <c r="AS4" s="1"/>
  <c r="AM14"/>
  <c r="AQ14"/>
  <c r="AQ4" s="1"/>
  <c r="AM14" i="18"/>
  <c r="AY14"/>
  <c r="AY4" s="1"/>
  <c r="AN14"/>
  <c r="AL11"/>
  <c r="AL1" s="1"/>
  <c r="AW14"/>
  <c r="AW4" s="1"/>
  <c r="AS14"/>
  <c r="AS4" s="1"/>
  <c r="AQ112"/>
  <c r="AJ112"/>
  <c r="AZ112"/>
  <c r="AU112"/>
  <c r="AN112"/>
  <c r="AS115"/>
  <c r="AG114"/>
  <c r="AK114" s="1"/>
  <c r="AX113" i="17"/>
  <c r="AP113"/>
  <c r="AH113"/>
  <c r="AW113"/>
  <c r="AO113"/>
  <c r="AY113"/>
  <c r="AJ113"/>
  <c r="BB113"/>
  <c r="AT113"/>
  <c r="AL113"/>
  <c r="BA113"/>
  <c r="AS113"/>
  <c r="AK113"/>
  <c r="AR113"/>
  <c r="AI113"/>
  <c r="AV113"/>
  <c r="AN113"/>
  <c r="AF113"/>
  <c r="AU113"/>
  <c r="AM113"/>
  <c r="AZ113"/>
  <c r="AQ113"/>
  <c r="AY111"/>
  <c r="AI111"/>
  <c r="BB111"/>
  <c r="AT111"/>
  <c r="AL111"/>
  <c r="BA111"/>
  <c r="AK111"/>
  <c r="AN111"/>
  <c r="AV111"/>
  <c r="AX111"/>
  <c r="AP111"/>
  <c r="AH111"/>
  <c r="AS111"/>
  <c r="AU111"/>
  <c r="AO111"/>
  <c r="AQ111"/>
  <c r="AZ111"/>
  <c r="AR111"/>
  <c r="AJ111"/>
  <c r="AW111"/>
  <c r="AM111"/>
  <c r="AF111"/>
  <c r="AI116" i="18"/>
  <c r="AF116"/>
  <c r="AX116"/>
  <c r="G18" i="16"/>
  <c r="AZ123" i="18"/>
  <c r="AV123"/>
  <c r="AR123"/>
  <c r="AN123"/>
  <c r="AJ123"/>
  <c r="BA123"/>
  <c r="AS123"/>
  <c r="AK123"/>
  <c r="AU123"/>
  <c r="AM123"/>
  <c r="BB123"/>
  <c r="AX123"/>
  <c r="AT123"/>
  <c r="AP123"/>
  <c r="AL123"/>
  <c r="AH123"/>
  <c r="AW123"/>
  <c r="AO123"/>
  <c r="AY123"/>
  <c r="AQ123"/>
  <c r="AI123"/>
  <c r="AG111"/>
  <c r="AZ14"/>
  <c r="AZ4" s="1"/>
  <c r="AX113"/>
  <c r="AH113"/>
  <c r="AO113"/>
  <c r="AN113"/>
  <c r="AI113"/>
  <c r="AM113"/>
  <c r="AG124"/>
  <c r="AW124" s="1"/>
  <c r="AR14"/>
  <c r="AR4" s="1"/>
  <c r="AJ14"/>
  <c r="AX14"/>
  <c r="AX4" s="1"/>
  <c r="AP14"/>
  <c r="AP4" s="1"/>
  <c r="AN11"/>
  <c r="AN1" s="1"/>
  <c r="AV14"/>
  <c r="AV4" s="1"/>
  <c r="AJ11"/>
  <c r="AJ1" s="1"/>
  <c r="AT14"/>
  <c r="AT4" s="1"/>
  <c r="AL14"/>
  <c r="AG120"/>
  <c r="AG121"/>
  <c r="AQ121" s="1"/>
  <c r="AK115"/>
  <c r="BA115"/>
  <c r="AT115"/>
  <c r="AI121"/>
  <c r="AI115" i="17"/>
  <c r="AQ115"/>
  <c r="AY115"/>
  <c r="AJ115"/>
  <c r="AR115"/>
  <c r="AZ115"/>
  <c r="AM116" i="18"/>
  <c r="AV116"/>
  <c r="AJ116"/>
  <c r="AR116"/>
  <c r="AU116"/>
  <c r="AO115"/>
  <c r="AW115"/>
  <c r="AH115"/>
  <c r="AP115"/>
  <c r="AX115"/>
  <c r="AM112"/>
  <c r="AO112"/>
  <c r="AS112"/>
  <c r="AW112"/>
  <c r="BA112"/>
  <c r="AH112"/>
  <c r="AL112"/>
  <c r="AP112"/>
  <c r="AT112"/>
  <c r="AX112"/>
  <c r="AK115" i="17"/>
  <c r="AO115"/>
  <c r="AS115"/>
  <c r="AW115"/>
  <c r="BA115"/>
  <c r="AH115"/>
  <c r="AL115"/>
  <c r="AP115"/>
  <c r="AT115"/>
  <c r="AX115"/>
  <c r="AK116" i="18"/>
  <c r="AO116"/>
  <c r="AS116"/>
  <c r="AZ116"/>
  <c r="AH116"/>
  <c r="AL116"/>
  <c r="AP116"/>
  <c r="AT116"/>
  <c r="BB116"/>
  <c r="AW116"/>
  <c r="AI115"/>
  <c r="AM115"/>
  <c r="AQ115"/>
  <c r="AU115"/>
  <c r="AY115"/>
  <c r="AF115"/>
  <c r="AJ115"/>
  <c r="AN115"/>
  <c r="AR115"/>
  <c r="AV115"/>
  <c r="T5" i="13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3"/>
  <c r="S52"/>
  <c r="R52"/>
  <c r="Q52"/>
  <c r="P52"/>
  <c r="O52"/>
  <c r="N52"/>
  <c r="M52"/>
  <c r="L52"/>
  <c r="K52"/>
  <c r="J52"/>
  <c r="I52"/>
  <c r="S51"/>
  <c r="R51"/>
  <c r="Q51"/>
  <c r="P51"/>
  <c r="O51"/>
  <c r="N51"/>
  <c r="M51"/>
  <c r="L51"/>
  <c r="K51"/>
  <c r="J51"/>
  <c r="I51"/>
  <c r="S50"/>
  <c r="R50"/>
  <c r="Q50"/>
  <c r="P50"/>
  <c r="O50"/>
  <c r="N50"/>
  <c r="M50"/>
  <c r="L50"/>
  <c r="K50"/>
  <c r="J50"/>
  <c r="I50"/>
  <c r="S49"/>
  <c r="R49"/>
  <c r="Q49"/>
  <c r="P49"/>
  <c r="O49"/>
  <c r="N49"/>
  <c r="M49"/>
  <c r="L49"/>
  <c r="K49"/>
  <c r="J49"/>
  <c r="I49"/>
  <c r="S48"/>
  <c r="R48"/>
  <c r="Q48"/>
  <c r="P48"/>
  <c r="O48"/>
  <c r="N48"/>
  <c r="M48"/>
  <c r="L48"/>
  <c r="K48"/>
  <c r="J48"/>
  <c r="I48"/>
  <c r="S47"/>
  <c r="R47"/>
  <c r="Q47"/>
  <c r="P47"/>
  <c r="O47"/>
  <c r="N47"/>
  <c r="M47"/>
  <c r="L47"/>
  <c r="K47"/>
  <c r="J47"/>
  <c r="I47"/>
  <c r="S46"/>
  <c r="R46"/>
  <c r="Q46"/>
  <c r="P46"/>
  <c r="O46"/>
  <c r="N46"/>
  <c r="M46"/>
  <c r="L46"/>
  <c r="K46"/>
  <c r="J46"/>
  <c r="I46"/>
  <c r="S45"/>
  <c r="R45"/>
  <c r="Q45"/>
  <c r="P45"/>
  <c r="O45"/>
  <c r="N45"/>
  <c r="M45"/>
  <c r="L45"/>
  <c r="K45"/>
  <c r="J45"/>
  <c r="I45"/>
  <c r="S44"/>
  <c r="R44"/>
  <c r="Q44"/>
  <c r="P44"/>
  <c r="O44"/>
  <c r="N44"/>
  <c r="M44"/>
  <c r="L44"/>
  <c r="K44"/>
  <c r="J44"/>
  <c r="I44"/>
  <c r="S43"/>
  <c r="R43"/>
  <c r="Q43"/>
  <c r="P43"/>
  <c r="O43"/>
  <c r="N43"/>
  <c r="M43"/>
  <c r="L43"/>
  <c r="K43"/>
  <c r="J43"/>
  <c r="I43"/>
  <c r="S42"/>
  <c r="R42"/>
  <c r="Q42"/>
  <c r="P42"/>
  <c r="O42"/>
  <c r="N42"/>
  <c r="M42"/>
  <c r="L42"/>
  <c r="K42"/>
  <c r="J42"/>
  <c r="I42"/>
  <c r="S41"/>
  <c r="R41"/>
  <c r="Q41"/>
  <c r="P41"/>
  <c r="O41"/>
  <c r="N41"/>
  <c r="M41"/>
  <c r="L41"/>
  <c r="K41"/>
  <c r="J41"/>
  <c r="I41"/>
  <c r="S40"/>
  <c r="R40"/>
  <c r="Q40"/>
  <c r="P40"/>
  <c r="O40"/>
  <c r="N40"/>
  <c r="M40"/>
  <c r="L40"/>
  <c r="K40"/>
  <c r="J40"/>
  <c r="I40"/>
  <c r="S39"/>
  <c r="R39"/>
  <c r="Q39"/>
  <c r="P39"/>
  <c r="O39"/>
  <c r="N39"/>
  <c r="M39"/>
  <c r="L39"/>
  <c r="K39"/>
  <c r="J39"/>
  <c r="I39"/>
  <c r="S38"/>
  <c r="R38"/>
  <c r="Q38"/>
  <c r="P38"/>
  <c r="O38"/>
  <c r="N38"/>
  <c r="M38"/>
  <c r="L38"/>
  <c r="K38"/>
  <c r="J38"/>
  <c r="I38"/>
  <c r="S37"/>
  <c r="R37"/>
  <c r="Q37"/>
  <c r="P37"/>
  <c r="O37"/>
  <c r="N37"/>
  <c r="M37"/>
  <c r="L37"/>
  <c r="K37"/>
  <c r="J37"/>
  <c r="I37"/>
  <c r="S36"/>
  <c r="R36"/>
  <c r="Q36"/>
  <c r="P36"/>
  <c r="O36"/>
  <c r="N36"/>
  <c r="M36"/>
  <c r="L36"/>
  <c r="K36"/>
  <c r="J36"/>
  <c r="I36"/>
  <c r="S35"/>
  <c r="R35"/>
  <c r="Q35"/>
  <c r="P35"/>
  <c r="O35"/>
  <c r="N35"/>
  <c r="M35"/>
  <c r="L35"/>
  <c r="K35"/>
  <c r="J35"/>
  <c r="I35"/>
  <c r="S34"/>
  <c r="R34"/>
  <c r="Q34"/>
  <c r="P34"/>
  <c r="O34"/>
  <c r="N34"/>
  <c r="M34"/>
  <c r="L34"/>
  <c r="K34"/>
  <c r="J34"/>
  <c r="I34"/>
  <c r="S33"/>
  <c r="R33"/>
  <c r="Q33"/>
  <c r="P33"/>
  <c r="O33"/>
  <c r="N33"/>
  <c r="M33"/>
  <c r="L33"/>
  <c r="K33"/>
  <c r="J33"/>
  <c r="I33"/>
  <c r="S32"/>
  <c r="R32"/>
  <c r="Q32"/>
  <c r="P32"/>
  <c r="O32"/>
  <c r="N32"/>
  <c r="M32"/>
  <c r="L32"/>
  <c r="K32"/>
  <c r="J32"/>
  <c r="I32"/>
  <c r="S31"/>
  <c r="R31"/>
  <c r="Q31"/>
  <c r="P31"/>
  <c r="O31"/>
  <c r="N31"/>
  <c r="M31"/>
  <c r="L31"/>
  <c r="K31"/>
  <c r="J31"/>
  <c r="I31"/>
  <c r="S30"/>
  <c r="R30"/>
  <c r="Q30"/>
  <c r="P30"/>
  <c r="O30"/>
  <c r="N30"/>
  <c r="M30"/>
  <c r="L30"/>
  <c r="K30"/>
  <c r="J30"/>
  <c r="I30"/>
  <c r="S29"/>
  <c r="R29"/>
  <c r="Q29"/>
  <c r="P29"/>
  <c r="O29"/>
  <c r="N29"/>
  <c r="M29"/>
  <c r="L29"/>
  <c r="K29"/>
  <c r="J29"/>
  <c r="I29"/>
  <c r="S28"/>
  <c r="R28"/>
  <c r="Q28"/>
  <c r="P28"/>
  <c r="O28"/>
  <c r="N28"/>
  <c r="M28"/>
  <c r="L28"/>
  <c r="K28"/>
  <c r="J28"/>
  <c r="I28"/>
  <c r="S27"/>
  <c r="R27"/>
  <c r="Q27"/>
  <c r="P27"/>
  <c r="O27"/>
  <c r="N27"/>
  <c r="M27"/>
  <c r="L27"/>
  <c r="K27"/>
  <c r="J27"/>
  <c r="I27"/>
  <c r="S26"/>
  <c r="R26"/>
  <c r="Q26"/>
  <c r="P26"/>
  <c r="O26"/>
  <c r="N26"/>
  <c r="M26"/>
  <c r="L26"/>
  <c r="K26"/>
  <c r="J26"/>
  <c r="I26"/>
  <c r="S25"/>
  <c r="R25"/>
  <c r="Q25"/>
  <c r="P25"/>
  <c r="O25"/>
  <c r="N25"/>
  <c r="M25"/>
  <c r="L25"/>
  <c r="K25"/>
  <c r="J25"/>
  <c r="I25"/>
  <c r="S24"/>
  <c r="R24"/>
  <c r="Q24"/>
  <c r="P24"/>
  <c r="O24"/>
  <c r="N24"/>
  <c r="M24"/>
  <c r="L24"/>
  <c r="K24"/>
  <c r="J24"/>
  <c r="I24"/>
  <c r="S23"/>
  <c r="R23"/>
  <c r="Q23"/>
  <c r="P23"/>
  <c r="O23"/>
  <c r="N23"/>
  <c r="M23"/>
  <c r="L23"/>
  <c r="K23"/>
  <c r="J23"/>
  <c r="I23"/>
  <c r="S22"/>
  <c r="R22"/>
  <c r="Q22"/>
  <c r="P22"/>
  <c r="O22"/>
  <c r="N22"/>
  <c r="M22"/>
  <c r="L22"/>
  <c r="K22"/>
  <c r="J22"/>
  <c r="I22"/>
  <c r="S21"/>
  <c r="R21"/>
  <c r="Q21"/>
  <c r="P21"/>
  <c r="O21"/>
  <c r="N21"/>
  <c r="M21"/>
  <c r="L21"/>
  <c r="K21"/>
  <c r="J21"/>
  <c r="I21"/>
  <c r="S20"/>
  <c r="R20"/>
  <c r="Q20"/>
  <c r="P20"/>
  <c r="O20"/>
  <c r="N20"/>
  <c r="M20"/>
  <c r="L20"/>
  <c r="K20"/>
  <c r="J20"/>
  <c r="I20"/>
  <c r="S19"/>
  <c r="R19"/>
  <c r="Q19"/>
  <c r="P19"/>
  <c r="O19"/>
  <c r="N19"/>
  <c r="M19"/>
  <c r="L19"/>
  <c r="K19"/>
  <c r="J19"/>
  <c r="I19"/>
  <c r="S18"/>
  <c r="R18"/>
  <c r="Q18"/>
  <c r="P18"/>
  <c r="O18"/>
  <c r="N18"/>
  <c r="M18"/>
  <c r="L18"/>
  <c r="K18"/>
  <c r="J18"/>
  <c r="I18"/>
  <c r="S17"/>
  <c r="R17"/>
  <c r="Q17"/>
  <c r="P17"/>
  <c r="O17"/>
  <c r="N17"/>
  <c r="M17"/>
  <c r="L17"/>
  <c r="K17"/>
  <c r="J17"/>
  <c r="I17"/>
  <c r="S16"/>
  <c r="R16"/>
  <c r="Q16"/>
  <c r="P16"/>
  <c r="O16"/>
  <c r="N16"/>
  <c r="M16"/>
  <c r="L16"/>
  <c r="K16"/>
  <c r="J16"/>
  <c r="I16"/>
  <c r="S15"/>
  <c r="R15"/>
  <c r="Q15"/>
  <c r="P15"/>
  <c r="O15"/>
  <c r="N15"/>
  <c r="M15"/>
  <c r="L15"/>
  <c r="K15"/>
  <c r="J15"/>
  <c r="I15"/>
  <c r="S14"/>
  <c r="R14"/>
  <c r="Q14"/>
  <c r="P14"/>
  <c r="O14"/>
  <c r="N14"/>
  <c r="M14"/>
  <c r="L14"/>
  <c r="K14"/>
  <c r="J14"/>
  <c r="I14"/>
  <c r="S13"/>
  <c r="R13"/>
  <c r="Q13"/>
  <c r="P13"/>
  <c r="O13"/>
  <c r="N13"/>
  <c r="M13"/>
  <c r="L13"/>
  <c r="K13"/>
  <c r="J13"/>
  <c r="I13"/>
  <c r="S12"/>
  <c r="R12"/>
  <c r="Q12"/>
  <c r="P12"/>
  <c r="O12"/>
  <c r="N12"/>
  <c r="M12"/>
  <c r="L12"/>
  <c r="K12"/>
  <c r="J12"/>
  <c r="I12"/>
  <c r="S11"/>
  <c r="R11"/>
  <c r="Q11"/>
  <c r="P11"/>
  <c r="O11"/>
  <c r="N11"/>
  <c r="M11"/>
  <c r="L11"/>
  <c r="K11"/>
  <c r="J11"/>
  <c r="I11"/>
  <c r="S10"/>
  <c r="R10"/>
  <c r="Q10"/>
  <c r="P10"/>
  <c r="O10"/>
  <c r="N10"/>
  <c r="M10"/>
  <c r="L10"/>
  <c r="K10"/>
  <c r="J10"/>
  <c r="I10"/>
  <c r="S9"/>
  <c r="R9"/>
  <c r="Q9"/>
  <c r="P9"/>
  <c r="O9"/>
  <c r="N9"/>
  <c r="M9"/>
  <c r="L9"/>
  <c r="K9"/>
  <c r="J9"/>
  <c r="I9"/>
  <c r="S8"/>
  <c r="R8"/>
  <c r="Q8"/>
  <c r="P8"/>
  <c r="O8"/>
  <c r="N8"/>
  <c r="M8"/>
  <c r="L8"/>
  <c r="K8"/>
  <c r="J8"/>
  <c r="I8"/>
  <c r="S7"/>
  <c r="R7"/>
  <c r="Q7"/>
  <c r="P7"/>
  <c r="O7"/>
  <c r="N7"/>
  <c r="M7"/>
  <c r="L7"/>
  <c r="K7"/>
  <c r="J7"/>
  <c r="I7"/>
  <c r="S6"/>
  <c r="R6"/>
  <c r="Q6"/>
  <c r="P6"/>
  <c r="O6"/>
  <c r="N6"/>
  <c r="M6"/>
  <c r="L6"/>
  <c r="K6"/>
  <c r="J6"/>
  <c r="I6"/>
  <c r="S5"/>
  <c r="R5"/>
  <c r="Q5"/>
  <c r="P5"/>
  <c r="O5"/>
  <c r="N5"/>
  <c r="M5"/>
  <c r="L5"/>
  <c r="K5"/>
  <c r="J5"/>
  <c r="I5"/>
  <c r="S4"/>
  <c r="R4"/>
  <c r="Q4"/>
  <c r="P4"/>
  <c r="O4"/>
  <c r="N4"/>
  <c r="M4"/>
  <c r="L4"/>
  <c r="K4"/>
  <c r="J4"/>
  <c r="I4"/>
  <c r="S3"/>
  <c r="R3"/>
  <c r="Q3"/>
  <c r="P3"/>
  <c r="O3"/>
  <c r="N3"/>
  <c r="M3"/>
  <c r="L3"/>
  <c r="K3"/>
  <c r="J3"/>
  <c r="I3"/>
  <c r="AB25"/>
  <c r="AA25"/>
  <c r="Z25"/>
  <c r="Y25"/>
  <c r="X25"/>
  <c r="AC24"/>
  <c r="AB24"/>
  <c r="AA24"/>
  <c r="Z24"/>
  <c r="Y24"/>
  <c r="X24"/>
  <c r="B25" i="12"/>
  <c r="C25"/>
  <c r="D25"/>
  <c r="B26"/>
  <c r="C26"/>
  <c r="D26"/>
  <c r="AE128" i="13"/>
  <c r="AF128"/>
  <c r="AE129"/>
  <c r="AF129"/>
  <c r="AE130"/>
  <c r="AF130"/>
  <c r="AE131"/>
  <c r="AF131"/>
  <c r="AN19"/>
  <c r="AM19"/>
  <c r="AL19"/>
  <c r="AK19"/>
  <c r="AJ19"/>
  <c r="AI19"/>
  <c r="G3" i="1"/>
  <c r="E7" i="13"/>
  <c r="AF9"/>
  <c r="AF8"/>
  <c r="AF7"/>
  <c r="AF124"/>
  <c r="AF123"/>
  <c r="AF122"/>
  <c r="AF121"/>
  <c r="AF120"/>
  <c r="AF119"/>
  <c r="AE116"/>
  <c r="AE115"/>
  <c r="AE114"/>
  <c r="AE113"/>
  <c r="AE112"/>
  <c r="AE111"/>
  <c r="AC23"/>
  <c r="AB23"/>
  <c r="AA23"/>
  <c r="Z23"/>
  <c r="Y23"/>
  <c r="X23"/>
  <c r="AC22"/>
  <c r="AB22"/>
  <c r="AA22"/>
  <c r="Z22"/>
  <c r="Y22"/>
  <c r="X22"/>
  <c r="AC21"/>
  <c r="AB21"/>
  <c r="AA21"/>
  <c r="AG67"/>
  <c r="Y21"/>
  <c r="AG65"/>
  <c r="AC20"/>
  <c r="AB20"/>
  <c r="AA20"/>
  <c r="Z20"/>
  <c r="Y20"/>
  <c r="AG59"/>
  <c r="AC19"/>
  <c r="AG57"/>
  <c r="AA19"/>
  <c r="Z19"/>
  <c r="Y19"/>
  <c r="X19"/>
  <c r="AC18"/>
  <c r="AB18"/>
  <c r="AA18"/>
  <c r="AG49"/>
  <c r="Y18"/>
  <c r="AG47"/>
  <c r="AC17"/>
  <c r="AG45"/>
  <c r="AA17"/>
  <c r="Z17"/>
  <c r="Y17"/>
  <c r="AG41"/>
  <c r="AC16"/>
  <c r="AB16"/>
  <c r="AA16"/>
  <c r="Z16"/>
  <c r="Y16"/>
  <c r="X16"/>
  <c r="AC15"/>
  <c r="AG33"/>
  <c r="AA15"/>
  <c r="Z15"/>
  <c r="Y15"/>
  <c r="AG29"/>
  <c r="AC14"/>
  <c r="AB14"/>
  <c r="AG26"/>
  <c r="Z14"/>
  <c r="Y14"/>
  <c r="AG23"/>
  <c r="D25"/>
  <c r="D26"/>
  <c r="H5" i="1" s="1"/>
  <c r="D27" i="13"/>
  <c r="H6" i="1" s="1"/>
  <c r="G2"/>
  <c r="B1" i="13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D24" i="12"/>
  <c r="C24"/>
  <c r="B24"/>
  <c r="D23"/>
  <c r="C23"/>
  <c r="B23"/>
  <c r="D22"/>
  <c r="C22"/>
  <c r="B22"/>
  <c r="D21"/>
  <c r="C21"/>
  <c r="B21"/>
  <c r="D20"/>
  <c r="C20"/>
  <c r="B20"/>
  <c r="D19"/>
  <c r="C19"/>
  <c r="B19"/>
  <c r="D18"/>
  <c r="C18"/>
  <c r="B18"/>
  <c r="D17"/>
  <c r="C17"/>
  <c r="B17"/>
  <c r="D16"/>
  <c r="C16"/>
  <c r="B16"/>
  <c r="AG81" i="13"/>
  <c r="AG61"/>
  <c r="AG82"/>
  <c r="AG79"/>
  <c r="AG68"/>
  <c r="AG66"/>
  <c r="X21"/>
  <c r="AG56"/>
  <c r="AG62"/>
  <c r="AG58"/>
  <c r="X17"/>
  <c r="AA14"/>
  <c r="AG39"/>
  <c r="AG60"/>
  <c r="AG37"/>
  <c r="AG46"/>
  <c r="AG50"/>
  <c r="AG54"/>
  <c r="AB17"/>
  <c r="AG34"/>
  <c r="AG36"/>
  <c r="AG70"/>
  <c r="AG78"/>
  <c r="G11" l="1"/>
  <c r="G15"/>
  <c r="G19"/>
  <c r="G13"/>
  <c r="G17"/>
  <c r="G21"/>
  <c r="AL115" i="18"/>
  <c r="AP1" i="17"/>
  <c r="AV113" i="18"/>
  <c r="AF113"/>
  <c r="AK113"/>
  <c r="BA113"/>
  <c r="AT113"/>
  <c r="AJ113"/>
  <c r="AU113"/>
  <c r="AZ113"/>
  <c r="AW113"/>
  <c r="AP113"/>
  <c r="AY113"/>
  <c r="AQ113"/>
  <c r="AR113"/>
  <c r="AS113"/>
  <c r="AL113"/>
  <c r="AF6" i="16"/>
  <c r="G12" i="13"/>
  <c r="G16"/>
  <c r="G20"/>
  <c r="G3"/>
  <c r="G5" s="1"/>
  <c r="B7" i="1" s="1"/>
  <c r="AC2" i="16"/>
  <c r="AV116" i="17"/>
  <c r="AT9" s="1"/>
  <c r="M21" i="16" s="1"/>
  <c r="AL116" i="17"/>
  <c r="AL122" i="18"/>
  <c r="AI4" i="17"/>
  <c r="AI116"/>
  <c r="AL6" s="1"/>
  <c r="M9" i="16" s="1"/>
  <c r="AS116" i="17"/>
  <c r="AQ9" s="1"/>
  <c r="M18" i="16" s="1"/>
  <c r="AK116" i="17"/>
  <c r="G14" i="13"/>
  <c r="G18"/>
  <c r="AY122" i="18"/>
  <c r="AI119"/>
  <c r="AJ116" i="17"/>
  <c r="AN6" s="1"/>
  <c r="M8" i="16" s="1"/>
  <c r="AT116" i="17"/>
  <c r="AR9" s="1"/>
  <c r="M19" i="16" s="1"/>
  <c r="AP116" i="17"/>
  <c r="AF116"/>
  <c r="AH116"/>
  <c r="AJ6" s="1"/>
  <c r="M7" i="16" s="1"/>
  <c r="AQ116" i="17"/>
  <c r="AO9" s="1"/>
  <c r="M16" i="16" s="1"/>
  <c r="AI122" i="18"/>
  <c r="F18" i="16"/>
  <c r="AR116" i="17"/>
  <c r="AP9" s="1"/>
  <c r="M17" i="16" s="1"/>
  <c r="AW116" i="17"/>
  <c r="AU9" s="1"/>
  <c r="M22" i="16" s="1"/>
  <c r="AO116" i="17"/>
  <c r="BA116"/>
  <c r="AY9" s="1"/>
  <c r="M26" i="16" s="1"/>
  <c r="AX116" i="17"/>
  <c r="AV9" s="1"/>
  <c r="M23" i="16" s="1"/>
  <c r="BB116" i="17"/>
  <c r="AZ9" s="1"/>
  <c r="M27" i="16" s="1"/>
  <c r="AY116" i="17"/>
  <c r="AW9" s="1"/>
  <c r="M24" i="16" s="1"/>
  <c r="AV122" i="18"/>
  <c r="AO122"/>
  <c r="AM116" i="17"/>
  <c r="AZ116"/>
  <c r="AX9" s="1"/>
  <c r="M25" i="16" s="1"/>
  <c r="AF1"/>
  <c r="AC3"/>
  <c r="AE6"/>
  <c r="AE4"/>
  <c r="AF2"/>
  <c r="AF5"/>
  <c r="AC1"/>
  <c r="AC6"/>
  <c r="AF4"/>
  <c r="AE3"/>
  <c r="AE2"/>
  <c r="AC5"/>
  <c r="AE1"/>
  <c r="AT119" i="18"/>
  <c r="AR119"/>
  <c r="AO119"/>
  <c r="AI4"/>
  <c r="AM119"/>
  <c r="AW119"/>
  <c r="AS119"/>
  <c r="AV119"/>
  <c r="AL119"/>
  <c r="AJ119"/>
  <c r="AK119"/>
  <c r="BB119"/>
  <c r="AY119"/>
  <c r="AZ119"/>
  <c r="AU119"/>
  <c r="AP119"/>
  <c r="AL4" i="17"/>
  <c r="AN122" i="18"/>
  <c r="AX122"/>
  <c r="AU122"/>
  <c r="AZ122"/>
  <c r="AK122"/>
  <c r="BA122"/>
  <c r="AP122"/>
  <c r="AQ122"/>
  <c r="AR122"/>
  <c r="BB122"/>
  <c r="AW122"/>
  <c r="AK4"/>
  <c r="AH122"/>
  <c r="AM122"/>
  <c r="AJ122"/>
  <c r="AT122"/>
  <c r="C18" i="16"/>
  <c r="AQ119" i="18"/>
  <c r="AX119"/>
  <c r="AH124"/>
  <c r="AT124"/>
  <c r="AM4" i="17"/>
  <c r="AI124" i="18"/>
  <c r="AS124"/>
  <c r="AL124"/>
  <c r="AM124"/>
  <c r="AN4"/>
  <c r="AG15" i="16"/>
  <c r="AG14"/>
  <c r="AG12"/>
  <c r="AG16"/>
  <c r="AG13"/>
  <c r="AG11"/>
  <c r="AC16"/>
  <c r="AC15"/>
  <c r="AC14"/>
  <c r="AC13"/>
  <c r="AC12"/>
  <c r="AC11"/>
  <c r="AD16"/>
  <c r="AD15"/>
  <c r="AD14"/>
  <c r="AD13"/>
  <c r="AD12"/>
  <c r="AD11"/>
  <c r="AF15"/>
  <c r="AF13"/>
  <c r="AF11"/>
  <c r="AF16"/>
  <c r="AF14"/>
  <c r="AF12"/>
  <c r="AF114" i="18"/>
  <c r="AJ114"/>
  <c r="AV114"/>
  <c r="AY114"/>
  <c r="BA114"/>
  <c r="AI114"/>
  <c r="BB114"/>
  <c r="AM114"/>
  <c r="AR114"/>
  <c r="AQ114"/>
  <c r="AS114"/>
  <c r="AL114"/>
  <c r="AN114"/>
  <c r="AU114"/>
  <c r="AT114"/>
  <c r="AS9" i="17"/>
  <c r="M20" i="16" s="1"/>
  <c r="AJ124" i="18"/>
  <c r="H18" i="16"/>
  <c r="AJ4" i="17"/>
  <c r="AL4" i="18"/>
  <c r="AP1"/>
  <c r="AJ4" s="1"/>
  <c r="AT121"/>
  <c r="AM4"/>
  <c r="AV124"/>
  <c r="AY124"/>
  <c r="AO124"/>
  <c r="G22" i="13"/>
  <c r="AY121" i="18"/>
  <c r="BB121"/>
  <c r="AN4" i="17"/>
  <c r="AW121" i="18"/>
  <c r="AN124"/>
  <c r="AX124"/>
  <c r="AU124"/>
  <c r="AZ124"/>
  <c r="AK124"/>
  <c r="BA124"/>
  <c r="AL121"/>
  <c r="AP124"/>
  <c r="AQ124"/>
  <c r="AR124"/>
  <c r="BB124"/>
  <c r="AZ114"/>
  <c r="AW114"/>
  <c r="AH114"/>
  <c r="AP114"/>
  <c r="AX114"/>
  <c r="AO114"/>
  <c r="AD6" i="16"/>
  <c r="AD1"/>
  <c r="AD3"/>
  <c r="AD4"/>
  <c r="AD5"/>
  <c r="AD2"/>
  <c r="AB4"/>
  <c r="AB5"/>
  <c r="AB2"/>
  <c r="AB6"/>
  <c r="AB1"/>
  <c r="AB3"/>
  <c r="H4" i="1"/>
  <c r="AJ16" i="13" s="1"/>
  <c r="E24"/>
  <c r="F7" i="1" s="1"/>
  <c r="AX111" i="18"/>
  <c r="AP111"/>
  <c r="AH111"/>
  <c r="AS111"/>
  <c r="AU111"/>
  <c r="AZ111"/>
  <c r="AR111"/>
  <c r="AJ111"/>
  <c r="AO111"/>
  <c r="AI111"/>
  <c r="AQ111"/>
  <c r="BB111"/>
  <c r="AT111"/>
  <c r="AL111"/>
  <c r="BA111"/>
  <c r="AK111"/>
  <c r="AM111"/>
  <c r="AV111"/>
  <c r="AN111"/>
  <c r="AW111"/>
  <c r="AY111"/>
  <c r="AF111"/>
  <c r="AX121"/>
  <c r="AP121"/>
  <c r="AH121"/>
  <c r="AO121"/>
  <c r="E18" i="16"/>
  <c r="AV121" i="18"/>
  <c r="AN121"/>
  <c r="BA121"/>
  <c r="AK121"/>
  <c r="AM121"/>
  <c r="AZ121"/>
  <c r="AR121"/>
  <c r="AJ121"/>
  <c r="AS121"/>
  <c r="AU121"/>
  <c r="D18" i="16"/>
  <c r="AY120" i="18"/>
  <c r="AU120"/>
  <c r="AQ120"/>
  <c r="AM120"/>
  <c r="AI120"/>
  <c r="AX120"/>
  <c r="AP120"/>
  <c r="AH120"/>
  <c r="AV120"/>
  <c r="AN120"/>
  <c r="BA120"/>
  <c r="AW120"/>
  <c r="AS120"/>
  <c r="AO120"/>
  <c r="AK120"/>
  <c r="BB120"/>
  <c r="AT120"/>
  <c r="AL120"/>
  <c r="AZ120"/>
  <c r="AR120"/>
  <c r="AJ120"/>
  <c r="AN16" i="13"/>
  <c r="AL16"/>
  <c r="AZ34"/>
  <c r="BB34"/>
  <c r="BA34"/>
  <c r="AY34"/>
  <c r="AW34"/>
  <c r="AU34"/>
  <c r="AS34"/>
  <c r="AQ34"/>
  <c r="AO34"/>
  <c r="AM34"/>
  <c r="AK34"/>
  <c r="AI34"/>
  <c r="AX34"/>
  <c r="AT34"/>
  <c r="AP34"/>
  <c r="AL34"/>
  <c r="AH34"/>
  <c r="AV34"/>
  <c r="AR34"/>
  <c r="AN34"/>
  <c r="AJ34"/>
  <c r="AZ56"/>
  <c r="BB56"/>
  <c r="BA56"/>
  <c r="AY56"/>
  <c r="AW56"/>
  <c r="AU56"/>
  <c r="AS56"/>
  <c r="AQ56"/>
  <c r="AO56"/>
  <c r="AM56"/>
  <c r="AK56"/>
  <c r="AI56"/>
  <c r="AX56"/>
  <c r="AT56"/>
  <c r="AP56"/>
  <c r="AL56"/>
  <c r="AH56"/>
  <c r="AV56"/>
  <c r="AR56"/>
  <c r="AN56"/>
  <c r="AJ56"/>
  <c r="BA79"/>
  <c r="AZ79"/>
  <c r="BB79"/>
  <c r="AX79"/>
  <c r="AV79"/>
  <c r="AT79"/>
  <c r="AR79"/>
  <c r="AP79"/>
  <c r="AN79"/>
  <c r="AL79"/>
  <c r="AJ79"/>
  <c r="AH79"/>
  <c r="AY79"/>
  <c r="AW79"/>
  <c r="AU79"/>
  <c r="AS79"/>
  <c r="AQ79"/>
  <c r="AO79"/>
  <c r="AM79"/>
  <c r="AK79"/>
  <c r="AI79"/>
  <c r="AZ78"/>
  <c r="BB78"/>
  <c r="BA78"/>
  <c r="AX78"/>
  <c r="AV78"/>
  <c r="AT78"/>
  <c r="AR78"/>
  <c r="AP78"/>
  <c r="AN78"/>
  <c r="AL78"/>
  <c r="AJ78"/>
  <c r="AH78"/>
  <c r="AY78"/>
  <c r="AW78"/>
  <c r="AU78"/>
  <c r="AS78"/>
  <c r="AQ78"/>
  <c r="AO78"/>
  <c r="AM78"/>
  <c r="AK78"/>
  <c r="AI78"/>
  <c r="AZ36"/>
  <c r="BB36"/>
  <c r="BA36"/>
  <c r="AY36"/>
  <c r="AW36"/>
  <c r="AU36"/>
  <c r="AS36"/>
  <c r="AQ36"/>
  <c r="AO36"/>
  <c r="AM36"/>
  <c r="AK36"/>
  <c r="AI36"/>
  <c r="AX36"/>
  <c r="AT36"/>
  <c r="AP36"/>
  <c r="AL36"/>
  <c r="AH36"/>
  <c r="AV36"/>
  <c r="AR36"/>
  <c r="AN36"/>
  <c r="AJ36"/>
  <c r="AZ50"/>
  <c r="BB50"/>
  <c r="BA50"/>
  <c r="AY50"/>
  <c r="AW50"/>
  <c r="AU50"/>
  <c r="AS50"/>
  <c r="AQ50"/>
  <c r="AO50"/>
  <c r="AM50"/>
  <c r="AK50"/>
  <c r="AI50"/>
  <c r="AX50"/>
  <c r="AT50"/>
  <c r="AP50"/>
  <c r="AL50"/>
  <c r="AH50"/>
  <c r="AV50"/>
  <c r="AR50"/>
  <c r="AN50"/>
  <c r="AJ50"/>
  <c r="BA37"/>
  <c r="AZ37"/>
  <c r="BB37"/>
  <c r="AY37"/>
  <c r="AW37"/>
  <c r="AU37"/>
  <c r="AS37"/>
  <c r="AQ37"/>
  <c r="AO37"/>
  <c r="AM37"/>
  <c r="AK37"/>
  <c r="AI37"/>
  <c r="AV37"/>
  <c r="AR37"/>
  <c r="AN37"/>
  <c r="AJ37"/>
  <c r="AX37"/>
  <c r="AT37"/>
  <c r="AP37"/>
  <c r="AL37"/>
  <c r="AH37"/>
  <c r="BA39"/>
  <c r="AZ39"/>
  <c r="BB39"/>
  <c r="AY39"/>
  <c r="AW39"/>
  <c r="AU39"/>
  <c r="AS39"/>
  <c r="AQ39"/>
  <c r="AO39"/>
  <c r="AM39"/>
  <c r="AK39"/>
  <c r="AI39"/>
  <c r="AV39"/>
  <c r="AR39"/>
  <c r="AN39"/>
  <c r="AJ39"/>
  <c r="AX39"/>
  <c r="AT39"/>
  <c r="AP39"/>
  <c r="AL39"/>
  <c r="AH39"/>
  <c r="AZ62"/>
  <c r="BB62"/>
  <c r="BA62"/>
  <c r="AY62"/>
  <c r="AW62"/>
  <c r="AU62"/>
  <c r="AS62"/>
  <c r="AQ62"/>
  <c r="AO62"/>
  <c r="AM62"/>
  <c r="AK62"/>
  <c r="AI62"/>
  <c r="AX62"/>
  <c r="AT62"/>
  <c r="AP62"/>
  <c r="AL62"/>
  <c r="AH62"/>
  <c r="AV62"/>
  <c r="AN62"/>
  <c r="AR62"/>
  <c r="AJ62"/>
  <c r="AZ68"/>
  <c r="BB68"/>
  <c r="BA68"/>
  <c r="AY68"/>
  <c r="AW68"/>
  <c r="AU68"/>
  <c r="AS68"/>
  <c r="AQ68"/>
  <c r="AO68"/>
  <c r="AM68"/>
  <c r="AK68"/>
  <c r="AI68"/>
  <c r="AX68"/>
  <c r="AT68"/>
  <c r="AP68"/>
  <c r="AL68"/>
  <c r="AH68"/>
  <c r="AR68"/>
  <c r="AJ68"/>
  <c r="AV68"/>
  <c r="AN68"/>
  <c r="AZ82"/>
  <c r="BB82"/>
  <c r="AX82"/>
  <c r="AV82"/>
  <c r="AT82"/>
  <c r="AR82"/>
  <c r="AP82"/>
  <c r="AN82"/>
  <c r="AL82"/>
  <c r="AJ82"/>
  <c r="AH82"/>
  <c r="BA82"/>
  <c r="AY82"/>
  <c r="AW82"/>
  <c r="AU82"/>
  <c r="AS82"/>
  <c r="AQ82"/>
  <c r="AO82"/>
  <c r="AM82"/>
  <c r="AK82"/>
  <c r="AI82"/>
  <c r="BA81"/>
  <c r="AX81"/>
  <c r="AV81"/>
  <c r="AT81"/>
  <c r="AR81"/>
  <c r="AP81"/>
  <c r="AN81"/>
  <c r="AL81"/>
  <c r="AJ81"/>
  <c r="AH81"/>
  <c r="AZ81"/>
  <c r="BB81"/>
  <c r="AY81"/>
  <c r="AW81"/>
  <c r="AU81"/>
  <c r="AS81"/>
  <c r="AQ81"/>
  <c r="AO81"/>
  <c r="AM81"/>
  <c r="AK81"/>
  <c r="AI81"/>
  <c r="BB23"/>
  <c r="AZ23"/>
  <c r="BA23"/>
  <c r="AY23"/>
  <c r="AW23"/>
  <c r="AU23"/>
  <c r="AS23"/>
  <c r="AQ23"/>
  <c r="AO23"/>
  <c r="AM23"/>
  <c r="AK23"/>
  <c r="AI23"/>
  <c r="AX23"/>
  <c r="AV23"/>
  <c r="AT23"/>
  <c r="AR23"/>
  <c r="AP23"/>
  <c r="AN23"/>
  <c r="AL23"/>
  <c r="AJ23"/>
  <c r="AH23"/>
  <c r="BA29"/>
  <c r="AZ29"/>
  <c r="BB29"/>
  <c r="AY29"/>
  <c r="AW29"/>
  <c r="AU29"/>
  <c r="AS29"/>
  <c r="AQ29"/>
  <c r="AO29"/>
  <c r="AM29"/>
  <c r="AK29"/>
  <c r="AI29"/>
  <c r="AX29"/>
  <c r="AV29"/>
  <c r="AT29"/>
  <c r="AR29"/>
  <c r="AP29"/>
  <c r="AN29"/>
  <c r="AL29"/>
  <c r="AJ29"/>
  <c r="AH29"/>
  <c r="BA33"/>
  <c r="AZ33"/>
  <c r="BB33"/>
  <c r="AY33"/>
  <c r="AW33"/>
  <c r="AU33"/>
  <c r="AS33"/>
  <c r="AQ33"/>
  <c r="AO33"/>
  <c r="AM33"/>
  <c r="AK33"/>
  <c r="AI33"/>
  <c r="AV33"/>
  <c r="AR33"/>
  <c r="AN33"/>
  <c r="AJ33"/>
  <c r="AX33"/>
  <c r="AT33"/>
  <c r="AP33"/>
  <c r="AL33"/>
  <c r="AH33"/>
  <c r="BA41"/>
  <c r="AZ41"/>
  <c r="BB41"/>
  <c r="AY41"/>
  <c r="AW41"/>
  <c r="AU41"/>
  <c r="AS41"/>
  <c r="AQ41"/>
  <c r="AO41"/>
  <c r="AM41"/>
  <c r="AK41"/>
  <c r="AI41"/>
  <c r="AV41"/>
  <c r="AR41"/>
  <c r="AN41"/>
  <c r="AJ41"/>
  <c r="AX41"/>
  <c r="AT41"/>
  <c r="AP41"/>
  <c r="AL41"/>
  <c r="AH41"/>
  <c r="BA45"/>
  <c r="AZ45"/>
  <c r="BB45"/>
  <c r="AY45"/>
  <c r="AW45"/>
  <c r="AU45"/>
  <c r="AS45"/>
  <c r="AQ45"/>
  <c r="AO45"/>
  <c r="AM45"/>
  <c r="AK45"/>
  <c r="AI45"/>
  <c r="AV45"/>
  <c r="AR45"/>
  <c r="AN45"/>
  <c r="AJ45"/>
  <c r="AX45"/>
  <c r="AT45"/>
  <c r="AP45"/>
  <c r="AL45"/>
  <c r="AH45"/>
  <c r="BA47"/>
  <c r="AZ47"/>
  <c r="BB47"/>
  <c r="AY47"/>
  <c r="AW47"/>
  <c r="AU47"/>
  <c r="AS47"/>
  <c r="AQ47"/>
  <c r="AO47"/>
  <c r="AM47"/>
  <c r="AK47"/>
  <c r="AI47"/>
  <c r="AV47"/>
  <c r="AR47"/>
  <c r="AN47"/>
  <c r="AJ47"/>
  <c r="AX47"/>
  <c r="AT47"/>
  <c r="AP47"/>
  <c r="AL47"/>
  <c r="AH47"/>
  <c r="BA49"/>
  <c r="AZ49"/>
  <c r="BB49"/>
  <c r="AY49"/>
  <c r="AW49"/>
  <c r="AU49"/>
  <c r="AS49"/>
  <c r="AQ49"/>
  <c r="AO49"/>
  <c r="AM49"/>
  <c r="AK49"/>
  <c r="AI49"/>
  <c r="AV49"/>
  <c r="AR49"/>
  <c r="AN49"/>
  <c r="AJ49"/>
  <c r="AX49"/>
  <c r="AT49"/>
  <c r="AP49"/>
  <c r="AL49"/>
  <c r="AH49"/>
  <c r="BA57"/>
  <c r="AZ57"/>
  <c r="BB57"/>
  <c r="AY57"/>
  <c r="AW57"/>
  <c r="AU57"/>
  <c r="AS57"/>
  <c r="AQ57"/>
  <c r="AO57"/>
  <c r="AM57"/>
  <c r="AK57"/>
  <c r="AI57"/>
  <c r="AV57"/>
  <c r="AR57"/>
  <c r="AN57"/>
  <c r="AJ57"/>
  <c r="AX57"/>
  <c r="AT57"/>
  <c r="AP57"/>
  <c r="AL57"/>
  <c r="AH57"/>
  <c r="BA59"/>
  <c r="AZ59"/>
  <c r="BB59"/>
  <c r="AY59"/>
  <c r="AW59"/>
  <c r="AU59"/>
  <c r="AS59"/>
  <c r="AQ59"/>
  <c r="AO59"/>
  <c r="AM59"/>
  <c r="AK59"/>
  <c r="AI59"/>
  <c r="AV59"/>
  <c r="AR59"/>
  <c r="AN59"/>
  <c r="AJ59"/>
  <c r="AT59"/>
  <c r="AL59"/>
  <c r="AX59"/>
  <c r="AP59"/>
  <c r="AH59"/>
  <c r="BA65"/>
  <c r="AZ65"/>
  <c r="BB65"/>
  <c r="AY65"/>
  <c r="AW65"/>
  <c r="AU65"/>
  <c r="AS65"/>
  <c r="AQ65"/>
  <c r="AO65"/>
  <c r="AM65"/>
  <c r="AK65"/>
  <c r="AI65"/>
  <c r="AV65"/>
  <c r="AR65"/>
  <c r="AN65"/>
  <c r="AJ65"/>
  <c r="AX65"/>
  <c r="AP65"/>
  <c r="AH65"/>
  <c r="AT65"/>
  <c r="AL65"/>
  <c r="BA67"/>
  <c r="AZ67"/>
  <c r="BB67"/>
  <c r="AY67"/>
  <c r="AW67"/>
  <c r="AU67"/>
  <c r="AS67"/>
  <c r="AQ67"/>
  <c r="AO67"/>
  <c r="AM67"/>
  <c r="AK67"/>
  <c r="AI67"/>
  <c r="AV67"/>
  <c r="AR67"/>
  <c r="AN67"/>
  <c r="AJ67"/>
  <c r="AT67"/>
  <c r="AL67"/>
  <c r="AX67"/>
  <c r="AP67"/>
  <c r="AH67"/>
  <c r="AZ70"/>
  <c r="BB70"/>
  <c r="BA70"/>
  <c r="AY70"/>
  <c r="AW70"/>
  <c r="AU70"/>
  <c r="AS70"/>
  <c r="AQ70"/>
  <c r="AO70"/>
  <c r="AM70"/>
  <c r="AK70"/>
  <c r="AI70"/>
  <c r="AX70"/>
  <c r="AT70"/>
  <c r="AP70"/>
  <c r="AL70"/>
  <c r="AH70"/>
  <c r="AV70"/>
  <c r="AN70"/>
  <c r="AR70"/>
  <c r="AJ70"/>
  <c r="AZ54"/>
  <c r="BB54"/>
  <c r="BA54"/>
  <c r="AY54"/>
  <c r="AW54"/>
  <c r="AU54"/>
  <c r="AS54"/>
  <c r="AQ54"/>
  <c r="AO54"/>
  <c r="AM54"/>
  <c r="AK54"/>
  <c r="AI54"/>
  <c r="AX54"/>
  <c r="AT54"/>
  <c r="AP54"/>
  <c r="AL54"/>
  <c r="AH54"/>
  <c r="AV54"/>
  <c r="AR54"/>
  <c r="AN54"/>
  <c r="AJ54"/>
  <c r="AZ46"/>
  <c r="BB46"/>
  <c r="BA46"/>
  <c r="AY46"/>
  <c r="AW46"/>
  <c r="AU46"/>
  <c r="AS46"/>
  <c r="AQ46"/>
  <c r="AO46"/>
  <c r="AM46"/>
  <c r="AK46"/>
  <c r="AI46"/>
  <c r="AX46"/>
  <c r="AT46"/>
  <c r="AP46"/>
  <c r="AL46"/>
  <c r="AH46"/>
  <c r="AV46"/>
  <c r="AR46"/>
  <c r="AN46"/>
  <c r="AJ46"/>
  <c r="AZ60"/>
  <c r="BB60"/>
  <c r="BA60"/>
  <c r="AY60"/>
  <c r="AW60"/>
  <c r="AU60"/>
  <c r="AS60"/>
  <c r="AQ60"/>
  <c r="AO60"/>
  <c r="AM60"/>
  <c r="AK60"/>
  <c r="AI60"/>
  <c r="AX60"/>
  <c r="AT60"/>
  <c r="AP60"/>
  <c r="AL60"/>
  <c r="AH60"/>
  <c r="AR60"/>
  <c r="AJ60"/>
  <c r="AV60"/>
  <c r="AN60"/>
  <c r="AZ58"/>
  <c r="BB58"/>
  <c r="BA58"/>
  <c r="AY58"/>
  <c r="AW58"/>
  <c r="AU58"/>
  <c r="AS58"/>
  <c r="AX58"/>
  <c r="AT58"/>
  <c r="AQ58"/>
  <c r="AO58"/>
  <c r="AM58"/>
  <c r="AK58"/>
  <c r="AI58"/>
  <c r="AV58"/>
  <c r="AP58"/>
  <c r="AL58"/>
  <c r="AH58"/>
  <c r="AR58"/>
  <c r="AN58"/>
  <c r="AJ58"/>
  <c r="AZ66"/>
  <c r="BB66"/>
  <c r="BA66"/>
  <c r="AY66"/>
  <c r="AW66"/>
  <c r="AU66"/>
  <c r="AS66"/>
  <c r="AQ66"/>
  <c r="AO66"/>
  <c r="AM66"/>
  <c r="AK66"/>
  <c r="AI66"/>
  <c r="AX66"/>
  <c r="AT66"/>
  <c r="AP66"/>
  <c r="AL66"/>
  <c r="AH66"/>
  <c r="AV66"/>
  <c r="AN66"/>
  <c r="AR66"/>
  <c r="AJ66"/>
  <c r="BA61"/>
  <c r="AZ61"/>
  <c r="BB61"/>
  <c r="AY61"/>
  <c r="AW61"/>
  <c r="AU61"/>
  <c r="AS61"/>
  <c r="AQ61"/>
  <c r="AO61"/>
  <c r="AM61"/>
  <c r="AK61"/>
  <c r="AI61"/>
  <c r="AV61"/>
  <c r="AR61"/>
  <c r="AN61"/>
  <c r="AJ61"/>
  <c r="AX61"/>
  <c r="AP61"/>
  <c r="AH61"/>
  <c r="AT61"/>
  <c r="AL61"/>
  <c r="AZ26"/>
  <c r="BB26"/>
  <c r="BA26"/>
  <c r="AY26"/>
  <c r="AW26"/>
  <c r="AU26"/>
  <c r="AS26"/>
  <c r="AQ26"/>
  <c r="AO26"/>
  <c r="AM26"/>
  <c r="AK26"/>
  <c r="AI26"/>
  <c r="AX26"/>
  <c r="AV26"/>
  <c r="AT26"/>
  <c r="AR26"/>
  <c r="AP26"/>
  <c r="AN26"/>
  <c r="AL26"/>
  <c r="AJ26"/>
  <c r="AH26"/>
  <c r="AB19"/>
  <c r="AG35"/>
  <c r="X18"/>
  <c r="AG63"/>
  <c r="AG71"/>
  <c r="AG73"/>
  <c r="AG53"/>
  <c r="AB15"/>
  <c r="X20"/>
  <c r="AG43"/>
  <c r="AG55"/>
  <c r="AG75"/>
  <c r="AG69"/>
  <c r="AG48"/>
  <c r="AG76"/>
  <c r="AG64"/>
  <c r="AG72"/>
  <c r="AG40"/>
  <c r="AG52"/>
  <c r="AG28"/>
  <c r="AG24"/>
  <c r="AG44"/>
  <c r="AG32"/>
  <c r="AG80"/>
  <c r="AG42"/>
  <c r="AG38"/>
  <c r="AG27"/>
  <c r="AG30"/>
  <c r="AG31"/>
  <c r="AG74"/>
  <c r="X14"/>
  <c r="AG25"/>
  <c r="Z21"/>
  <c r="Z18"/>
  <c r="AG51"/>
  <c r="V2" l="1"/>
  <c r="W52" s="1"/>
  <c r="J12" i="1" s="1"/>
  <c r="AG4" i="16"/>
  <c r="AG6"/>
  <c r="AG5"/>
  <c r="AG2"/>
  <c r="AG1"/>
  <c r="AG3"/>
  <c r="V71" i="18"/>
  <c r="B22" i="16" s="1"/>
  <c r="AP6" i="17"/>
  <c r="AJ9" s="1"/>
  <c r="M11" i="16" s="1"/>
  <c r="AP9" i="18"/>
  <c r="N17" i="16" s="1"/>
  <c r="O17" s="1"/>
  <c r="AZ9" i="18"/>
  <c r="N27" i="16" s="1"/>
  <c r="O27" s="1"/>
  <c r="AJ6" i="18"/>
  <c r="N7" i="16" s="1"/>
  <c r="O7" s="1"/>
  <c r="AN6" i="18"/>
  <c r="N8" i="16" s="1"/>
  <c r="O8" s="1"/>
  <c r="AI9" i="17"/>
  <c r="M10" i="16" s="1"/>
  <c r="AB16"/>
  <c r="AB15"/>
  <c r="AB14"/>
  <c r="AB13"/>
  <c r="AB12"/>
  <c r="AB11"/>
  <c r="AE14"/>
  <c r="AE15"/>
  <c r="AE11"/>
  <c r="AE16"/>
  <c r="AE12"/>
  <c r="AE13"/>
  <c r="AU9" i="18"/>
  <c r="N22" i="16" s="1"/>
  <c r="O22" s="1"/>
  <c r="AR9" i="18"/>
  <c r="N19" i="16" s="1"/>
  <c r="O19" s="1"/>
  <c r="AN9" i="17"/>
  <c r="M15" i="16" s="1"/>
  <c r="AM9" i="17"/>
  <c r="M14" i="16" s="1"/>
  <c r="AK9" i="17"/>
  <c r="M12" i="16" s="1"/>
  <c r="AL6" i="18"/>
  <c r="AN9" s="1"/>
  <c r="N15" i="16" s="1"/>
  <c r="AO9" i="18"/>
  <c r="N16" i="16" s="1"/>
  <c r="O16" s="1"/>
  <c r="AQ9" i="18"/>
  <c r="N18" i="16" s="1"/>
  <c r="O18" s="1"/>
  <c r="AL9" i="17"/>
  <c r="M13" i="16" s="1"/>
  <c r="AW9" i="18"/>
  <c r="N24" i="16" s="1"/>
  <c r="O24" s="1"/>
  <c r="AT9" i="18"/>
  <c r="N21" i="16" s="1"/>
  <c r="O21" s="1"/>
  <c r="AV9" i="18"/>
  <c r="N23" i="16" s="1"/>
  <c r="O23" s="1"/>
  <c r="AX9" i="18"/>
  <c r="N25" i="16" s="1"/>
  <c r="O25" s="1"/>
  <c r="AY9" i="18"/>
  <c r="N26" i="16" s="1"/>
  <c r="O26" s="1"/>
  <c r="AS9" i="18"/>
  <c r="N20" i="16" s="1"/>
  <c r="O20" s="1"/>
  <c r="AZ32" i="13"/>
  <c r="BB32"/>
  <c r="BA32"/>
  <c r="AY32"/>
  <c r="AW32"/>
  <c r="AU32"/>
  <c r="AS32"/>
  <c r="AQ32"/>
  <c r="AO32"/>
  <c r="AM32"/>
  <c r="AK32"/>
  <c r="AI32"/>
  <c r="AX32"/>
  <c r="AT32"/>
  <c r="AP32"/>
  <c r="AL32"/>
  <c r="AH32"/>
  <c r="AV32"/>
  <c r="AR32"/>
  <c r="AN32"/>
  <c r="AJ32"/>
  <c r="AZ24"/>
  <c r="BB24"/>
  <c r="BA24"/>
  <c r="AY24"/>
  <c r="AW24"/>
  <c r="AU24"/>
  <c r="AS24"/>
  <c r="AQ24"/>
  <c r="AO24"/>
  <c r="AM24"/>
  <c r="AK24"/>
  <c r="AI24"/>
  <c r="AX24"/>
  <c r="AV24"/>
  <c r="AT24"/>
  <c r="AR24"/>
  <c r="AP24"/>
  <c r="AN24"/>
  <c r="AL24"/>
  <c r="AJ24"/>
  <c r="AH24"/>
  <c r="AZ52"/>
  <c r="BB52"/>
  <c r="BA52"/>
  <c r="AY52"/>
  <c r="AW52"/>
  <c r="AU52"/>
  <c r="AS52"/>
  <c r="AQ52"/>
  <c r="AO52"/>
  <c r="AM52"/>
  <c r="AK52"/>
  <c r="AI52"/>
  <c r="AX52"/>
  <c r="AT52"/>
  <c r="AP52"/>
  <c r="AL52"/>
  <c r="AH52"/>
  <c r="AV52"/>
  <c r="AR52"/>
  <c r="AN52"/>
  <c r="AJ52"/>
  <c r="AZ72"/>
  <c r="BB72"/>
  <c r="BA72"/>
  <c r="AY72"/>
  <c r="AW72"/>
  <c r="AU72"/>
  <c r="AS72"/>
  <c r="AQ72"/>
  <c r="AO72"/>
  <c r="AM72"/>
  <c r="AK72"/>
  <c r="AI72"/>
  <c r="AX72"/>
  <c r="AT72"/>
  <c r="AP72"/>
  <c r="AL72"/>
  <c r="AH72"/>
  <c r="AR72"/>
  <c r="AJ72"/>
  <c r="AV72"/>
  <c r="AN72"/>
  <c r="AZ76"/>
  <c r="BB76"/>
  <c r="BA76"/>
  <c r="AY76"/>
  <c r="AW76"/>
  <c r="AU76"/>
  <c r="AS76"/>
  <c r="AQ76"/>
  <c r="AO76"/>
  <c r="AM76"/>
  <c r="AK76"/>
  <c r="AI76"/>
  <c r="AX76"/>
  <c r="AT76"/>
  <c r="AP76"/>
  <c r="AL76"/>
  <c r="AH76"/>
  <c r="AR76"/>
  <c r="AJ76"/>
  <c r="AV76"/>
  <c r="AN76"/>
  <c r="BA69"/>
  <c r="AZ69"/>
  <c r="BB69"/>
  <c r="AY69"/>
  <c r="AW69"/>
  <c r="AU69"/>
  <c r="AS69"/>
  <c r="AQ69"/>
  <c r="AO69"/>
  <c r="AM69"/>
  <c r="AK69"/>
  <c r="AI69"/>
  <c r="AV69"/>
  <c r="AR69"/>
  <c r="AN69"/>
  <c r="AJ69"/>
  <c r="AX69"/>
  <c r="AP69"/>
  <c r="AH69"/>
  <c r="AT69"/>
  <c r="AL69"/>
  <c r="BA55"/>
  <c r="AZ55"/>
  <c r="BB55"/>
  <c r="AY55"/>
  <c r="AW55"/>
  <c r="AU55"/>
  <c r="AS55"/>
  <c r="AQ55"/>
  <c r="AO55"/>
  <c r="AM55"/>
  <c r="AK55"/>
  <c r="AI55"/>
  <c r="AV55"/>
  <c r="AR55"/>
  <c r="AN55"/>
  <c r="AJ55"/>
  <c r="AX55"/>
  <c r="AT55"/>
  <c r="AP55"/>
  <c r="AL55"/>
  <c r="AH55"/>
  <c r="BA63"/>
  <c r="AZ63"/>
  <c r="BB63"/>
  <c r="AY63"/>
  <c r="AW63"/>
  <c r="AU63"/>
  <c r="AS63"/>
  <c r="AQ63"/>
  <c r="AO63"/>
  <c r="AM63"/>
  <c r="AK63"/>
  <c r="AI63"/>
  <c r="AV63"/>
  <c r="AR63"/>
  <c r="AN63"/>
  <c r="AJ63"/>
  <c r="AT63"/>
  <c r="AL63"/>
  <c r="AX63"/>
  <c r="AP63"/>
  <c r="AH63"/>
  <c r="BA35"/>
  <c r="AZ35"/>
  <c r="BB35"/>
  <c r="AY35"/>
  <c r="AW35"/>
  <c r="AU35"/>
  <c r="AS35"/>
  <c r="AQ35"/>
  <c r="AO35"/>
  <c r="AM35"/>
  <c r="AK35"/>
  <c r="AI35"/>
  <c r="AV35"/>
  <c r="AR35"/>
  <c r="AN35"/>
  <c r="AJ35"/>
  <c r="AX35"/>
  <c r="AT35"/>
  <c r="AP35"/>
  <c r="AL35"/>
  <c r="AH35"/>
  <c r="BA51"/>
  <c r="AZ51"/>
  <c r="BB51"/>
  <c r="AY51"/>
  <c r="AW51"/>
  <c r="AU51"/>
  <c r="AS51"/>
  <c r="AQ51"/>
  <c r="AO51"/>
  <c r="AM51"/>
  <c r="AK51"/>
  <c r="AI51"/>
  <c r="AV51"/>
  <c r="AR51"/>
  <c r="AN51"/>
  <c r="AJ51"/>
  <c r="AX51"/>
  <c r="AT51"/>
  <c r="AP51"/>
  <c r="AL51"/>
  <c r="AH51"/>
  <c r="BA25"/>
  <c r="AZ25"/>
  <c r="BB25"/>
  <c r="AY25"/>
  <c r="AW25"/>
  <c r="AU25"/>
  <c r="AS25"/>
  <c r="AQ25"/>
  <c r="AO25"/>
  <c r="AM25"/>
  <c r="AK25"/>
  <c r="AI25"/>
  <c r="AX25"/>
  <c r="AV25"/>
  <c r="AT25"/>
  <c r="AR25"/>
  <c r="AP25"/>
  <c r="AN25"/>
  <c r="AL25"/>
  <c r="AJ25"/>
  <c r="AH25"/>
  <c r="AZ74"/>
  <c r="BB74"/>
  <c r="BA74"/>
  <c r="AY74"/>
  <c r="AW74"/>
  <c r="AU74"/>
  <c r="AS74"/>
  <c r="AQ74"/>
  <c r="AO74"/>
  <c r="AM74"/>
  <c r="AK74"/>
  <c r="AI74"/>
  <c r="AX74"/>
  <c r="AT74"/>
  <c r="AP74"/>
  <c r="AL74"/>
  <c r="AH74"/>
  <c r="AV74"/>
  <c r="AN74"/>
  <c r="AR74"/>
  <c r="AJ74"/>
  <c r="AZ30"/>
  <c r="BB30"/>
  <c r="BA30"/>
  <c r="AY30"/>
  <c r="AW30"/>
  <c r="AU30"/>
  <c r="AS30"/>
  <c r="AQ30"/>
  <c r="AO30"/>
  <c r="AM30"/>
  <c r="AK30"/>
  <c r="AX30"/>
  <c r="AT30"/>
  <c r="AP30"/>
  <c r="AL30"/>
  <c r="AI30"/>
  <c r="AV30"/>
  <c r="AR30"/>
  <c r="AN30"/>
  <c r="AJ30"/>
  <c r="AH30"/>
  <c r="AZ38"/>
  <c r="BB38"/>
  <c r="BA38"/>
  <c r="AY38"/>
  <c r="AW38"/>
  <c r="AU38"/>
  <c r="AS38"/>
  <c r="AQ38"/>
  <c r="AO38"/>
  <c r="AM38"/>
  <c r="AK38"/>
  <c r="AI38"/>
  <c r="AX38"/>
  <c r="AT38"/>
  <c r="AP38"/>
  <c r="AL38"/>
  <c r="AH38"/>
  <c r="AV38"/>
  <c r="AR38"/>
  <c r="AN38"/>
  <c r="AJ38"/>
  <c r="AZ80"/>
  <c r="BA80"/>
  <c r="BB80"/>
  <c r="AX80"/>
  <c r="AV80"/>
  <c r="AT80"/>
  <c r="AR80"/>
  <c r="AP80"/>
  <c r="AN80"/>
  <c r="AL80"/>
  <c r="AJ80"/>
  <c r="AH80"/>
  <c r="AY80"/>
  <c r="AW80"/>
  <c r="AU80"/>
  <c r="AS80"/>
  <c r="AQ80"/>
  <c r="AO80"/>
  <c r="AM80"/>
  <c r="AK80"/>
  <c r="AI80"/>
  <c r="AZ44"/>
  <c r="BB44"/>
  <c r="BA44"/>
  <c r="AY44"/>
  <c r="AW44"/>
  <c r="AU44"/>
  <c r="AS44"/>
  <c r="AQ44"/>
  <c r="AO44"/>
  <c r="AM44"/>
  <c r="AK44"/>
  <c r="AI44"/>
  <c r="AX44"/>
  <c r="AT44"/>
  <c r="AP44"/>
  <c r="AL44"/>
  <c r="AH44"/>
  <c r="AV44"/>
  <c r="AR44"/>
  <c r="AN44"/>
  <c r="AJ44"/>
  <c r="AZ28"/>
  <c r="BB28"/>
  <c r="BA28"/>
  <c r="AY28"/>
  <c r="AW28"/>
  <c r="AU28"/>
  <c r="AS28"/>
  <c r="AQ28"/>
  <c r="AO28"/>
  <c r="AM28"/>
  <c r="AK28"/>
  <c r="AI28"/>
  <c r="AX28"/>
  <c r="AV28"/>
  <c r="AT28"/>
  <c r="AR28"/>
  <c r="AP28"/>
  <c r="AN28"/>
  <c r="AL28"/>
  <c r="AJ28"/>
  <c r="AH28"/>
  <c r="AZ40"/>
  <c r="BB40"/>
  <c r="BA40"/>
  <c r="AY40"/>
  <c r="AW40"/>
  <c r="AU40"/>
  <c r="AS40"/>
  <c r="AQ40"/>
  <c r="AO40"/>
  <c r="AM40"/>
  <c r="AK40"/>
  <c r="AI40"/>
  <c r="AX40"/>
  <c r="AT40"/>
  <c r="AP40"/>
  <c r="AL40"/>
  <c r="AH40"/>
  <c r="AV40"/>
  <c r="AR40"/>
  <c r="AN40"/>
  <c r="AJ40"/>
  <c r="AZ64"/>
  <c r="BB64"/>
  <c r="BA64"/>
  <c r="AY64"/>
  <c r="AW64"/>
  <c r="AU64"/>
  <c r="AS64"/>
  <c r="AQ64"/>
  <c r="AO64"/>
  <c r="AM64"/>
  <c r="AK64"/>
  <c r="AI64"/>
  <c r="AX64"/>
  <c r="AT64"/>
  <c r="AP64"/>
  <c r="AL64"/>
  <c r="AH64"/>
  <c r="AR64"/>
  <c r="AJ64"/>
  <c r="AV64"/>
  <c r="AN64"/>
  <c r="AZ48"/>
  <c r="BB48"/>
  <c r="BA48"/>
  <c r="AY48"/>
  <c r="AW48"/>
  <c r="AU48"/>
  <c r="AS48"/>
  <c r="AQ48"/>
  <c r="AO48"/>
  <c r="AM48"/>
  <c r="AK48"/>
  <c r="AI48"/>
  <c r="AX48"/>
  <c r="AT48"/>
  <c r="AP48"/>
  <c r="AL48"/>
  <c r="AH48"/>
  <c r="AV48"/>
  <c r="AR48"/>
  <c r="AN48"/>
  <c r="AJ48"/>
  <c r="BA75"/>
  <c r="AZ75"/>
  <c r="BB75"/>
  <c r="AY75"/>
  <c r="AW75"/>
  <c r="AU75"/>
  <c r="AS75"/>
  <c r="AQ75"/>
  <c r="AO75"/>
  <c r="AM75"/>
  <c r="AK75"/>
  <c r="AI75"/>
  <c r="AV75"/>
  <c r="AR75"/>
  <c r="AN75"/>
  <c r="AJ75"/>
  <c r="AT75"/>
  <c r="AL75"/>
  <c r="AX75"/>
  <c r="AP75"/>
  <c r="AH75"/>
  <c r="BA43"/>
  <c r="AZ43"/>
  <c r="BB43"/>
  <c r="AY43"/>
  <c r="AW43"/>
  <c r="AU43"/>
  <c r="AS43"/>
  <c r="AQ43"/>
  <c r="AO43"/>
  <c r="AM43"/>
  <c r="AK43"/>
  <c r="AI43"/>
  <c r="AV43"/>
  <c r="AR43"/>
  <c r="AN43"/>
  <c r="AJ43"/>
  <c r="AX43"/>
  <c r="AT43"/>
  <c r="AP43"/>
  <c r="AL43"/>
  <c r="AH43"/>
  <c r="BA53"/>
  <c r="AZ53"/>
  <c r="BB53"/>
  <c r="AY53"/>
  <c r="AW53"/>
  <c r="AU53"/>
  <c r="AS53"/>
  <c r="AQ53"/>
  <c r="AO53"/>
  <c r="AM53"/>
  <c r="AK53"/>
  <c r="AI53"/>
  <c r="AV53"/>
  <c r="AR53"/>
  <c r="AN53"/>
  <c r="AJ53"/>
  <c r="AX53"/>
  <c r="AT53"/>
  <c r="AP53"/>
  <c r="AL53"/>
  <c r="AH53"/>
  <c r="BA71"/>
  <c r="AZ71"/>
  <c r="BB71"/>
  <c r="AY71"/>
  <c r="AW71"/>
  <c r="AU71"/>
  <c r="AS71"/>
  <c r="AQ71"/>
  <c r="AO71"/>
  <c r="AM71"/>
  <c r="AK71"/>
  <c r="AI71"/>
  <c r="AV71"/>
  <c r="AR71"/>
  <c r="AN71"/>
  <c r="AJ71"/>
  <c r="AT71"/>
  <c r="AL71"/>
  <c r="AX71"/>
  <c r="AP71"/>
  <c r="AH71"/>
  <c r="BA31"/>
  <c r="AZ31"/>
  <c r="BB31"/>
  <c r="AY31"/>
  <c r="AW31"/>
  <c r="AU31"/>
  <c r="AS31"/>
  <c r="AQ31"/>
  <c r="AO31"/>
  <c r="AM31"/>
  <c r="AK31"/>
  <c r="AI31"/>
  <c r="AV31"/>
  <c r="AR31"/>
  <c r="AN31"/>
  <c r="AJ31"/>
  <c r="AX31"/>
  <c r="AT31"/>
  <c r="AP31"/>
  <c r="AL31"/>
  <c r="AH31"/>
  <c r="BA27"/>
  <c r="AZ27"/>
  <c r="BB27"/>
  <c r="AY27"/>
  <c r="AW27"/>
  <c r="AU27"/>
  <c r="AS27"/>
  <c r="AQ27"/>
  <c r="AO27"/>
  <c r="AM27"/>
  <c r="AK27"/>
  <c r="AI27"/>
  <c r="AX27"/>
  <c r="AV27"/>
  <c r="AT27"/>
  <c r="AR27"/>
  <c r="AP27"/>
  <c r="AN27"/>
  <c r="AL27"/>
  <c r="AJ27"/>
  <c r="AH27"/>
  <c r="AZ42"/>
  <c r="BB42"/>
  <c r="BA42"/>
  <c r="AY42"/>
  <c r="AW42"/>
  <c r="AU42"/>
  <c r="AS42"/>
  <c r="AQ42"/>
  <c r="AO42"/>
  <c r="AM42"/>
  <c r="AK42"/>
  <c r="AI42"/>
  <c r="AX42"/>
  <c r="AT42"/>
  <c r="AP42"/>
  <c r="AL42"/>
  <c r="AH42"/>
  <c r="AV42"/>
  <c r="AR42"/>
  <c r="AN42"/>
  <c r="AJ42"/>
  <c r="BA73"/>
  <c r="AZ73"/>
  <c r="BB73"/>
  <c r="AY73"/>
  <c r="AW73"/>
  <c r="AU73"/>
  <c r="AS73"/>
  <c r="AQ73"/>
  <c r="AO73"/>
  <c r="AM73"/>
  <c r="AK73"/>
  <c r="AI73"/>
  <c r="AV73"/>
  <c r="AR73"/>
  <c r="AN73"/>
  <c r="AJ73"/>
  <c r="AX73"/>
  <c r="AP73"/>
  <c r="AH73"/>
  <c r="AT73"/>
  <c r="AL73"/>
  <c r="AG128"/>
  <c r="AD128" s="1"/>
  <c r="AG130" l="1"/>
  <c r="K22" i="1" s="1"/>
  <c r="W4" i="13"/>
  <c r="W17" s="1"/>
  <c r="AC30" s="1"/>
  <c r="W42"/>
  <c r="J2" i="1" s="1"/>
  <c r="W1" i="13"/>
  <c r="W14" s="1"/>
  <c r="Z27" s="1"/>
  <c r="W10"/>
  <c r="W23" s="1"/>
  <c r="AB36" s="1"/>
  <c r="AG110"/>
  <c r="W3"/>
  <c r="W16" s="1"/>
  <c r="AA29" s="1"/>
  <c r="W7"/>
  <c r="W20" s="1"/>
  <c r="AB33" s="1"/>
  <c r="W6"/>
  <c r="W19" s="1"/>
  <c r="AC32" s="1"/>
  <c r="AG131"/>
  <c r="AD131" s="1"/>
  <c r="W2"/>
  <c r="W43"/>
  <c r="J3" i="1" s="1"/>
  <c r="W12" i="13"/>
  <c r="W25" s="1"/>
  <c r="X38" s="1"/>
  <c r="W8"/>
  <c r="W21" s="1"/>
  <c r="AB34" s="1"/>
  <c r="W9"/>
  <c r="W22" s="1"/>
  <c r="AA35" s="1"/>
  <c r="AG129"/>
  <c r="AD129" s="1"/>
  <c r="W5"/>
  <c r="W18" s="1"/>
  <c r="X31" s="1"/>
  <c r="W11"/>
  <c r="W24" s="1"/>
  <c r="Y37" s="1"/>
  <c r="Y52" s="1"/>
  <c r="W50"/>
  <c r="J10" i="1" s="1"/>
  <c r="W45" i="13"/>
  <c r="J5" i="1" s="1"/>
  <c r="W47" i="13"/>
  <c r="J7" i="1" s="1"/>
  <c r="W44" i="13"/>
  <c r="J4" i="1" s="1"/>
  <c r="W49" i="13"/>
  <c r="J9" i="1" s="1"/>
  <c r="W51" i="13"/>
  <c r="J11" i="1" s="1"/>
  <c r="W48" i="13"/>
  <c r="J8" i="1" s="1"/>
  <c r="W53" i="13"/>
  <c r="J13" i="1" s="1"/>
  <c r="W46" i="13"/>
  <c r="J6" i="1" s="1"/>
  <c r="AP6" i="18"/>
  <c r="AJ9" s="1"/>
  <c r="N11" i="16" s="1"/>
  <c r="O11" s="1"/>
  <c r="AK9" i="18"/>
  <c r="N12" i="16" s="1"/>
  <c r="O12" s="1"/>
  <c r="AM9" i="18"/>
  <c r="N14" i="16" s="1"/>
  <c r="O14" s="1"/>
  <c r="AI9" i="18"/>
  <c r="N10" i="16" s="1"/>
  <c r="O10" s="1"/>
  <c r="O15"/>
  <c r="AL9" i="18"/>
  <c r="N13" i="16" s="1"/>
  <c r="O13" s="1"/>
  <c r="N9"/>
  <c r="O9" s="1"/>
  <c r="W15" i="13"/>
  <c r="Z28" s="1"/>
  <c r="Z33"/>
  <c r="AO108"/>
  <c r="AW108"/>
  <c r="AL107"/>
  <c r="AH107"/>
  <c r="AK108"/>
  <c r="AL97"/>
  <c r="AX108"/>
  <c r="AS108"/>
  <c r="AH108"/>
  <c r="AL108"/>
  <c r="AP108"/>
  <c r="AX107"/>
  <c r="AK107"/>
  <c r="AO107"/>
  <c r="AS107"/>
  <c r="AW107"/>
  <c r="AW97"/>
  <c r="AT107"/>
  <c r="AP107"/>
  <c r="BB98"/>
  <c r="BA97"/>
  <c r="AZ98"/>
  <c r="AJ108"/>
  <c r="AN108"/>
  <c r="AR108"/>
  <c r="AV108"/>
  <c r="AI108"/>
  <c r="AM108"/>
  <c r="AQ108"/>
  <c r="AU108"/>
  <c r="AY108"/>
  <c r="BB107"/>
  <c r="BB103"/>
  <c r="BB99"/>
  <c r="BB108"/>
  <c r="BB104"/>
  <c r="BB100"/>
  <c r="BA108"/>
  <c r="BA104"/>
  <c r="BA100"/>
  <c r="BA107"/>
  <c r="BA103"/>
  <c r="BA99"/>
  <c r="AZ107"/>
  <c r="AZ103"/>
  <c r="AZ99"/>
  <c r="AZ108"/>
  <c r="AZ104"/>
  <c r="AZ100"/>
  <c r="AT108"/>
  <c r="BB105"/>
  <c r="BB101"/>
  <c r="BB97"/>
  <c r="BB106"/>
  <c r="BB102"/>
  <c r="BA106"/>
  <c r="BA102"/>
  <c r="BA98"/>
  <c r="BA105"/>
  <c r="BA101"/>
  <c r="AZ105"/>
  <c r="AZ101"/>
  <c r="AZ97"/>
  <c r="AZ106"/>
  <c r="AZ102"/>
  <c r="AY107"/>
  <c r="AU107"/>
  <c r="AQ107"/>
  <c r="AM107"/>
  <c r="AI107"/>
  <c r="AV107"/>
  <c r="AR107"/>
  <c r="AN107"/>
  <c r="AJ107"/>
  <c r="AM97"/>
  <c r="AN97"/>
  <c r="AH97"/>
  <c r="AX97"/>
  <c r="AO97"/>
  <c r="AP98"/>
  <c r="AY99"/>
  <c r="AY100"/>
  <c r="AS97"/>
  <c r="AK98"/>
  <c r="AP100"/>
  <c r="AJ97"/>
  <c r="AT100"/>
  <c r="AQ100"/>
  <c r="AK100"/>
  <c r="AN99"/>
  <c r="AR99"/>
  <c r="AV101"/>
  <c r="AS102"/>
  <c r="AQ98"/>
  <c r="AK99"/>
  <c r="AS99"/>
  <c r="AI99"/>
  <c r="AI97"/>
  <c r="AH98"/>
  <c r="AW104"/>
  <c r="AQ103"/>
  <c r="AT103"/>
  <c r="AJ102"/>
  <c r="AW100"/>
  <c r="AJ98"/>
  <c r="AM100"/>
  <c r="AQ105"/>
  <c r="AT98"/>
  <c r="AN102"/>
  <c r="AJ99"/>
  <c r="AM99"/>
  <c r="AN98"/>
  <c r="AM105"/>
  <c r="AJ100"/>
  <c r="AK97"/>
  <c r="AN100"/>
  <c r="AK104"/>
  <c r="AM98"/>
  <c r="AU100"/>
  <c r="AV104"/>
  <c r="AV103"/>
  <c r="AO100"/>
  <c r="AR100"/>
  <c r="K18" i="1"/>
  <c r="AV97" i="13"/>
  <c r="AQ104"/>
  <c r="AS103"/>
  <c r="AP99"/>
  <c r="AX100"/>
  <c r="AY101"/>
  <c r="AR102"/>
  <c r="AL102"/>
  <c r="AL99"/>
  <c r="AU105"/>
  <c r="AV100"/>
  <c r="AV99"/>
  <c r="AV98"/>
  <c r="AI98"/>
  <c r="AY98"/>
  <c r="AL98"/>
  <c r="AU99"/>
  <c r="AU98"/>
  <c r="AQ106"/>
  <c r="AV102"/>
  <c r="AV106"/>
  <c r="AS104"/>
  <c r="AO99"/>
  <c r="AI100"/>
  <c r="AY97"/>
  <c r="AX99"/>
  <c r="AU97"/>
  <c r="AW98"/>
  <c r="AS101"/>
  <c r="AR98"/>
  <c r="AV105"/>
  <c r="AU106"/>
  <c r="AI106"/>
  <c r="AT97"/>
  <c r="AL100"/>
  <c r="AH99"/>
  <c r="AO98"/>
  <c r="AO102"/>
  <c r="AQ101"/>
  <c r="AQ97"/>
  <c r="AQ99"/>
  <c r="AQ102"/>
  <c r="AS105"/>
  <c r="AS98"/>
  <c r="AS106"/>
  <c r="AS100"/>
  <c r="AO104"/>
  <c r="AX101"/>
  <c r="AH105"/>
  <c r="AP105"/>
  <c r="AW99"/>
  <c r="AT99"/>
  <c r="AP97"/>
  <c r="AX98"/>
  <c r="AH100"/>
  <c r="AR97"/>
  <c r="Z32"/>
  <c r="Z30"/>
  <c r="Y35"/>
  <c r="AB29"/>
  <c r="X29"/>
  <c r="AO103"/>
  <c r="AO105"/>
  <c r="AW106"/>
  <c r="AI102"/>
  <c r="AJ104"/>
  <c r="AJ101"/>
  <c r="AJ105"/>
  <c r="AK103"/>
  <c r="AK101"/>
  <c r="AT102"/>
  <c r="AM103"/>
  <c r="AP104"/>
  <c r="AY102"/>
  <c r="AL106"/>
  <c r="AX105"/>
  <c r="AH102"/>
  <c r="AH104"/>
  <c r="AR106"/>
  <c r="AN101"/>
  <c r="AN103"/>
  <c r="AL101"/>
  <c r="AO101"/>
  <c r="AO106"/>
  <c r="AW102"/>
  <c r="AW101"/>
  <c r="AI105"/>
  <c r="AI104"/>
  <c r="AK102"/>
  <c r="AT106"/>
  <c r="AM102"/>
  <c r="AP103"/>
  <c r="AP101"/>
  <c r="AY106"/>
  <c r="AL103"/>
  <c r="AX103"/>
  <c r="AX104"/>
  <c r="AU103"/>
  <c r="AH103"/>
  <c r="AR101"/>
  <c r="AR103"/>
  <c r="AN106"/>
  <c r="AW103"/>
  <c r="AW105"/>
  <c r="AJ106"/>
  <c r="AJ103"/>
  <c r="AK106"/>
  <c r="AK105"/>
  <c r="AU102"/>
  <c r="AT101"/>
  <c r="AT104"/>
  <c r="AM104"/>
  <c r="AM101"/>
  <c r="AY103"/>
  <c r="AY104"/>
  <c r="AL104"/>
  <c r="AX102"/>
  <c r="AH101"/>
  <c r="AR105"/>
  <c r="AN105"/>
  <c r="AU101"/>
  <c r="AU104"/>
  <c r="AI103"/>
  <c r="AI101"/>
  <c r="AT105"/>
  <c r="AM106"/>
  <c r="AP102"/>
  <c r="AP106"/>
  <c r="AY105"/>
  <c r="AL105"/>
  <c r="AX106"/>
  <c r="AH106"/>
  <c r="AR104"/>
  <c r="AN104"/>
  <c r="AC29" l="1"/>
  <c r="AC44" s="1"/>
  <c r="P4" i="1" s="1"/>
  <c r="AC36" i="13"/>
  <c r="AC51" s="1"/>
  <c r="P11" i="1" s="1"/>
  <c r="Y32" i="13"/>
  <c r="Y47" s="1"/>
  <c r="L7" i="1" s="1"/>
  <c r="Z36" i="13"/>
  <c r="Z51" s="1"/>
  <c r="M11" i="1" s="1"/>
  <c r="Z48" i="13"/>
  <c r="M8" i="1" s="1"/>
  <c r="AB30" i="13"/>
  <c r="AB45" s="1"/>
  <c r="O5" i="1" s="1"/>
  <c r="AA32" i="13"/>
  <c r="AA47" s="1"/>
  <c r="N7" i="1" s="1"/>
  <c r="AD130" i="13"/>
  <c r="AN136" s="1"/>
  <c r="AB38"/>
  <c r="AB53" s="1"/>
  <c r="O13" i="1" s="1"/>
  <c r="X33" i="13"/>
  <c r="X48" s="1"/>
  <c r="K8" i="1" s="1"/>
  <c r="AA33" i="13"/>
  <c r="AA48" s="1"/>
  <c r="N8" i="1" s="1"/>
  <c r="AA27" i="13"/>
  <c r="AA42" s="1"/>
  <c r="N2" i="1" s="1"/>
  <c r="AB27" i="13"/>
  <c r="AB42" s="1"/>
  <c r="O2" i="1" s="1"/>
  <c r="Y27" i="13"/>
  <c r="Y42" s="1"/>
  <c r="L2" i="1" s="1"/>
  <c r="Z42" i="13"/>
  <c r="M2" i="1" s="1"/>
  <c r="X36" i="13"/>
  <c r="X51" s="1"/>
  <c r="K11" i="1" s="1"/>
  <c r="Y33" i="13"/>
  <c r="Y48" s="1"/>
  <c r="L8" i="1" s="1"/>
  <c r="AA36" i="13"/>
  <c r="AA51" s="1"/>
  <c r="N11" i="1" s="1"/>
  <c r="AB32" i="13"/>
  <c r="AB47" s="1"/>
  <c r="O7" i="1" s="1"/>
  <c r="X27" i="13"/>
  <c r="X42" s="1"/>
  <c r="K2" i="1" s="1"/>
  <c r="AC27" i="13"/>
  <c r="AC42" s="1"/>
  <c r="P2" i="1" s="1"/>
  <c r="X37" i="13"/>
  <c r="X52" s="1"/>
  <c r="K12" i="1" s="1"/>
  <c r="AC33" i="13"/>
  <c r="AC48" s="1"/>
  <c r="P8" i="1" s="1"/>
  <c r="Y36" i="13"/>
  <c r="Y51" s="1"/>
  <c r="L11" i="1" s="1"/>
  <c r="AA30" i="13"/>
  <c r="AA45" s="1"/>
  <c r="N5" i="1" s="1"/>
  <c r="X30" i="13"/>
  <c r="X45" s="1"/>
  <c r="K5" i="1" s="1"/>
  <c r="X32" i="13"/>
  <c r="X47" s="1"/>
  <c r="K7" i="1" s="1"/>
  <c r="Y30" i="13"/>
  <c r="Y45" s="1"/>
  <c r="L5" i="1" s="1"/>
  <c r="AA44" i="13"/>
  <c r="N4" i="1" s="1"/>
  <c r="Z38" i="13"/>
  <c r="Z53" s="1"/>
  <c r="M13" i="1" s="1"/>
  <c r="AA31" i="13"/>
  <c r="AA46" s="1"/>
  <c r="N6" i="1" s="1"/>
  <c r="Y29" i="13"/>
  <c r="Y44" s="1"/>
  <c r="L4" i="1" s="1"/>
  <c r="AB35" i="13"/>
  <c r="AB50" s="1"/>
  <c r="O10" i="1" s="1"/>
  <c r="Z34" i="13"/>
  <c r="Z49" s="1"/>
  <c r="M9" i="1" s="1"/>
  <c r="Z29" i="13"/>
  <c r="Z44" s="1"/>
  <c r="M4" i="1" s="1"/>
  <c r="X35" i="13"/>
  <c r="X50" s="1"/>
  <c r="K10" i="1" s="1"/>
  <c r="Y34" i="13"/>
  <c r="Y49" s="1"/>
  <c r="L9" i="1" s="1"/>
  <c r="AC37" i="13"/>
  <c r="AC52" s="1"/>
  <c r="P12" i="1" s="1"/>
  <c r="AC34" i="13"/>
  <c r="AC49" s="1"/>
  <c r="P9" i="1" s="1"/>
  <c r="AB44" i="13"/>
  <c r="O4" i="1" s="1"/>
  <c r="AA34" i="13"/>
  <c r="AA49" s="1"/>
  <c r="N9" i="1" s="1"/>
  <c r="K24"/>
  <c r="AB37" i="13"/>
  <c r="AB52" s="1"/>
  <c r="O12" i="1" s="1"/>
  <c r="X34" i="13"/>
  <c r="X49" s="1"/>
  <c r="K9" i="1" s="1"/>
  <c r="Z37" i="13"/>
  <c r="Z52" s="1"/>
  <c r="M12" i="1" s="1"/>
  <c r="AA37" i="13"/>
  <c r="AA52" s="1"/>
  <c r="Z47"/>
  <c r="M7" i="1" s="1"/>
  <c r="AA50" i="13"/>
  <c r="N10" i="1" s="1"/>
  <c r="X46" i="13"/>
  <c r="K6" i="1" s="1"/>
  <c r="Z35" i="13"/>
  <c r="Z50" s="1"/>
  <c r="M10" i="1" s="1"/>
  <c r="AC35" i="13"/>
  <c r="AC50" s="1"/>
  <c r="P10" i="1" s="1"/>
  <c r="Y31" i="13"/>
  <c r="Y46" s="1"/>
  <c r="L6" i="1" s="1"/>
  <c r="AB49" i="13"/>
  <c r="O9" i="1" s="1"/>
  <c r="AB48" i="13"/>
  <c r="O8" i="1" s="1"/>
  <c r="K20"/>
  <c r="Z43" i="13"/>
  <c r="M3" i="1" s="1"/>
  <c r="AC47" i="13"/>
  <c r="P7" i="1" s="1"/>
  <c r="Y38" i="13"/>
  <c r="Y53" s="1"/>
  <c r="L13" i="1" s="1"/>
  <c r="AC38" i="13"/>
  <c r="AC53" s="1"/>
  <c r="P13" i="1" s="1"/>
  <c r="AC31" i="13"/>
  <c r="AC46" s="1"/>
  <c r="P6" i="1" s="1"/>
  <c r="AB31" i="13"/>
  <c r="AB46" s="1"/>
  <c r="O6" i="1" s="1"/>
  <c r="Z31" i="13"/>
  <c r="Z46" s="1"/>
  <c r="M6" i="1" s="1"/>
  <c r="X44" i="13"/>
  <c r="K4" i="1" s="1"/>
  <c r="Z45" i="13"/>
  <c r="M5" i="1" s="1"/>
  <c r="AA38" i="13"/>
  <c r="AA53" s="1"/>
  <c r="N13" i="1" s="1"/>
  <c r="Y50" i="13"/>
  <c r="L10" i="1" s="1"/>
  <c r="AB51" i="13"/>
  <c r="O11" i="1" s="1"/>
  <c r="AC45" i="13"/>
  <c r="P5" i="1" s="1"/>
  <c r="AC28" i="13"/>
  <c r="AC43" s="1"/>
  <c r="P3" i="1" s="1"/>
  <c r="X28" i="13"/>
  <c r="X43" s="1"/>
  <c r="K3" i="1" s="1"/>
  <c r="Y28" i="13"/>
  <c r="Y43" s="1"/>
  <c r="L3" i="1" s="1"/>
  <c r="AB28" i="13"/>
  <c r="AB43" s="1"/>
  <c r="O3" i="1" s="1"/>
  <c r="AA28" i="13"/>
  <c r="AA43" s="1"/>
  <c r="N3" i="1" s="1"/>
  <c r="X53" i="13"/>
  <c r="K13" i="1" s="1"/>
  <c r="AL14" i="13"/>
  <c r="AT14"/>
  <c r="AT4" s="1"/>
  <c r="AK14"/>
  <c r="AS14"/>
  <c r="AS4" s="1"/>
  <c r="AY14"/>
  <c r="AY4" s="1"/>
  <c r="AN14"/>
  <c r="AQ14"/>
  <c r="AQ4" s="1"/>
  <c r="AI14"/>
  <c r="AJ14"/>
  <c r="AN11"/>
  <c r="AN1" s="1"/>
  <c r="AP14"/>
  <c r="AP4" s="1"/>
  <c r="AL11"/>
  <c r="AL1" s="1"/>
  <c r="AO14"/>
  <c r="AO4" s="1"/>
  <c r="AW14"/>
  <c r="AW4" s="1"/>
  <c r="AX14"/>
  <c r="AX4" s="1"/>
  <c r="AZ14"/>
  <c r="AZ4" s="1"/>
  <c r="AR14"/>
  <c r="AR4" s="1"/>
  <c r="AU14"/>
  <c r="AU4" s="1"/>
  <c r="AM14"/>
  <c r="AV14"/>
  <c r="AV4" s="1"/>
  <c r="AJ11"/>
  <c r="AJ1" s="1"/>
  <c r="L12" i="1"/>
  <c r="AG115" i="13" l="1"/>
  <c r="AG114"/>
  <c r="AZ114" s="1"/>
  <c r="AG111"/>
  <c r="AL111" s="1"/>
  <c r="AO136"/>
  <c r="AY136"/>
  <c r="AL136"/>
  <c r="AI136"/>
  <c r="AV136"/>
  <c r="AU136"/>
  <c r="AZ136"/>
  <c r="AW136"/>
  <c r="AG119"/>
  <c r="N12" i="1"/>
  <c r="AN133" i="13"/>
  <c r="AK136"/>
  <c r="AJ133"/>
  <c r="AL133"/>
  <c r="AX136"/>
  <c r="AQ136"/>
  <c r="AP136"/>
  <c r="AR136"/>
  <c r="AJ136"/>
  <c r="AT136"/>
  <c r="AS136"/>
  <c r="AM136"/>
  <c r="AG116"/>
  <c r="AX116" s="1"/>
  <c r="AG122"/>
  <c r="AZ122" s="1"/>
  <c r="AS111"/>
  <c r="AP111"/>
  <c r="BB111"/>
  <c r="AM111"/>
  <c r="AR111"/>
  <c r="AX111"/>
  <c r="AU111"/>
  <c r="BA111"/>
  <c r="AZ111"/>
  <c r="AH111"/>
  <c r="AY111"/>
  <c r="AV111"/>
  <c r="AN111"/>
  <c r="AI111"/>
  <c r="AO111"/>
  <c r="AF111"/>
  <c r="AA5" i="1" s="1"/>
  <c r="AQ111" i="13"/>
  <c r="AJ111"/>
  <c r="AT111"/>
  <c r="AW111"/>
  <c r="AK111"/>
  <c r="AI4"/>
  <c r="AG121"/>
  <c r="AT121" s="1"/>
  <c r="AG113"/>
  <c r="AJ113" s="1"/>
  <c r="AG124"/>
  <c r="BA124" s="1"/>
  <c r="AG123"/>
  <c r="BA123" s="1"/>
  <c r="AG120"/>
  <c r="AU120" s="1"/>
  <c r="AG112"/>
  <c r="AZ112" s="1"/>
  <c r="B14" i="1"/>
  <c r="AT114" i="13"/>
  <c r="BA120"/>
  <c r="AZ115"/>
  <c r="BB115"/>
  <c r="AX115"/>
  <c r="AV115"/>
  <c r="AT115"/>
  <c r="AR115"/>
  <c r="AP115"/>
  <c r="AN115"/>
  <c r="AL115"/>
  <c r="AJ115"/>
  <c r="AH115"/>
  <c r="AY115"/>
  <c r="AU115"/>
  <c r="AQ115"/>
  <c r="AM115"/>
  <c r="AI115"/>
  <c r="BA115"/>
  <c r="AW115"/>
  <c r="AS115"/>
  <c r="AO115"/>
  <c r="AK115"/>
  <c r="BA119"/>
  <c r="AZ119"/>
  <c r="AV119"/>
  <c r="AR119"/>
  <c r="AN119"/>
  <c r="AJ119"/>
  <c r="AX119"/>
  <c r="AP119"/>
  <c r="AH119"/>
  <c r="AT119"/>
  <c r="AL119"/>
  <c r="AI119"/>
  <c r="AM119"/>
  <c r="AQ119"/>
  <c r="AU119"/>
  <c r="AY119"/>
  <c r="AK119"/>
  <c r="AO119"/>
  <c r="AS119"/>
  <c r="AW119"/>
  <c r="BB119"/>
  <c r="AP1"/>
  <c r="AJ4" s="1"/>
  <c r="AM4"/>
  <c r="AK4"/>
  <c r="AL4"/>
  <c r="AN4"/>
  <c r="C11" i="1"/>
  <c r="AF115" i="13"/>
  <c r="AH114" l="1"/>
  <c r="AS114"/>
  <c r="AM114"/>
  <c r="AV114"/>
  <c r="AQ114"/>
  <c r="AW114"/>
  <c r="BA114"/>
  <c r="AL114"/>
  <c r="AR114"/>
  <c r="AU114"/>
  <c r="BB114"/>
  <c r="AK114"/>
  <c r="AX114"/>
  <c r="AN114"/>
  <c r="AF114"/>
  <c r="AY114"/>
  <c r="AI114"/>
  <c r="AO114"/>
  <c r="AP114"/>
  <c r="AJ114"/>
  <c r="AH124"/>
  <c r="AS124"/>
  <c r="AR124"/>
  <c r="H11" i="1"/>
  <c r="AU124" i="13"/>
  <c r="AH122"/>
  <c r="AU122"/>
  <c r="AS122"/>
  <c r="AT122"/>
  <c r="AK122"/>
  <c r="AR122"/>
  <c r="AM123"/>
  <c r="AX124"/>
  <c r="AF116"/>
  <c r="AF6" i="1" s="1"/>
  <c r="AQ116" i="13"/>
  <c r="AF112"/>
  <c r="AB6" i="1" s="1"/>
  <c r="AM122" i="13"/>
  <c r="AX122"/>
  <c r="AJ122"/>
  <c r="F11" i="1"/>
  <c r="AO122" i="13"/>
  <c r="AQ122"/>
  <c r="AP122"/>
  <c r="BB122"/>
  <c r="AV122"/>
  <c r="AW122"/>
  <c r="AY122"/>
  <c r="AI122"/>
  <c r="AL122"/>
  <c r="AN122"/>
  <c r="BA122"/>
  <c r="AV116"/>
  <c r="AZ116"/>
  <c r="AM124"/>
  <c r="AJ124"/>
  <c r="AK116"/>
  <c r="AK124"/>
  <c r="AP124"/>
  <c r="AZ124"/>
  <c r="AN116"/>
  <c r="AM116"/>
  <c r="BB116"/>
  <c r="AW116"/>
  <c r="AL116"/>
  <c r="AT116"/>
  <c r="AI116"/>
  <c r="AY116"/>
  <c r="AS116"/>
  <c r="AJ116"/>
  <c r="AR116"/>
  <c r="BA116"/>
  <c r="AU116"/>
  <c r="AO116"/>
  <c r="AH116"/>
  <c r="AP116"/>
  <c r="AA4" i="1"/>
  <c r="AA2"/>
  <c r="BB123" i="13"/>
  <c r="AA3" i="1"/>
  <c r="AN123" i="13"/>
  <c r="AA1" i="1"/>
  <c r="AA6"/>
  <c r="AE6"/>
  <c r="AE5"/>
  <c r="AE4"/>
  <c r="AE3"/>
  <c r="AE2"/>
  <c r="AE1"/>
  <c r="AD6"/>
  <c r="AD5"/>
  <c r="AD4"/>
  <c r="AD3"/>
  <c r="AD2"/>
  <c r="AD1"/>
  <c r="AW124" i="13"/>
  <c r="AO124"/>
  <c r="AY124"/>
  <c r="AQ124"/>
  <c r="AI124"/>
  <c r="AL124"/>
  <c r="AT124"/>
  <c r="BB124"/>
  <c r="AN124"/>
  <c r="AV124"/>
  <c r="AO123"/>
  <c r="AL123"/>
  <c r="AV112"/>
  <c r="AK121"/>
  <c r="AX120"/>
  <c r="AI121"/>
  <c r="BA121"/>
  <c r="AH120"/>
  <c r="AS120"/>
  <c r="AY121"/>
  <c r="AP121"/>
  <c r="AK120"/>
  <c r="E11" i="1"/>
  <c r="AR121" i="13"/>
  <c r="AR120"/>
  <c r="AF113"/>
  <c r="AS112"/>
  <c r="AT112"/>
  <c r="AM113"/>
  <c r="AH113"/>
  <c r="AI112"/>
  <c r="AX113"/>
  <c r="AY112"/>
  <c r="AS113"/>
  <c r="AR113"/>
  <c r="AO112"/>
  <c r="AU112"/>
  <c r="AJ112"/>
  <c r="AH112"/>
  <c r="AX112"/>
  <c r="AO113"/>
  <c r="AT113"/>
  <c r="AY113"/>
  <c r="AI113"/>
  <c r="AN113"/>
  <c r="AW112"/>
  <c r="BA112"/>
  <c r="AM112"/>
  <c r="AN112"/>
  <c r="AP112"/>
  <c r="AW113"/>
  <c r="AZ113"/>
  <c r="AL113"/>
  <c r="AQ113"/>
  <c r="AV113"/>
  <c r="BB112"/>
  <c r="AK112"/>
  <c r="AQ112"/>
  <c r="AR112"/>
  <c r="AL112"/>
  <c r="AK113"/>
  <c r="AP113"/>
  <c r="AU113"/>
  <c r="BB113"/>
  <c r="BA113"/>
  <c r="D11" i="1"/>
  <c r="AM121" i="13"/>
  <c r="AO121"/>
  <c r="AJ121"/>
  <c r="AL121"/>
  <c r="BB121"/>
  <c r="AT120"/>
  <c r="AN120"/>
  <c r="AI120"/>
  <c r="AQ120"/>
  <c r="AY120"/>
  <c r="AQ121"/>
  <c r="AS121"/>
  <c r="AV121"/>
  <c r="AH121"/>
  <c r="AX121"/>
  <c r="AP120"/>
  <c r="AJ120"/>
  <c r="AZ120"/>
  <c r="AO120"/>
  <c r="AW120"/>
  <c r="AU121"/>
  <c r="AW121"/>
  <c r="AN121"/>
  <c r="AZ121"/>
  <c r="AL120"/>
  <c r="BB120"/>
  <c r="AV120"/>
  <c r="AM120"/>
  <c r="AQ123"/>
  <c r="AS123"/>
  <c r="AR123"/>
  <c r="AH123"/>
  <c r="AX123"/>
  <c r="G11" i="1"/>
  <c r="AU123" i="13"/>
  <c r="AW123"/>
  <c r="AJ123"/>
  <c r="AZ123"/>
  <c r="AT123"/>
  <c r="AY123"/>
  <c r="AI123"/>
  <c r="AK123"/>
  <c r="AV123"/>
  <c r="AP123"/>
  <c r="AB1" i="1" l="1"/>
  <c r="AF1"/>
  <c r="AF5"/>
  <c r="AB4"/>
  <c r="AF4"/>
  <c r="AF3"/>
  <c r="AF2"/>
  <c r="AB2"/>
  <c r="AB5"/>
  <c r="AB3"/>
  <c r="AZ9" i="13"/>
  <c r="H25" i="1" s="1"/>
  <c r="AS9" i="13"/>
  <c r="G23" i="1" s="1"/>
  <c r="AY9" i="13"/>
  <c r="G25" i="1" s="1"/>
  <c r="AT9" i="13"/>
  <c r="H23" i="1" s="1"/>
  <c r="AC6"/>
  <c r="AC5"/>
  <c r="AC4"/>
  <c r="AC3"/>
  <c r="AC2"/>
  <c r="AC1"/>
  <c r="AN6" i="13"/>
  <c r="AM9" s="1"/>
  <c r="G21" i="1" s="1"/>
  <c r="AP9" i="13"/>
  <c r="D23" i="1" s="1"/>
  <c r="AR9" i="13"/>
  <c r="F23" i="1" s="1"/>
  <c r="AW9" i="13"/>
  <c r="E25" i="1" s="1"/>
  <c r="AJ6" i="13"/>
  <c r="AI9" s="1"/>
  <c r="C21" i="1" s="1"/>
  <c r="AX9" i="13"/>
  <c r="F25" i="1" s="1"/>
  <c r="AU9" i="13"/>
  <c r="C25" i="1" s="1"/>
  <c r="AQ9" i="13"/>
  <c r="E23" i="1" s="1"/>
  <c r="V71" i="13"/>
  <c r="B15" i="1" s="1"/>
  <c r="AV9" i="13"/>
  <c r="D25" i="1" s="1"/>
  <c r="AO9" i="13"/>
  <c r="C23" i="1" s="1"/>
  <c r="AL6" i="13"/>
  <c r="H18" i="1" s="1"/>
  <c r="AP6" i="13" l="1"/>
  <c r="AJ9" s="1"/>
  <c r="D21" i="1" s="1"/>
  <c r="D18"/>
  <c r="AK9" i="13"/>
  <c r="E21" i="1" s="1"/>
  <c r="F18"/>
  <c r="AL9" i="13"/>
  <c r="F21" i="1" s="1"/>
  <c r="AN9" i="13"/>
  <c r="H21" i="1" s="1"/>
</calcChain>
</file>

<file path=xl/comments1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添加新英雄时此处需更新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添加新星数时此处需更新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此处若有新卡色则需添加
若只是更改出装或添加出装则需手动将空数据</t>
        </r>
      </text>
    </comment>
    <comment ref="V1" authorId="0">
      <text>
        <r>
          <rPr>
            <b/>
            <sz val="9"/>
            <color indexed="81"/>
            <rFont val="宋体"/>
            <family val="3"/>
            <charset val="134"/>
          </rPr>
          <t>添加新卡色时此处需更新</t>
        </r>
      </text>
    </comment>
    <comment ref="AF1" authorId="0">
      <text>
        <r>
          <rPr>
            <b/>
            <sz val="9"/>
            <color indexed="81"/>
            <rFont val="宋体"/>
            <family val="3"/>
            <charset val="134"/>
          </rPr>
          <t>除非算法改变，否则不用更改</t>
        </r>
      </text>
    </comment>
    <comment ref="AL4" authorId="0">
      <text>
        <r>
          <rPr>
            <b/>
            <sz val="9"/>
            <color indexed="81"/>
            <rFont val="宋体"/>
            <family val="3"/>
            <charset val="134"/>
          </rPr>
          <t>此处由于公式错误，先加入“+(T2-1)”的修正
不过由于基本确认力量加成为*0.75，因此去掉之前修正，但是把敏捷修正先设为*0.08</t>
        </r>
      </text>
    </comment>
    <comment ref="D11" authorId="0">
      <text>
        <r>
          <rPr>
            <b/>
            <sz val="9"/>
            <color indexed="81"/>
            <rFont val="宋体"/>
            <family val="3"/>
            <charset val="134"/>
          </rPr>
          <t>添加新卡色时此处需更新</t>
        </r>
      </text>
    </comment>
    <comment ref="AC12" authorId="0">
      <text>
        <r>
          <rPr>
            <b/>
            <sz val="9"/>
            <color indexed="81"/>
            <rFont val="宋体"/>
            <family val="3"/>
            <charset val="134"/>
          </rPr>
          <t>暂无此栏</t>
        </r>
      </text>
    </comment>
    <comment ref="AC25" authorId="0">
      <text>
        <r>
          <rPr>
            <b/>
            <sz val="9"/>
            <color indexed="81"/>
            <rFont val="宋体"/>
            <family val="3"/>
            <charset val="134"/>
          </rPr>
          <t>暂无此栏</t>
        </r>
      </text>
    </comment>
    <comment ref="V56" authorId="0">
      <text>
        <r>
          <rPr>
            <b/>
            <sz val="9"/>
            <color indexed="81"/>
            <rFont val="宋体"/>
            <family val="3"/>
            <charset val="134"/>
          </rPr>
          <t>若有新品质装备，此处需修改</t>
        </r>
      </text>
    </comment>
    <comment ref="AF94" authorId="0">
      <text>
        <r>
          <rPr>
            <b/>
            <sz val="9"/>
            <color indexed="81"/>
            <rFont val="宋体"/>
            <family val="3"/>
            <charset val="134"/>
          </rPr>
          <t>暂未加？装
不过已经预留并加入公式了</t>
        </r>
      </text>
    </comment>
    <comment ref="AG127" authorId="0">
      <text>
        <r>
          <rPr>
            <b/>
            <sz val="9"/>
            <color indexed="81"/>
            <rFont val="宋体"/>
            <family val="3"/>
            <charset val="134"/>
          </rPr>
          <t>除非有新类型被动技能，否则不用修改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添加新英雄时此处需更新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添加新星数时此处需更新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此处若有新卡色则需添加
若只是更改出装或添加出装则需手动将空数据</t>
        </r>
      </text>
    </comment>
    <comment ref="V1" authorId="0">
      <text>
        <r>
          <rPr>
            <b/>
            <sz val="9"/>
            <color indexed="81"/>
            <rFont val="宋体"/>
            <family val="3"/>
            <charset val="134"/>
          </rPr>
          <t>添加新卡色时此处需更新</t>
        </r>
      </text>
    </comment>
    <comment ref="AF1" authorId="0">
      <text>
        <r>
          <rPr>
            <b/>
            <sz val="9"/>
            <color indexed="81"/>
            <rFont val="宋体"/>
            <family val="3"/>
            <charset val="134"/>
          </rPr>
          <t>除非算法改变，否则不用更改</t>
        </r>
      </text>
    </comment>
    <comment ref="AL4" authorId="0">
      <text>
        <r>
          <rPr>
            <b/>
            <sz val="9"/>
            <color indexed="81"/>
            <rFont val="宋体"/>
            <family val="3"/>
            <charset val="134"/>
          </rPr>
          <t>此处由于公式错误，先加入“+(T2-1)”的修正
不过由于基本确认力量加成为*0.75，因此去掉之前修正，但是把敏捷修正先设为*0.08</t>
        </r>
      </text>
    </comment>
    <comment ref="D11" authorId="0">
      <text>
        <r>
          <rPr>
            <b/>
            <sz val="9"/>
            <color indexed="81"/>
            <rFont val="宋体"/>
            <family val="3"/>
            <charset val="134"/>
          </rPr>
          <t>添加新卡色时此处需更新</t>
        </r>
      </text>
    </comment>
    <comment ref="AC12" authorId="0">
      <text>
        <r>
          <rPr>
            <b/>
            <sz val="9"/>
            <color indexed="81"/>
            <rFont val="宋体"/>
            <family val="3"/>
            <charset val="134"/>
          </rPr>
          <t>暂无此栏</t>
        </r>
      </text>
    </comment>
    <comment ref="AC25" authorId="0">
      <text>
        <r>
          <rPr>
            <b/>
            <sz val="9"/>
            <color indexed="81"/>
            <rFont val="宋体"/>
            <family val="3"/>
            <charset val="134"/>
          </rPr>
          <t>暂无此栏</t>
        </r>
      </text>
    </comment>
    <comment ref="V56" authorId="0">
      <text>
        <r>
          <rPr>
            <b/>
            <sz val="9"/>
            <color indexed="81"/>
            <rFont val="宋体"/>
            <family val="3"/>
            <charset val="134"/>
          </rPr>
          <t>若有新品质装备，此处需修改</t>
        </r>
      </text>
    </comment>
    <comment ref="AF94" authorId="0">
      <text>
        <r>
          <rPr>
            <b/>
            <sz val="9"/>
            <color indexed="81"/>
            <rFont val="宋体"/>
            <family val="3"/>
            <charset val="134"/>
          </rPr>
          <t>暂未加？装
不过已经预留并加入公式了</t>
        </r>
      </text>
    </comment>
    <comment ref="AG127" authorId="0">
      <text>
        <r>
          <rPr>
            <b/>
            <sz val="9"/>
            <color indexed="81"/>
            <rFont val="宋体"/>
            <family val="3"/>
            <charset val="134"/>
          </rPr>
          <t>除非有新类型被动技能，否则不用修改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添加新英雄时此处需更新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添加新星数时此处需更新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此处若有新卡色则需添加
若只是更改出装或添加出装则需手动将空数据</t>
        </r>
      </text>
    </comment>
    <comment ref="V1" authorId="0">
      <text>
        <r>
          <rPr>
            <b/>
            <sz val="9"/>
            <color indexed="81"/>
            <rFont val="宋体"/>
            <family val="3"/>
            <charset val="134"/>
          </rPr>
          <t>添加新卡色时此处需更新</t>
        </r>
      </text>
    </comment>
    <comment ref="AF1" authorId="0">
      <text>
        <r>
          <rPr>
            <b/>
            <sz val="9"/>
            <color indexed="81"/>
            <rFont val="宋体"/>
            <family val="3"/>
            <charset val="134"/>
          </rPr>
          <t>除非算法改变，否则不用更改</t>
        </r>
      </text>
    </comment>
    <comment ref="AL4" authorId="0">
      <text>
        <r>
          <rPr>
            <b/>
            <sz val="9"/>
            <color indexed="81"/>
            <rFont val="宋体"/>
            <family val="3"/>
            <charset val="134"/>
          </rPr>
          <t>此处由于公式错误，先加入“+(T2-1)”的修正
不过由于基本确认力量加成为*0.75，因此去掉之前修正，但是把敏捷修正先设为*0.08</t>
        </r>
      </text>
    </comment>
    <comment ref="D11" authorId="0">
      <text>
        <r>
          <rPr>
            <b/>
            <sz val="9"/>
            <color indexed="81"/>
            <rFont val="宋体"/>
            <family val="3"/>
            <charset val="134"/>
          </rPr>
          <t>添加新卡色时此处需更新</t>
        </r>
      </text>
    </comment>
    <comment ref="AC12" authorId="0">
      <text>
        <r>
          <rPr>
            <b/>
            <sz val="9"/>
            <color indexed="81"/>
            <rFont val="宋体"/>
            <family val="3"/>
            <charset val="134"/>
          </rPr>
          <t>暂无此栏</t>
        </r>
      </text>
    </comment>
    <comment ref="AC25" authorId="0">
      <text>
        <r>
          <rPr>
            <b/>
            <sz val="9"/>
            <color indexed="81"/>
            <rFont val="宋体"/>
            <family val="3"/>
            <charset val="134"/>
          </rPr>
          <t>暂无此栏</t>
        </r>
      </text>
    </comment>
    <comment ref="V56" authorId="0">
      <text>
        <r>
          <rPr>
            <b/>
            <sz val="9"/>
            <color indexed="81"/>
            <rFont val="宋体"/>
            <family val="3"/>
            <charset val="134"/>
          </rPr>
          <t>若有新品质装备，此处需修改</t>
        </r>
      </text>
    </comment>
    <comment ref="AF94" authorId="0">
      <text>
        <r>
          <rPr>
            <b/>
            <sz val="9"/>
            <color indexed="81"/>
            <rFont val="宋体"/>
            <family val="3"/>
            <charset val="134"/>
          </rPr>
          <t>暂未加？装
不过已经预留并加入公式了</t>
        </r>
      </text>
    </comment>
    <comment ref="AG127" authorId="0">
      <text>
        <r>
          <rPr>
            <b/>
            <sz val="9"/>
            <color indexed="81"/>
            <rFont val="宋体"/>
            <family val="3"/>
            <charset val="134"/>
          </rPr>
          <t>除非有新类型被动技能，否则不用修改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D21" authorId="0">
      <text>
        <r>
          <rPr>
            <b/>
            <sz val="9"/>
            <color indexed="81"/>
            <rFont val="宋体"/>
            <family val="3"/>
            <charset val="134"/>
          </rPr>
          <t>此处表示无英雄装备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225
138
9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此处表示没有二次确认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A6" authorId="0">
      <text>
        <r>
          <rPr>
            <b/>
            <sz val="11"/>
            <color indexed="81"/>
            <rFont val="宋体"/>
            <family val="3"/>
            <charset val="134"/>
          </rPr>
          <t>此处表示为推论数据</t>
        </r>
      </text>
    </comment>
  </commentList>
</comments>
</file>

<file path=xl/sharedStrings.xml><?xml version="1.0" encoding="utf-8"?>
<sst xmlns="http://schemas.openxmlformats.org/spreadsheetml/2006/main" count="6780" uniqueCount="2183">
  <si>
    <t>名称</t>
    <phoneticPr fontId="1" type="noConversion"/>
  </si>
  <si>
    <t>品质</t>
    <phoneticPr fontId="1" type="noConversion"/>
  </si>
  <si>
    <t>阶数</t>
    <phoneticPr fontId="1" type="noConversion"/>
  </si>
  <si>
    <t>力量</t>
    <phoneticPr fontId="1" type="noConversion"/>
  </si>
  <si>
    <t>敏捷</t>
    <phoneticPr fontId="1" type="noConversion"/>
  </si>
  <si>
    <t>智力</t>
    <phoneticPr fontId="1" type="noConversion"/>
  </si>
  <si>
    <t>白装</t>
  </si>
  <si>
    <t>树枝</t>
    <phoneticPr fontId="1" type="noConversion"/>
  </si>
  <si>
    <t>敏捷丝袜</t>
    <phoneticPr fontId="1" type="noConversion"/>
  </si>
  <si>
    <t>智力之篷</t>
    <phoneticPr fontId="1" type="noConversion"/>
  </si>
  <si>
    <t>防御指环</t>
    <phoneticPr fontId="1" type="noConversion"/>
  </si>
  <si>
    <t>贵族头环</t>
    <phoneticPr fontId="1" type="noConversion"/>
  </si>
  <si>
    <t>小魔棒</t>
    <phoneticPr fontId="1" type="noConversion"/>
  </si>
  <si>
    <t>生命回复</t>
    <phoneticPr fontId="1" type="noConversion"/>
  </si>
  <si>
    <t>物理攻击</t>
    <phoneticPr fontId="1" type="noConversion"/>
  </si>
  <si>
    <t>补刀斧</t>
    <phoneticPr fontId="1" type="noConversion"/>
  </si>
  <si>
    <t>小圆盾</t>
    <phoneticPr fontId="1" type="noConversion"/>
  </si>
  <si>
    <t>艺人面罩</t>
    <phoneticPr fontId="1" type="noConversion"/>
  </si>
  <si>
    <t>能量回复</t>
    <phoneticPr fontId="1" type="noConversion"/>
  </si>
  <si>
    <t>回复戒指</t>
    <phoneticPr fontId="1" type="noConversion"/>
  </si>
  <si>
    <t>鞋</t>
    <phoneticPr fontId="1" type="noConversion"/>
  </si>
  <si>
    <t>攻击利爪</t>
    <phoneticPr fontId="1" type="noConversion"/>
  </si>
  <si>
    <t>力量护腕</t>
    <phoneticPr fontId="1" type="noConversion"/>
  </si>
  <si>
    <t>敏捷系带</t>
    <phoneticPr fontId="1" type="noConversion"/>
  </si>
  <si>
    <t>智力挂件</t>
    <phoneticPr fontId="1" type="noConversion"/>
  </si>
  <si>
    <t>圣殿指环</t>
    <phoneticPr fontId="1" type="noConversion"/>
  </si>
  <si>
    <t>屌丝盾</t>
    <phoneticPr fontId="1" type="noConversion"/>
  </si>
  <si>
    <t>回复之巾</t>
    <phoneticPr fontId="1" type="noConversion"/>
  </si>
  <si>
    <t>小毒球</t>
    <phoneticPr fontId="1" type="noConversion"/>
  </si>
  <si>
    <t>绿装</t>
  </si>
  <si>
    <t>力量腰带</t>
    <phoneticPr fontId="1" type="noConversion"/>
  </si>
  <si>
    <t>敏捷皮靴</t>
    <phoneticPr fontId="1" type="noConversion"/>
  </si>
  <si>
    <t>智力长袍</t>
    <phoneticPr fontId="1" type="noConversion"/>
  </si>
  <si>
    <t>加速手套</t>
    <phoneticPr fontId="1" type="noConversion"/>
  </si>
  <si>
    <t>物理暴击</t>
    <phoneticPr fontId="1" type="noConversion"/>
  </si>
  <si>
    <t>物理护甲</t>
    <phoneticPr fontId="1" type="noConversion"/>
  </si>
  <si>
    <t>锁甲</t>
    <phoneticPr fontId="1" type="noConversion"/>
  </si>
  <si>
    <t>魔抗斗篷</t>
    <phoneticPr fontId="1" type="noConversion"/>
  </si>
  <si>
    <t>魔法抗性</t>
    <phoneticPr fontId="1" type="noConversion"/>
  </si>
  <si>
    <t>治疗指环</t>
    <phoneticPr fontId="1" type="noConversion"/>
  </si>
  <si>
    <t>虚空宝石</t>
    <phoneticPr fontId="1" type="noConversion"/>
  </si>
  <si>
    <t>吸血面具</t>
    <phoneticPr fontId="1" type="noConversion"/>
  </si>
  <si>
    <t>吸血</t>
    <phoneticPr fontId="1" type="noConversion"/>
  </si>
  <si>
    <t>短棍</t>
    <phoneticPr fontId="1" type="noConversion"/>
  </si>
  <si>
    <t>武士头盔</t>
    <phoneticPr fontId="1" type="noConversion"/>
  </si>
  <si>
    <t>生命之球</t>
    <phoneticPr fontId="1" type="noConversion"/>
  </si>
  <si>
    <t>法力之球</t>
    <phoneticPr fontId="1" type="noConversion"/>
  </si>
  <si>
    <t>魔法强度</t>
    <phoneticPr fontId="1" type="noConversion"/>
  </si>
  <si>
    <t>元气之球</t>
    <phoneticPr fontId="1" type="noConversion"/>
  </si>
  <si>
    <t>大魔杖</t>
    <phoneticPr fontId="1" type="noConversion"/>
  </si>
  <si>
    <t>魂戒</t>
    <phoneticPr fontId="1" type="noConversion"/>
  </si>
  <si>
    <t>玄铁盾牌</t>
    <phoneticPr fontId="1" type="noConversion"/>
  </si>
  <si>
    <t>骨灰盒</t>
    <phoneticPr fontId="1" type="noConversion"/>
  </si>
  <si>
    <t>绿鞋</t>
    <phoneticPr fontId="1" type="noConversion"/>
  </si>
  <si>
    <t>天鹰之戒</t>
    <phoneticPr fontId="1" type="noConversion"/>
  </si>
  <si>
    <t>勇气勋章</t>
    <phoneticPr fontId="1" type="noConversion"/>
  </si>
  <si>
    <t>穿透护甲</t>
    <phoneticPr fontId="1" type="noConversion"/>
  </si>
  <si>
    <t>相位鞋</t>
    <phoneticPr fontId="1" type="noConversion"/>
  </si>
  <si>
    <t>力量假腿</t>
    <phoneticPr fontId="1" type="noConversion"/>
  </si>
  <si>
    <t>敏捷假腿</t>
    <phoneticPr fontId="1" type="noConversion"/>
  </si>
  <si>
    <t>智力假腿</t>
    <phoneticPr fontId="1" type="noConversion"/>
  </si>
  <si>
    <t>秘法鞋</t>
    <phoneticPr fontId="1" type="noConversion"/>
  </si>
  <si>
    <t>坚韧法球</t>
    <phoneticPr fontId="1" type="noConversion"/>
  </si>
  <si>
    <t>古之耐歌</t>
    <phoneticPr fontId="1" type="noConversion"/>
  </si>
  <si>
    <t>空明禅杖</t>
    <phoneticPr fontId="1" type="noConversion"/>
  </si>
  <si>
    <t>支配</t>
    <phoneticPr fontId="1" type="noConversion"/>
  </si>
  <si>
    <t>疯脸</t>
    <phoneticPr fontId="1" type="noConversion"/>
  </si>
  <si>
    <t>祭品</t>
    <phoneticPr fontId="1" type="noConversion"/>
  </si>
  <si>
    <t>魔抗头巾</t>
    <phoneticPr fontId="1" type="noConversion"/>
  </si>
  <si>
    <t>冲锋盾</t>
    <phoneticPr fontId="1" type="noConversion"/>
  </si>
  <si>
    <t>梅肯</t>
    <phoneticPr fontId="1" type="noConversion"/>
  </si>
  <si>
    <t>治疗效果</t>
    <phoneticPr fontId="1" type="noConversion"/>
  </si>
  <si>
    <t>力量之斧</t>
    <phoneticPr fontId="1" type="noConversion"/>
  </si>
  <si>
    <t>所需级别</t>
    <phoneticPr fontId="1" type="noConversion"/>
  </si>
  <si>
    <t>蓝装</t>
  </si>
  <si>
    <t>敏捷之刃</t>
    <phoneticPr fontId="1" type="noConversion"/>
  </si>
  <si>
    <t>智力法杖</t>
    <phoneticPr fontId="1" type="noConversion"/>
  </si>
  <si>
    <t>阔剑</t>
    <phoneticPr fontId="1" type="noConversion"/>
  </si>
  <si>
    <t>大剑</t>
    <phoneticPr fontId="1" type="noConversion"/>
  </si>
  <si>
    <t>板甲</t>
    <phoneticPr fontId="1" type="noConversion"/>
  </si>
  <si>
    <t>标枪</t>
    <phoneticPr fontId="1" type="noConversion"/>
  </si>
  <si>
    <t>秘银锤</t>
    <phoneticPr fontId="1" type="noConversion"/>
  </si>
  <si>
    <t>暗影符</t>
    <phoneticPr fontId="1" type="noConversion"/>
  </si>
  <si>
    <t>绿杖</t>
    <phoneticPr fontId="1" type="noConversion"/>
  </si>
  <si>
    <t>魔法暴击</t>
    <phoneticPr fontId="1" type="noConversion"/>
  </si>
  <si>
    <t>散华</t>
    <phoneticPr fontId="1" type="noConversion"/>
  </si>
  <si>
    <t>夜叉</t>
    <phoneticPr fontId="1" type="noConversion"/>
  </si>
  <si>
    <t>水晶剑</t>
    <phoneticPr fontId="1" type="noConversion"/>
  </si>
  <si>
    <t>反伤甲</t>
  </si>
  <si>
    <t>反伤甲</t>
    <phoneticPr fontId="1" type="noConversion"/>
  </si>
  <si>
    <t>推推棒</t>
    <phoneticPr fontId="1" type="noConversion"/>
  </si>
  <si>
    <t>闪避</t>
    <phoneticPr fontId="1" type="noConversion"/>
  </si>
  <si>
    <t>飞鞋</t>
    <phoneticPr fontId="1" type="noConversion"/>
  </si>
  <si>
    <t>鬼手</t>
    <phoneticPr fontId="1" type="noConversion"/>
  </si>
  <si>
    <t>小电锤</t>
    <phoneticPr fontId="1" type="noConversion"/>
  </si>
  <si>
    <t>小人书</t>
    <phoneticPr fontId="1" type="noConversion"/>
  </si>
  <si>
    <t>红杖</t>
    <phoneticPr fontId="1" type="noConversion"/>
  </si>
  <si>
    <t>风杖</t>
    <phoneticPr fontId="1" type="noConversion"/>
  </si>
  <si>
    <t>忽视魔抗</t>
    <phoneticPr fontId="1" type="noConversion"/>
  </si>
  <si>
    <t>洛萨</t>
    <phoneticPr fontId="1" type="noConversion"/>
  </si>
  <si>
    <t>碎骨锤</t>
    <phoneticPr fontId="1" type="noConversion"/>
  </si>
  <si>
    <t>纷争</t>
    <phoneticPr fontId="1" type="noConversion"/>
  </si>
  <si>
    <t>阿托斯</t>
    <phoneticPr fontId="1" type="noConversion"/>
  </si>
  <si>
    <t>生命值</t>
    <phoneticPr fontId="1" type="noConversion"/>
  </si>
  <si>
    <t>振魂玫瑰</t>
    <phoneticPr fontId="1" type="noConversion"/>
  </si>
  <si>
    <t>散失</t>
    <phoneticPr fontId="1" type="noConversion"/>
  </si>
  <si>
    <t>黑黄</t>
    <phoneticPr fontId="1" type="noConversion"/>
  </si>
  <si>
    <t>双刀</t>
  </si>
  <si>
    <t>双刀</t>
    <phoneticPr fontId="1" type="noConversion"/>
  </si>
  <si>
    <t>蓝杖</t>
    <phoneticPr fontId="1" type="noConversion"/>
  </si>
  <si>
    <t>狂战斧</t>
  </si>
  <si>
    <t>狂战斧</t>
    <phoneticPr fontId="1" type="noConversion"/>
  </si>
  <si>
    <t>暗灭</t>
    <phoneticPr fontId="1" type="noConversion"/>
  </si>
  <si>
    <t>梅肯2阶</t>
    <phoneticPr fontId="1" type="noConversion"/>
  </si>
  <si>
    <t>血晶石</t>
    <phoneticPr fontId="1" type="noConversion"/>
  </si>
  <si>
    <t>紫装</t>
  </si>
  <si>
    <t>闪避项链</t>
    <phoneticPr fontId="1" type="noConversion"/>
  </si>
  <si>
    <t>极限球</t>
    <phoneticPr fontId="1" type="noConversion"/>
  </si>
  <si>
    <t>振奋石</t>
    <phoneticPr fontId="1" type="noConversion"/>
  </si>
  <si>
    <t>魔王刀锋</t>
    <phoneticPr fontId="1" type="noConversion"/>
  </si>
  <si>
    <t>水晶法杖</t>
    <phoneticPr fontId="1" type="noConversion"/>
  </si>
  <si>
    <t>掠夺之斧</t>
    <phoneticPr fontId="1" type="noConversion"/>
  </si>
  <si>
    <t>角鹰弓</t>
    <phoneticPr fontId="1" type="noConversion"/>
  </si>
  <si>
    <t>远古遗物</t>
    <phoneticPr fontId="1" type="noConversion"/>
  </si>
  <si>
    <t>长笛</t>
    <phoneticPr fontId="1" type="noConversion"/>
  </si>
  <si>
    <t>天堂</t>
    <phoneticPr fontId="1" type="noConversion"/>
  </si>
  <si>
    <t>紫苑</t>
    <phoneticPr fontId="1" type="noConversion"/>
  </si>
  <si>
    <t>分身斧</t>
    <phoneticPr fontId="1" type="noConversion"/>
  </si>
  <si>
    <t>林肯</t>
    <phoneticPr fontId="1" type="noConversion"/>
  </si>
  <si>
    <t>刷新珠</t>
    <phoneticPr fontId="1" type="noConversion"/>
  </si>
  <si>
    <t>能量消耗</t>
    <phoneticPr fontId="1" type="noConversion"/>
  </si>
  <si>
    <t>强袭</t>
    <phoneticPr fontId="1" type="noConversion"/>
  </si>
  <si>
    <t>大电锤</t>
    <phoneticPr fontId="1" type="noConversion"/>
  </si>
  <si>
    <t>小人书2阶</t>
    <phoneticPr fontId="1" type="noConversion"/>
  </si>
  <si>
    <t>红杖2阶</t>
    <phoneticPr fontId="1" type="noConversion"/>
  </si>
  <si>
    <t>冰眼</t>
    <phoneticPr fontId="1" type="noConversion"/>
  </si>
  <si>
    <t>散失2阶</t>
    <phoneticPr fontId="1" type="noConversion"/>
  </si>
  <si>
    <t>梅肯3阶</t>
    <phoneticPr fontId="1" type="noConversion"/>
  </si>
  <si>
    <t>金箍棒</t>
    <phoneticPr fontId="1" type="noConversion"/>
  </si>
  <si>
    <t>羊刀</t>
    <phoneticPr fontId="1" type="noConversion"/>
  </si>
  <si>
    <t>血晶石2阶</t>
    <phoneticPr fontId="1" type="noConversion"/>
  </si>
  <si>
    <t>血晶石3阶</t>
    <phoneticPr fontId="1" type="noConversion"/>
  </si>
  <si>
    <t>冰甲</t>
    <phoneticPr fontId="1" type="noConversion"/>
  </si>
  <si>
    <t>虚灵</t>
    <phoneticPr fontId="1" type="noConversion"/>
  </si>
  <si>
    <t>光耀</t>
    <phoneticPr fontId="1" type="noConversion"/>
  </si>
  <si>
    <t>龙心</t>
    <phoneticPr fontId="1" type="noConversion"/>
  </si>
  <si>
    <t>蝴蝶</t>
    <phoneticPr fontId="1" type="noConversion"/>
  </si>
  <si>
    <t>大炮</t>
    <phoneticPr fontId="1" type="noConversion"/>
  </si>
  <si>
    <t>撒旦</t>
    <phoneticPr fontId="1" type="noConversion"/>
  </si>
  <si>
    <t>深渊之刃</t>
    <phoneticPr fontId="1" type="noConversion"/>
  </si>
  <si>
    <t>小人书3阶</t>
    <phoneticPr fontId="1" type="noConversion"/>
  </si>
  <si>
    <t>红杖3阶</t>
  </si>
  <si>
    <t>红杖4阶</t>
  </si>
  <si>
    <t>散失3阶</t>
  </si>
  <si>
    <t>刷新珠2阶</t>
    <phoneticPr fontId="1" type="noConversion"/>
  </si>
  <si>
    <t>梅肯4阶</t>
  </si>
  <si>
    <t>http://www.smzdwan.com/dtcq/</t>
    <phoneticPr fontId="1" type="noConversion"/>
  </si>
  <si>
    <t>潮汐</t>
  </si>
  <si>
    <t>船长</t>
  </si>
  <si>
    <t>大鱼人</t>
  </si>
  <si>
    <t>斧王</t>
  </si>
  <si>
    <t>骷髅王</t>
  </si>
  <si>
    <t>全能骑士</t>
  </si>
  <si>
    <t>神牛</t>
  </si>
  <si>
    <t>死骑</t>
  </si>
  <si>
    <t>小小</t>
  </si>
  <si>
    <t>熊猫酒仙</t>
  </si>
  <si>
    <t>白虎</t>
  </si>
  <si>
    <t>电魂</t>
  </si>
  <si>
    <t>敌法</t>
  </si>
  <si>
    <t>亚龙</t>
  </si>
  <si>
    <t>直升机</t>
  </si>
  <si>
    <t>复仇</t>
  </si>
  <si>
    <t>骨弓</t>
  </si>
  <si>
    <t>火枪</t>
  </si>
  <si>
    <t>剑圣</t>
  </si>
  <si>
    <t>巨魔</t>
  </si>
  <si>
    <t>拍拍熊</t>
  </si>
  <si>
    <t>美杜莎</t>
  </si>
  <si>
    <t>小黑</t>
  </si>
  <si>
    <t>小娜迦</t>
  </si>
  <si>
    <t>影魔</t>
  </si>
  <si>
    <t>月骑</t>
  </si>
  <si>
    <t>暗牧</t>
  </si>
  <si>
    <t>冰女</t>
  </si>
  <si>
    <t>沉默</t>
  </si>
  <si>
    <t>恶魔巫师</t>
  </si>
  <si>
    <t>风行</t>
  </si>
  <si>
    <t>骨法</t>
  </si>
  <si>
    <t>光法</t>
  </si>
  <si>
    <t>黑鸟</t>
  </si>
  <si>
    <t>火女</t>
  </si>
  <si>
    <t>蓝胖</t>
  </si>
  <si>
    <t>双头龙</t>
  </si>
  <si>
    <t>死灵法师</t>
  </si>
  <si>
    <t>术士</t>
  </si>
  <si>
    <t>死亡先知</t>
  </si>
  <si>
    <t>痛苦女王</t>
  </si>
  <si>
    <t>巫妖</t>
  </si>
  <si>
    <t>小鹿</t>
  </si>
  <si>
    <t>修补匠</t>
  </si>
  <si>
    <t>宙斯</t>
  </si>
  <si>
    <t>英雄</t>
    <phoneticPr fontId="1" type="noConversion"/>
  </si>
  <si>
    <t>主属性</t>
    <phoneticPr fontId="1" type="noConversion"/>
  </si>
  <si>
    <t>力量</t>
    <phoneticPr fontId="1" type="noConversion"/>
  </si>
  <si>
    <t>敏捷</t>
    <phoneticPr fontId="1" type="noConversion"/>
  </si>
  <si>
    <t>智力</t>
    <phoneticPr fontId="1" type="noConversion"/>
  </si>
  <si>
    <t>http://www.youba.com/wangyou/dtcq/#zbtj</t>
    <phoneticPr fontId="1" type="noConversion"/>
  </si>
  <si>
    <t>英雄</t>
    <phoneticPr fontId="1" type="noConversion"/>
  </si>
  <si>
    <t>绿</t>
    <phoneticPr fontId="1" type="noConversion"/>
  </si>
  <si>
    <t>绿+1</t>
    <phoneticPr fontId="1" type="noConversion"/>
  </si>
  <si>
    <t>蓝</t>
    <phoneticPr fontId="1" type="noConversion"/>
  </si>
  <si>
    <t>蓝+1</t>
    <phoneticPr fontId="1" type="noConversion"/>
  </si>
  <si>
    <t>蓝+2</t>
  </si>
  <si>
    <t>紫</t>
    <phoneticPr fontId="1" type="noConversion"/>
  </si>
  <si>
    <t>紫+1</t>
    <phoneticPr fontId="1" type="noConversion"/>
  </si>
  <si>
    <t>紫+2</t>
  </si>
  <si>
    <t>紫+3</t>
  </si>
  <si>
    <t>力量拳套</t>
  </si>
  <si>
    <t>力量拳套</t>
    <phoneticPr fontId="1" type="noConversion"/>
  </si>
  <si>
    <t>力量假腿</t>
  </si>
  <si>
    <t>洛萨</t>
    <phoneticPr fontId="1" type="noConversion"/>
  </si>
  <si>
    <t>骨灰盒</t>
  </si>
  <si>
    <t>坚韧法球</t>
  </si>
  <si>
    <t>圣殿指环</t>
  </si>
  <si>
    <t>相位鞋</t>
  </si>
  <si>
    <t>大魔杖</t>
  </si>
  <si>
    <t>锁甲</t>
  </si>
  <si>
    <t>白</t>
    <phoneticPr fontId="1" type="noConversion"/>
  </si>
  <si>
    <t>强袭</t>
    <phoneticPr fontId="1" type="noConversion"/>
  </si>
  <si>
    <t>黑黄</t>
    <phoneticPr fontId="1" type="noConversion"/>
  </si>
  <si>
    <t>水晶剑</t>
    <phoneticPr fontId="1" type="noConversion"/>
  </si>
  <si>
    <t>林肯</t>
    <phoneticPr fontId="1" type="noConversion"/>
  </si>
  <si>
    <t>双刀</t>
    <phoneticPr fontId="1" type="noConversion"/>
  </si>
  <si>
    <t>飞鞋</t>
    <phoneticPr fontId="1" type="noConversion"/>
  </si>
  <si>
    <t>龙心</t>
    <phoneticPr fontId="1" type="noConversion"/>
  </si>
  <si>
    <t>长笛</t>
    <phoneticPr fontId="1" type="noConversion"/>
  </si>
  <si>
    <t>狂战斧</t>
    <phoneticPr fontId="1" type="noConversion"/>
  </si>
  <si>
    <t>大炮</t>
    <phoneticPr fontId="1" type="noConversion"/>
  </si>
  <si>
    <t>刷新珠</t>
    <phoneticPr fontId="1" type="noConversion"/>
  </si>
  <si>
    <t>小电锤</t>
    <phoneticPr fontId="1" type="noConversion"/>
  </si>
  <si>
    <t>撒旦</t>
    <phoneticPr fontId="1" type="noConversion"/>
  </si>
  <si>
    <t>光耀</t>
    <phoneticPr fontId="1" type="noConversion"/>
  </si>
  <si>
    <t>大电锤</t>
    <phoneticPr fontId="1" type="noConversion"/>
  </si>
  <si>
    <t>冲锋盾</t>
    <phoneticPr fontId="1" type="noConversion"/>
  </si>
  <si>
    <t>http://www.smzdwan.com/Home/ZoneSearch/dtcq_search/find/wj/</t>
    <phoneticPr fontId="1" type="noConversion"/>
  </si>
  <si>
    <t>http://db.18183.com/dtcq/yx?s2=1</t>
    <phoneticPr fontId="1" type="noConversion"/>
  </si>
  <si>
    <t>★</t>
    <phoneticPr fontId="1" type="noConversion"/>
  </si>
  <si>
    <t>(力/敏/智)</t>
    <phoneticPr fontId="1" type="noConversion"/>
  </si>
  <si>
    <t>★★</t>
    <phoneticPr fontId="1" type="noConversion"/>
  </si>
  <si>
    <t>★★★</t>
    <phoneticPr fontId="1" type="noConversion"/>
  </si>
  <si>
    <t>★★★★</t>
    <phoneticPr fontId="1" type="noConversion"/>
  </si>
  <si>
    <t>★★★★★</t>
    <phoneticPr fontId="1" type="noConversion"/>
  </si>
  <si>
    <t>树枝</t>
    <phoneticPr fontId="1" type="noConversion"/>
  </si>
  <si>
    <t>贵族头环</t>
    <phoneticPr fontId="1" type="noConversion"/>
  </si>
  <si>
    <t>小魔棒</t>
    <phoneticPr fontId="1" type="noConversion"/>
  </si>
  <si>
    <t>力量护腕</t>
    <phoneticPr fontId="1" type="noConversion"/>
  </si>
  <si>
    <t>力量护腕</t>
    <phoneticPr fontId="1" type="noConversion"/>
  </si>
  <si>
    <t>生命之球</t>
    <phoneticPr fontId="1" type="noConversion"/>
  </si>
  <si>
    <t>小圆盾</t>
    <phoneticPr fontId="1" type="noConversion"/>
  </si>
  <si>
    <t>魂戒</t>
    <phoneticPr fontId="1" type="noConversion"/>
  </si>
  <si>
    <t>鞋</t>
    <phoneticPr fontId="1" type="noConversion"/>
  </si>
  <si>
    <t>板甲</t>
    <phoneticPr fontId="1" type="noConversion"/>
  </si>
  <si>
    <t>冲锋盾</t>
    <phoneticPr fontId="1" type="noConversion"/>
  </si>
  <si>
    <t>坚韧法球</t>
    <phoneticPr fontId="1" type="noConversion"/>
  </si>
  <si>
    <t>力量之斧</t>
    <phoneticPr fontId="1" type="noConversion"/>
  </si>
  <si>
    <t>力量腰带</t>
    <phoneticPr fontId="1" type="noConversion"/>
  </si>
  <si>
    <t>反伤甲</t>
    <phoneticPr fontId="1" type="noConversion"/>
  </si>
  <si>
    <t>魔抗头巾</t>
    <phoneticPr fontId="1" type="noConversion"/>
  </si>
  <si>
    <t>古之耐歌</t>
    <phoneticPr fontId="1" type="noConversion"/>
  </si>
  <si>
    <t>散华</t>
    <phoneticPr fontId="1" type="noConversion"/>
  </si>
  <si>
    <t>锁甲</t>
    <phoneticPr fontId="1" type="noConversion"/>
  </si>
  <si>
    <t>力量假腿</t>
    <phoneticPr fontId="1" type="noConversion"/>
  </si>
  <si>
    <t>双刀</t>
    <phoneticPr fontId="1" type="noConversion"/>
  </si>
  <si>
    <t>黑黄</t>
    <phoneticPr fontId="1" type="noConversion"/>
  </si>
  <si>
    <t>支配</t>
    <phoneticPr fontId="1" type="noConversion"/>
  </si>
  <si>
    <t>强袭</t>
    <phoneticPr fontId="1" type="noConversion"/>
  </si>
  <si>
    <t>狂战斧</t>
    <phoneticPr fontId="1" type="noConversion"/>
  </si>
  <si>
    <t>元气之球</t>
    <phoneticPr fontId="1" type="noConversion"/>
  </si>
  <si>
    <t>刷新珠</t>
    <phoneticPr fontId="1" type="noConversion"/>
  </si>
  <si>
    <t>飞鞋</t>
    <phoneticPr fontId="1" type="noConversion"/>
  </si>
  <si>
    <t>冰甲</t>
    <phoneticPr fontId="1" type="noConversion"/>
  </si>
  <si>
    <t>长笛</t>
    <phoneticPr fontId="1" type="noConversion"/>
  </si>
  <si>
    <t>龙心</t>
    <phoneticPr fontId="1" type="noConversion"/>
  </si>
  <si>
    <t>撒旦</t>
    <phoneticPr fontId="1" type="noConversion"/>
  </si>
  <si>
    <t>光耀</t>
    <phoneticPr fontId="1" type="noConversion"/>
  </si>
  <si>
    <t>树枝</t>
    <phoneticPr fontId="1" type="noConversion"/>
  </si>
  <si>
    <t>力量拳套</t>
    <phoneticPr fontId="1" type="noConversion"/>
  </si>
  <si>
    <t>力量护腕</t>
    <phoneticPr fontId="1" type="noConversion"/>
  </si>
  <si>
    <t>力量腰带</t>
    <phoneticPr fontId="1" type="noConversion"/>
  </si>
  <si>
    <t>贵族头环</t>
    <phoneticPr fontId="1" type="noConversion"/>
  </si>
  <si>
    <t>圣殿指环</t>
    <phoneticPr fontId="1" type="noConversion"/>
  </si>
  <si>
    <t>散华</t>
    <phoneticPr fontId="1" type="noConversion"/>
  </si>
  <si>
    <t>锁甲</t>
    <phoneticPr fontId="1" type="noConversion"/>
  </si>
  <si>
    <t>敏捷皮靴</t>
    <phoneticPr fontId="1" type="noConversion"/>
  </si>
  <si>
    <t>鞋</t>
    <phoneticPr fontId="1" type="noConversion"/>
  </si>
  <si>
    <t>双刀</t>
    <phoneticPr fontId="1" type="noConversion"/>
  </si>
  <si>
    <t>勇气勋章</t>
    <phoneticPr fontId="1" type="noConversion"/>
  </si>
  <si>
    <t>疯脸</t>
    <phoneticPr fontId="1" type="noConversion"/>
  </si>
  <si>
    <t>吸血面具</t>
    <phoneticPr fontId="1" type="noConversion"/>
  </si>
  <si>
    <t>魔抗斗篷</t>
    <phoneticPr fontId="1" type="noConversion"/>
  </si>
  <si>
    <t>力量假腿</t>
    <phoneticPr fontId="1" type="noConversion"/>
  </si>
  <si>
    <t>鬼手</t>
    <phoneticPr fontId="1" type="noConversion"/>
  </si>
  <si>
    <t>反伤甲</t>
    <phoneticPr fontId="1" type="noConversion"/>
  </si>
  <si>
    <t>祭品</t>
    <phoneticPr fontId="1" type="noConversion"/>
  </si>
  <si>
    <t>魔抗头巾</t>
    <phoneticPr fontId="1" type="noConversion"/>
  </si>
  <si>
    <t>相位鞋</t>
    <phoneticPr fontId="1" type="noConversion"/>
  </si>
  <si>
    <t>长笛</t>
    <phoneticPr fontId="1" type="noConversion"/>
  </si>
  <si>
    <t>小电锤</t>
    <phoneticPr fontId="1" type="noConversion"/>
  </si>
  <si>
    <t>阔剑</t>
    <phoneticPr fontId="1" type="noConversion"/>
  </si>
  <si>
    <t>大电锤</t>
    <phoneticPr fontId="1" type="noConversion"/>
  </si>
  <si>
    <t>水晶剑</t>
    <phoneticPr fontId="1" type="noConversion"/>
  </si>
  <si>
    <t>古之耐歌</t>
    <phoneticPr fontId="1" type="noConversion"/>
  </si>
  <si>
    <t>飞鞋</t>
    <phoneticPr fontId="1" type="noConversion"/>
  </si>
  <si>
    <t>龙心</t>
    <phoneticPr fontId="1" type="noConversion"/>
  </si>
  <si>
    <t>魔王刀锋</t>
    <phoneticPr fontId="1" type="noConversion"/>
  </si>
  <si>
    <t>大剑</t>
    <phoneticPr fontId="1" type="noConversion"/>
  </si>
  <si>
    <t>秘银锤</t>
    <phoneticPr fontId="1" type="noConversion"/>
  </si>
  <si>
    <t>冲锋盾</t>
    <phoneticPr fontId="1" type="noConversion"/>
  </si>
  <si>
    <t>撒旦</t>
    <phoneticPr fontId="1" type="noConversion"/>
  </si>
  <si>
    <t>金箍棒</t>
    <phoneticPr fontId="1" type="noConversion"/>
  </si>
  <si>
    <t>黑黄</t>
    <phoneticPr fontId="1" type="noConversion"/>
  </si>
  <si>
    <t>坚韧法球</t>
    <phoneticPr fontId="1" type="noConversion"/>
  </si>
  <si>
    <t>大炮</t>
    <phoneticPr fontId="1" type="noConversion"/>
  </si>
  <si>
    <t>强袭</t>
    <phoneticPr fontId="1" type="noConversion"/>
  </si>
  <si>
    <t>狂战斧</t>
    <phoneticPr fontId="1" type="noConversion"/>
  </si>
  <si>
    <t>暗灭</t>
    <phoneticPr fontId="1" type="noConversion"/>
  </si>
  <si>
    <t>小圆盾</t>
    <phoneticPr fontId="1" type="noConversion"/>
  </si>
  <si>
    <t>补刀斧</t>
    <phoneticPr fontId="1" type="noConversion"/>
  </si>
  <si>
    <t>生命之球</t>
    <phoneticPr fontId="1" type="noConversion"/>
  </si>
  <si>
    <t>回复戒指</t>
    <phoneticPr fontId="1" type="noConversion"/>
  </si>
  <si>
    <t>攻击利爪</t>
    <phoneticPr fontId="1" type="noConversion"/>
  </si>
  <si>
    <t>锁甲</t>
    <phoneticPr fontId="1" type="noConversion"/>
  </si>
  <si>
    <t>力量之斧</t>
    <phoneticPr fontId="1" type="noConversion"/>
  </si>
  <si>
    <t>元气之球</t>
    <phoneticPr fontId="1" type="noConversion"/>
  </si>
  <si>
    <t>蓝杖</t>
    <phoneticPr fontId="1" type="noConversion"/>
  </si>
  <si>
    <t>板甲</t>
    <phoneticPr fontId="1" type="noConversion"/>
  </si>
  <si>
    <t>冲锋盾</t>
    <phoneticPr fontId="1" type="noConversion"/>
  </si>
  <si>
    <t>振魂玫瑰</t>
    <phoneticPr fontId="1" type="noConversion"/>
  </si>
  <si>
    <t>古之耐歌</t>
    <phoneticPr fontId="1" type="noConversion"/>
  </si>
  <si>
    <t>林肯</t>
    <phoneticPr fontId="1" type="noConversion"/>
  </si>
  <si>
    <t>血晶石</t>
    <phoneticPr fontId="1" type="noConversion"/>
  </si>
  <si>
    <t>红杖</t>
    <phoneticPr fontId="1" type="noConversion"/>
  </si>
  <si>
    <t>秘法鞋</t>
    <phoneticPr fontId="1" type="noConversion"/>
  </si>
  <si>
    <t>冰甲</t>
    <phoneticPr fontId="1" type="noConversion"/>
  </si>
  <si>
    <t>蓝杖</t>
    <phoneticPr fontId="1" type="noConversion"/>
  </si>
  <si>
    <t>板甲</t>
    <phoneticPr fontId="1" type="noConversion"/>
  </si>
  <si>
    <t>光耀</t>
    <phoneticPr fontId="1" type="noConversion"/>
  </si>
  <si>
    <t>反伤甲</t>
    <phoneticPr fontId="1" type="noConversion"/>
  </si>
  <si>
    <t>加速手套</t>
    <phoneticPr fontId="1" type="noConversion"/>
  </si>
  <si>
    <t>攻击利爪</t>
    <phoneticPr fontId="1" type="noConversion"/>
  </si>
  <si>
    <t>元气之球</t>
    <phoneticPr fontId="1" type="noConversion"/>
  </si>
  <si>
    <t>大魔杖</t>
    <phoneticPr fontId="1" type="noConversion"/>
  </si>
  <si>
    <t>武士头盔</t>
    <phoneticPr fontId="1" type="noConversion"/>
  </si>
  <si>
    <t>吸血面具</t>
    <phoneticPr fontId="1" type="noConversion"/>
  </si>
  <si>
    <t>骨灰盒</t>
    <phoneticPr fontId="1" type="noConversion"/>
  </si>
  <si>
    <t>元气之球</t>
    <phoneticPr fontId="1" type="noConversion"/>
  </si>
  <si>
    <t>生命之球</t>
    <phoneticPr fontId="1" type="noConversion"/>
  </si>
  <si>
    <t>勇气勋章</t>
    <phoneticPr fontId="1" type="noConversion"/>
  </si>
  <si>
    <t>深渊之刃</t>
    <phoneticPr fontId="1" type="noConversion"/>
  </si>
  <si>
    <t>天堂</t>
    <phoneticPr fontId="1" type="noConversion"/>
  </si>
  <si>
    <t>碎骨锤</t>
    <phoneticPr fontId="1" type="noConversion"/>
  </si>
  <si>
    <t>疯脸</t>
    <phoneticPr fontId="1" type="noConversion"/>
  </si>
  <si>
    <t>黑黄</t>
    <phoneticPr fontId="1" type="noConversion"/>
  </si>
  <si>
    <t>艺人面罩</t>
    <phoneticPr fontId="1" type="noConversion"/>
  </si>
  <si>
    <t>魂戒</t>
    <phoneticPr fontId="1" type="noConversion"/>
  </si>
  <si>
    <t>回复之巾</t>
    <phoneticPr fontId="1" type="noConversion"/>
  </si>
  <si>
    <t>小圆盾</t>
    <phoneticPr fontId="1" type="noConversion"/>
  </si>
  <si>
    <t>梅肯</t>
    <phoneticPr fontId="1" type="noConversion"/>
  </si>
  <si>
    <t>艺人面罩</t>
    <phoneticPr fontId="1" type="noConversion"/>
  </si>
  <si>
    <t>骨灰盒</t>
    <phoneticPr fontId="1" type="noConversion"/>
  </si>
  <si>
    <t>梅肯2阶</t>
    <phoneticPr fontId="1" type="noConversion"/>
  </si>
  <si>
    <t>推推棒</t>
    <phoneticPr fontId="1" type="noConversion"/>
  </si>
  <si>
    <t>祭品</t>
    <phoneticPr fontId="1" type="noConversion"/>
  </si>
  <si>
    <t>治疗指环</t>
    <phoneticPr fontId="1" type="noConversion"/>
  </si>
  <si>
    <t>魔抗头巾</t>
    <phoneticPr fontId="1" type="noConversion"/>
  </si>
  <si>
    <t>虚空宝石</t>
    <phoneticPr fontId="1" type="noConversion"/>
  </si>
  <si>
    <t>梅肯3阶</t>
    <phoneticPr fontId="1" type="noConversion"/>
  </si>
  <si>
    <t>智力法杖</t>
    <phoneticPr fontId="1" type="noConversion"/>
  </si>
  <si>
    <t>刷新珠</t>
    <phoneticPr fontId="1" type="noConversion"/>
  </si>
  <si>
    <t>水晶法杖</t>
    <phoneticPr fontId="1" type="noConversion"/>
  </si>
  <si>
    <t>极限球</t>
    <phoneticPr fontId="1" type="noConversion"/>
  </si>
  <si>
    <t>梅肯4阶</t>
    <phoneticPr fontId="1" type="noConversion"/>
  </si>
  <si>
    <t>羊刀</t>
    <phoneticPr fontId="1" type="noConversion"/>
  </si>
  <si>
    <t>掠夺之斧</t>
    <phoneticPr fontId="1" type="noConversion"/>
  </si>
  <si>
    <t>推推棒</t>
    <phoneticPr fontId="1" type="noConversion"/>
  </si>
  <si>
    <t>力量拳套</t>
    <phoneticPr fontId="1" type="noConversion"/>
  </si>
  <si>
    <t>贵族头环</t>
    <phoneticPr fontId="1" type="noConversion"/>
  </si>
  <si>
    <t>小魔棒</t>
    <phoneticPr fontId="1" type="noConversion"/>
  </si>
  <si>
    <t>武士头盔</t>
    <phoneticPr fontId="1" type="noConversion"/>
  </si>
  <si>
    <t>加速手套</t>
    <phoneticPr fontId="1" type="noConversion"/>
  </si>
  <si>
    <t>力量护腕</t>
    <phoneticPr fontId="1" type="noConversion"/>
  </si>
  <si>
    <t>攻击利爪</t>
    <phoneticPr fontId="1" type="noConversion"/>
  </si>
  <si>
    <t>力量之斧</t>
    <phoneticPr fontId="1" type="noConversion"/>
  </si>
  <si>
    <t>骨灰盒</t>
    <phoneticPr fontId="1" type="noConversion"/>
  </si>
  <si>
    <t>吸血面具</t>
    <phoneticPr fontId="1" type="noConversion"/>
  </si>
  <si>
    <t>鬼手</t>
    <phoneticPr fontId="1" type="noConversion"/>
  </si>
  <si>
    <t>散华</t>
    <phoneticPr fontId="1" type="noConversion"/>
  </si>
  <si>
    <t>魔抗斗篷</t>
    <phoneticPr fontId="1" type="noConversion"/>
  </si>
  <si>
    <t>支配</t>
    <phoneticPr fontId="1" type="noConversion"/>
  </si>
  <si>
    <t>鞋</t>
    <phoneticPr fontId="1" type="noConversion"/>
  </si>
  <si>
    <t>板甲</t>
    <phoneticPr fontId="1" type="noConversion"/>
  </si>
  <si>
    <t>水晶剑</t>
    <phoneticPr fontId="1" type="noConversion"/>
  </si>
  <si>
    <t>秘银锤</t>
    <phoneticPr fontId="1" type="noConversion"/>
  </si>
  <si>
    <t>魔抗头巾</t>
    <phoneticPr fontId="1" type="noConversion"/>
  </si>
  <si>
    <t>古之耐歌</t>
    <phoneticPr fontId="1" type="noConversion"/>
  </si>
  <si>
    <t>力量假腿</t>
    <phoneticPr fontId="1" type="noConversion"/>
  </si>
  <si>
    <t>强袭</t>
    <phoneticPr fontId="1" type="noConversion"/>
  </si>
  <si>
    <t>黑黄</t>
    <phoneticPr fontId="1" type="noConversion"/>
  </si>
  <si>
    <t>蓝杖</t>
    <phoneticPr fontId="1" type="noConversion"/>
  </si>
  <si>
    <t>锁甲</t>
    <phoneticPr fontId="1" type="noConversion"/>
  </si>
  <si>
    <t>掠夺之斧</t>
    <phoneticPr fontId="1" type="noConversion"/>
  </si>
  <si>
    <t>天堂</t>
    <phoneticPr fontId="1" type="noConversion"/>
  </si>
  <si>
    <t>秘银锤</t>
    <phoneticPr fontId="1" type="noConversion"/>
  </si>
  <si>
    <t>飞鞋</t>
    <phoneticPr fontId="1" type="noConversion"/>
  </si>
  <si>
    <t>反伤甲</t>
    <phoneticPr fontId="1" type="noConversion"/>
  </si>
  <si>
    <t>双刀</t>
    <phoneticPr fontId="1" type="noConversion"/>
  </si>
  <si>
    <t>冲锋盾</t>
    <phoneticPr fontId="1" type="noConversion"/>
  </si>
  <si>
    <t>龙心</t>
    <phoneticPr fontId="1" type="noConversion"/>
  </si>
  <si>
    <t>金箍棒</t>
    <phoneticPr fontId="1" type="noConversion"/>
  </si>
  <si>
    <t>大炮</t>
    <phoneticPr fontId="1" type="noConversion"/>
  </si>
  <si>
    <t>分身斧</t>
    <phoneticPr fontId="1" type="noConversion"/>
  </si>
  <si>
    <t>长笛</t>
    <phoneticPr fontId="1" type="noConversion"/>
  </si>
  <si>
    <t>标枪</t>
    <phoneticPr fontId="1" type="noConversion"/>
  </si>
  <si>
    <t>撒旦</t>
    <phoneticPr fontId="1" type="noConversion"/>
  </si>
  <si>
    <t>艺人面罩</t>
    <phoneticPr fontId="1" type="noConversion"/>
  </si>
  <si>
    <t>法力之球</t>
    <phoneticPr fontId="1" type="noConversion"/>
  </si>
  <si>
    <t>圣殿指环</t>
    <phoneticPr fontId="1" type="noConversion"/>
  </si>
  <si>
    <t>智力挂件</t>
    <phoneticPr fontId="1" type="noConversion"/>
  </si>
  <si>
    <t>小圆盾</t>
    <phoneticPr fontId="1" type="noConversion"/>
  </si>
  <si>
    <t>鞋</t>
    <phoneticPr fontId="1" type="noConversion"/>
  </si>
  <si>
    <t>大魔杖</t>
    <phoneticPr fontId="1" type="noConversion"/>
  </si>
  <si>
    <t>魂戒</t>
    <phoneticPr fontId="1" type="noConversion"/>
  </si>
  <si>
    <t>蓝杖</t>
    <phoneticPr fontId="1" type="noConversion"/>
  </si>
  <si>
    <t>推推棒</t>
    <phoneticPr fontId="1" type="noConversion"/>
  </si>
  <si>
    <t>坚韧法球</t>
    <phoneticPr fontId="1" type="noConversion"/>
  </si>
  <si>
    <t>短棍</t>
    <phoneticPr fontId="1" type="noConversion"/>
  </si>
  <si>
    <t>秘法鞋</t>
    <phoneticPr fontId="1" type="noConversion"/>
  </si>
  <si>
    <t>洛萨</t>
    <phoneticPr fontId="1" type="noConversion"/>
  </si>
  <si>
    <t>狂战斧</t>
    <phoneticPr fontId="1" type="noConversion"/>
  </si>
  <si>
    <t>相位鞋</t>
    <phoneticPr fontId="1" type="noConversion"/>
  </si>
  <si>
    <t>羊刀</t>
    <phoneticPr fontId="1" type="noConversion"/>
  </si>
  <si>
    <t>绿杖</t>
    <phoneticPr fontId="1" type="noConversion"/>
  </si>
  <si>
    <t>虚空宝石</t>
    <phoneticPr fontId="1" type="noConversion"/>
  </si>
  <si>
    <t>红杖</t>
    <phoneticPr fontId="1" type="noConversion"/>
  </si>
  <si>
    <t>散华</t>
    <phoneticPr fontId="1" type="noConversion"/>
  </si>
  <si>
    <t>冰甲</t>
    <phoneticPr fontId="1" type="noConversion"/>
  </si>
  <si>
    <t>刷新珠</t>
    <phoneticPr fontId="1" type="noConversion"/>
  </si>
  <si>
    <t>空明禅杖</t>
    <phoneticPr fontId="1" type="noConversion"/>
  </si>
  <si>
    <t>林肯</t>
    <phoneticPr fontId="1" type="noConversion"/>
  </si>
  <si>
    <t>冰眼</t>
    <phoneticPr fontId="1" type="noConversion"/>
  </si>
  <si>
    <t>暗灭</t>
    <phoneticPr fontId="1" type="noConversion"/>
  </si>
  <si>
    <t>风杖</t>
    <phoneticPr fontId="1" type="noConversion"/>
  </si>
  <si>
    <t>祭品</t>
    <phoneticPr fontId="1" type="noConversion"/>
  </si>
  <si>
    <t>振魂玫瑰</t>
    <phoneticPr fontId="1" type="noConversion"/>
  </si>
  <si>
    <t>力量腰带</t>
    <phoneticPr fontId="1" type="noConversion"/>
  </si>
  <si>
    <t>治疗指环</t>
    <phoneticPr fontId="1" type="noConversion"/>
  </si>
  <si>
    <t>梅肯2阶</t>
    <phoneticPr fontId="1" type="noConversion"/>
  </si>
  <si>
    <t>极限球</t>
    <phoneticPr fontId="1" type="noConversion"/>
  </si>
  <si>
    <t>智力法杖</t>
    <phoneticPr fontId="1" type="noConversion"/>
  </si>
  <si>
    <t>梅肯3阶</t>
    <phoneticPr fontId="1" type="noConversion"/>
  </si>
  <si>
    <t>血晶石</t>
    <phoneticPr fontId="1" type="noConversion"/>
  </si>
  <si>
    <t>远古遗物</t>
    <phoneticPr fontId="1" type="noConversion"/>
  </si>
  <si>
    <t>光耀</t>
    <phoneticPr fontId="1" type="noConversion"/>
  </si>
  <si>
    <t>梅肯4阶</t>
    <phoneticPr fontId="1" type="noConversion"/>
  </si>
  <si>
    <t>树枝</t>
    <phoneticPr fontId="1" type="noConversion"/>
  </si>
  <si>
    <t>贵族头环</t>
    <phoneticPr fontId="1" type="noConversion"/>
  </si>
  <si>
    <t>敏捷丝袜</t>
    <phoneticPr fontId="1" type="noConversion"/>
  </si>
  <si>
    <t>敏捷皮靴</t>
    <phoneticPr fontId="1" type="noConversion"/>
  </si>
  <si>
    <t>敏捷系带</t>
    <phoneticPr fontId="1" type="noConversion"/>
  </si>
  <si>
    <t>攻击利爪</t>
    <phoneticPr fontId="1" type="noConversion"/>
  </si>
  <si>
    <t>敏捷之刃</t>
    <phoneticPr fontId="1" type="noConversion"/>
  </si>
  <si>
    <t>天鹰之戒</t>
    <phoneticPr fontId="1" type="noConversion"/>
  </si>
  <si>
    <t>夜叉</t>
    <phoneticPr fontId="1" type="noConversion"/>
  </si>
  <si>
    <t>散失</t>
    <phoneticPr fontId="1" type="noConversion"/>
  </si>
  <si>
    <t>大剑</t>
    <phoneticPr fontId="1" type="noConversion"/>
  </si>
  <si>
    <t>生命之球</t>
    <phoneticPr fontId="1" type="noConversion"/>
  </si>
  <si>
    <t>小电锤</t>
    <phoneticPr fontId="1" type="noConversion"/>
  </si>
  <si>
    <t>敏捷假腿</t>
    <phoneticPr fontId="1" type="noConversion"/>
  </si>
  <si>
    <t>大电锤</t>
    <phoneticPr fontId="1" type="noConversion"/>
  </si>
  <si>
    <t>蝴蝶</t>
    <phoneticPr fontId="1" type="noConversion"/>
  </si>
  <si>
    <t>散失2阶</t>
    <phoneticPr fontId="1" type="noConversion"/>
  </si>
  <si>
    <t>阔剑</t>
    <phoneticPr fontId="1" type="noConversion"/>
  </si>
  <si>
    <t>散失3阶</t>
    <phoneticPr fontId="1" type="noConversion"/>
  </si>
  <si>
    <t>虚灵</t>
    <phoneticPr fontId="1" type="noConversion"/>
  </si>
  <si>
    <t>魔王刀锋</t>
    <phoneticPr fontId="1" type="noConversion"/>
  </si>
  <si>
    <t>深渊之刃</t>
    <phoneticPr fontId="1" type="noConversion"/>
  </si>
  <si>
    <t>http://game.21cn.com/dtcq/yxgl/list2.shtml</t>
    <phoneticPr fontId="1" type="noConversion"/>
  </si>
  <si>
    <t>防御指环</t>
  </si>
  <si>
    <t>防御指环</t>
    <phoneticPr fontId="1" type="noConversion"/>
  </si>
  <si>
    <t>小圆盾</t>
    <phoneticPr fontId="1" type="noConversion"/>
  </si>
  <si>
    <t>吸血面具</t>
    <phoneticPr fontId="1" type="noConversion"/>
  </si>
  <si>
    <t>圣殿指环</t>
    <phoneticPr fontId="1" type="noConversion"/>
  </si>
  <si>
    <t>鞋</t>
    <phoneticPr fontId="1" type="noConversion"/>
  </si>
  <si>
    <t>祭品</t>
    <phoneticPr fontId="1" type="noConversion"/>
  </si>
  <si>
    <t>敏捷之刃</t>
    <phoneticPr fontId="1" type="noConversion"/>
  </si>
  <si>
    <t>大魔杖</t>
    <phoneticPr fontId="1" type="noConversion"/>
  </si>
  <si>
    <t>生命之球</t>
    <phoneticPr fontId="1" type="noConversion"/>
  </si>
  <si>
    <t>攻击利爪</t>
    <phoneticPr fontId="1" type="noConversion"/>
  </si>
  <si>
    <t>力量拳套</t>
    <phoneticPr fontId="1" type="noConversion"/>
  </si>
  <si>
    <t>回复戒指</t>
    <phoneticPr fontId="1" type="noConversion"/>
  </si>
  <si>
    <t>补刀斧</t>
    <phoneticPr fontId="1" type="noConversion"/>
  </si>
  <si>
    <t>小魔棒</t>
    <phoneticPr fontId="1" type="noConversion"/>
  </si>
  <si>
    <t>力量护腕</t>
    <phoneticPr fontId="1" type="noConversion"/>
  </si>
  <si>
    <t>生命之球</t>
    <phoneticPr fontId="1" type="noConversion"/>
  </si>
  <si>
    <t>力量腰带</t>
    <phoneticPr fontId="1" type="noConversion"/>
  </si>
  <si>
    <t>魂戒</t>
    <phoneticPr fontId="1" type="noConversion"/>
  </si>
  <si>
    <t>大剑</t>
    <phoneticPr fontId="1" type="noConversion"/>
  </si>
  <si>
    <t>阔剑</t>
    <phoneticPr fontId="1" type="noConversion"/>
  </si>
  <si>
    <t>冲锋盾</t>
    <phoneticPr fontId="1" type="noConversion"/>
  </si>
  <si>
    <t>大魔杖</t>
    <phoneticPr fontId="1" type="noConversion"/>
  </si>
  <si>
    <t>蓝杖</t>
    <phoneticPr fontId="1" type="noConversion"/>
  </si>
  <si>
    <t>坚韧法球</t>
    <phoneticPr fontId="1" type="noConversion"/>
  </si>
  <si>
    <t>支配</t>
    <phoneticPr fontId="1" type="noConversion"/>
  </si>
  <si>
    <t>回复之巾</t>
    <phoneticPr fontId="1" type="noConversion"/>
  </si>
  <si>
    <t>力量假腿</t>
    <phoneticPr fontId="1" type="noConversion"/>
  </si>
  <si>
    <t>狂战斧</t>
    <phoneticPr fontId="1" type="noConversion"/>
  </si>
  <si>
    <t>水晶剑</t>
    <phoneticPr fontId="1" type="noConversion"/>
  </si>
  <si>
    <t>古之耐歌</t>
    <phoneticPr fontId="1" type="noConversion"/>
  </si>
  <si>
    <t>魔王刀锋</t>
    <phoneticPr fontId="1" type="noConversion"/>
  </si>
  <si>
    <t>振奋石</t>
    <phoneticPr fontId="1" type="noConversion"/>
  </si>
  <si>
    <t>暗灭</t>
    <phoneticPr fontId="1" type="noConversion"/>
  </si>
  <si>
    <t>散华</t>
    <phoneticPr fontId="1" type="noConversion"/>
  </si>
  <si>
    <t>勇气勋章</t>
    <phoneticPr fontId="1" type="noConversion"/>
  </si>
  <si>
    <t>智力之篷</t>
    <phoneticPr fontId="1" type="noConversion"/>
  </si>
  <si>
    <t>强袭</t>
    <phoneticPr fontId="1" type="noConversion"/>
  </si>
  <si>
    <t>金箍棒</t>
    <phoneticPr fontId="1" type="noConversion"/>
  </si>
  <si>
    <t>小电锤</t>
    <phoneticPr fontId="1" type="noConversion"/>
  </si>
  <si>
    <t>双刀</t>
    <phoneticPr fontId="1" type="noConversion"/>
  </si>
  <si>
    <t>魔抗头巾</t>
    <phoneticPr fontId="1" type="noConversion"/>
  </si>
  <si>
    <t>飞鞋</t>
    <phoneticPr fontId="1" type="noConversion"/>
  </si>
  <si>
    <t>龙心</t>
    <phoneticPr fontId="1" type="noConversion"/>
  </si>
  <si>
    <t>大电锤</t>
    <phoneticPr fontId="1" type="noConversion"/>
  </si>
  <si>
    <t>长笛</t>
    <phoneticPr fontId="1" type="noConversion"/>
  </si>
  <si>
    <t>碎骨锤</t>
    <phoneticPr fontId="1" type="noConversion"/>
  </si>
  <si>
    <t>深渊之刃</t>
    <phoneticPr fontId="1" type="noConversion"/>
  </si>
  <si>
    <t>掠夺之斧</t>
    <phoneticPr fontId="1" type="noConversion"/>
  </si>
  <si>
    <t>天堂</t>
    <phoneticPr fontId="1" type="noConversion"/>
  </si>
  <si>
    <t>林肯</t>
    <phoneticPr fontId="1" type="noConversion"/>
  </si>
  <si>
    <t>鬼手</t>
    <phoneticPr fontId="1" type="noConversion"/>
  </si>
  <si>
    <t>大炮</t>
    <phoneticPr fontId="1" type="noConversion"/>
  </si>
  <si>
    <t>撒旦</t>
    <phoneticPr fontId="1" type="noConversion"/>
  </si>
  <si>
    <t>光耀</t>
    <phoneticPr fontId="1" type="noConversion"/>
  </si>
  <si>
    <t>强袭</t>
    <phoneticPr fontId="1" type="noConversion"/>
  </si>
  <si>
    <t>树枝</t>
    <phoneticPr fontId="1" type="noConversion"/>
  </si>
  <si>
    <t>智力之篷</t>
    <phoneticPr fontId="1" type="noConversion"/>
  </si>
  <si>
    <t>贵族头环</t>
    <phoneticPr fontId="1" type="noConversion"/>
  </si>
  <si>
    <t>智力挂件</t>
    <phoneticPr fontId="1" type="noConversion"/>
  </si>
  <si>
    <t>夜叉</t>
    <phoneticPr fontId="1" type="noConversion"/>
  </si>
  <si>
    <t>古之耐歌</t>
    <phoneticPr fontId="1" type="noConversion"/>
  </si>
  <si>
    <t>小圆盾</t>
    <phoneticPr fontId="1" type="noConversion"/>
  </si>
  <si>
    <t>相位鞋</t>
    <phoneticPr fontId="1" type="noConversion"/>
  </si>
  <si>
    <t>红杖</t>
    <phoneticPr fontId="1" type="noConversion"/>
  </si>
  <si>
    <t>振魂玫瑰</t>
    <phoneticPr fontId="1" type="noConversion"/>
  </si>
  <si>
    <t>秘法鞋</t>
    <phoneticPr fontId="1" type="noConversion"/>
  </si>
  <si>
    <t>黑黄</t>
    <phoneticPr fontId="1" type="noConversion"/>
  </si>
  <si>
    <t>骨灰盒</t>
    <phoneticPr fontId="1" type="noConversion"/>
  </si>
  <si>
    <t>羊刀</t>
    <phoneticPr fontId="1" type="noConversion"/>
  </si>
  <si>
    <t>红杖2阶</t>
    <phoneticPr fontId="1" type="noConversion"/>
  </si>
  <si>
    <t>推推棒</t>
    <phoneticPr fontId="1" type="noConversion"/>
  </si>
  <si>
    <t>板甲</t>
    <phoneticPr fontId="1" type="noConversion"/>
  </si>
  <si>
    <t>法力之球</t>
    <phoneticPr fontId="1" type="noConversion"/>
  </si>
  <si>
    <t>洛萨</t>
    <phoneticPr fontId="1" type="noConversion"/>
  </si>
  <si>
    <t>狂战斧</t>
    <phoneticPr fontId="1" type="noConversion"/>
  </si>
  <si>
    <t>冰甲</t>
    <phoneticPr fontId="1" type="noConversion"/>
  </si>
  <si>
    <t>林肯</t>
    <phoneticPr fontId="1" type="noConversion"/>
  </si>
  <si>
    <t>反伤甲</t>
    <phoneticPr fontId="1" type="noConversion"/>
  </si>
  <si>
    <t>风杖</t>
    <phoneticPr fontId="1" type="noConversion"/>
  </si>
  <si>
    <t>智力挂件</t>
    <phoneticPr fontId="1" type="noConversion"/>
  </si>
  <si>
    <t>力量拳套</t>
    <phoneticPr fontId="1" type="noConversion"/>
  </si>
  <si>
    <t>冰眼</t>
    <phoneticPr fontId="1" type="noConversion"/>
  </si>
  <si>
    <t>蓝杖</t>
    <phoneticPr fontId="1" type="noConversion"/>
  </si>
  <si>
    <t>敏捷系带</t>
    <phoneticPr fontId="1" type="noConversion"/>
  </si>
  <si>
    <t>圣殿指环</t>
    <phoneticPr fontId="1" type="noConversion"/>
  </si>
  <si>
    <t>天鹰之戒</t>
    <phoneticPr fontId="1" type="noConversion"/>
  </si>
  <si>
    <t>力量腰带</t>
    <phoneticPr fontId="1" type="noConversion"/>
  </si>
  <si>
    <t>双刀</t>
    <phoneticPr fontId="1" type="noConversion"/>
  </si>
  <si>
    <t>板甲</t>
    <phoneticPr fontId="1" type="noConversion"/>
  </si>
  <si>
    <t>魔抗头巾</t>
    <phoneticPr fontId="1" type="noConversion"/>
  </si>
  <si>
    <t>锁甲</t>
    <phoneticPr fontId="1" type="noConversion"/>
  </si>
  <si>
    <t>标枪</t>
    <phoneticPr fontId="1" type="noConversion"/>
  </si>
  <si>
    <t>黑黄</t>
    <phoneticPr fontId="1" type="noConversion"/>
  </si>
  <si>
    <t>短棍</t>
    <phoneticPr fontId="1" type="noConversion"/>
  </si>
  <si>
    <t>蝴蝶</t>
    <phoneticPr fontId="1" type="noConversion"/>
  </si>
  <si>
    <t>分身斧</t>
    <phoneticPr fontId="1" type="noConversion"/>
  </si>
  <si>
    <t>冲锋盾</t>
    <phoneticPr fontId="1" type="noConversion"/>
  </si>
  <si>
    <t>力量之斧</t>
    <phoneticPr fontId="1" type="noConversion"/>
  </si>
  <si>
    <t>反伤甲</t>
    <phoneticPr fontId="1" type="noConversion"/>
  </si>
  <si>
    <t>祭品</t>
    <phoneticPr fontId="1" type="noConversion"/>
  </si>
  <si>
    <t>敏捷假腿</t>
    <phoneticPr fontId="1" type="noConversion"/>
  </si>
  <si>
    <t>秘银锤</t>
    <phoneticPr fontId="1" type="noConversion"/>
  </si>
  <si>
    <t>补刀斧</t>
    <phoneticPr fontId="1" type="noConversion"/>
  </si>
  <si>
    <t>屌丝盾</t>
    <phoneticPr fontId="1" type="noConversion"/>
  </si>
  <si>
    <t>远古遗物</t>
    <phoneticPr fontId="1" type="noConversion"/>
  </si>
  <si>
    <t>极限球</t>
    <phoneticPr fontId="1" type="noConversion"/>
  </si>
  <si>
    <t>小电锤</t>
    <phoneticPr fontId="1" type="noConversion"/>
  </si>
  <si>
    <t>敏捷丝袜</t>
    <phoneticPr fontId="1" type="noConversion"/>
  </si>
  <si>
    <t>敏捷皮靴</t>
    <phoneticPr fontId="1" type="noConversion"/>
  </si>
  <si>
    <t>鞋</t>
    <phoneticPr fontId="1" type="noConversion"/>
  </si>
  <si>
    <t>骨灰盒</t>
    <phoneticPr fontId="1" type="noConversion"/>
  </si>
  <si>
    <t>敏捷系带</t>
    <phoneticPr fontId="1" type="noConversion"/>
  </si>
  <si>
    <t>洛萨</t>
    <phoneticPr fontId="1" type="noConversion"/>
  </si>
  <si>
    <t>阔剑</t>
    <phoneticPr fontId="1" type="noConversion"/>
  </si>
  <si>
    <t>魔抗头巾</t>
    <phoneticPr fontId="1" type="noConversion"/>
  </si>
  <si>
    <t>攻击利爪</t>
    <phoneticPr fontId="1" type="noConversion"/>
  </si>
  <si>
    <t>相位鞋</t>
    <phoneticPr fontId="1" type="noConversion"/>
  </si>
  <si>
    <t>水晶剑</t>
    <phoneticPr fontId="1" type="noConversion"/>
  </si>
  <si>
    <t>黑黄</t>
    <phoneticPr fontId="1" type="noConversion"/>
  </si>
  <si>
    <t>敏捷之刃</t>
    <phoneticPr fontId="1" type="noConversion"/>
  </si>
  <si>
    <t>魔抗斗篷</t>
    <phoneticPr fontId="1" type="noConversion"/>
  </si>
  <si>
    <t>锁甲</t>
    <phoneticPr fontId="1" type="noConversion"/>
  </si>
  <si>
    <t>极限球</t>
    <phoneticPr fontId="1" type="noConversion"/>
  </si>
  <si>
    <t>魔王刀锋</t>
    <phoneticPr fontId="1" type="noConversion"/>
  </si>
  <si>
    <t>蓝杖</t>
    <phoneticPr fontId="1" type="noConversion"/>
  </si>
  <si>
    <t>冲锋盾</t>
    <phoneticPr fontId="1" type="noConversion"/>
  </si>
  <si>
    <t>加速手套</t>
    <phoneticPr fontId="1" type="noConversion"/>
  </si>
  <si>
    <t>强袭</t>
    <phoneticPr fontId="1" type="noConversion"/>
  </si>
  <si>
    <t>双刀</t>
    <phoneticPr fontId="1" type="noConversion"/>
  </si>
  <si>
    <t>古之耐歌</t>
    <phoneticPr fontId="1" type="noConversion"/>
  </si>
  <si>
    <t>敏捷皮靴</t>
    <phoneticPr fontId="1" type="noConversion"/>
  </si>
  <si>
    <t>远古遗物</t>
    <phoneticPr fontId="1" type="noConversion"/>
  </si>
  <si>
    <t>长笛</t>
    <phoneticPr fontId="1" type="noConversion"/>
  </si>
  <si>
    <t>标枪</t>
    <phoneticPr fontId="1" type="noConversion"/>
  </si>
  <si>
    <t>敏捷系带</t>
    <phoneticPr fontId="1" type="noConversion"/>
  </si>
  <si>
    <t>光耀</t>
    <phoneticPr fontId="1" type="noConversion"/>
  </si>
  <si>
    <t>大炮</t>
    <phoneticPr fontId="1" type="noConversion"/>
  </si>
  <si>
    <t>林肯</t>
    <phoneticPr fontId="1" type="noConversion"/>
  </si>
  <si>
    <t>短棍</t>
    <phoneticPr fontId="1" type="noConversion"/>
  </si>
  <si>
    <t>敏捷系带</t>
    <phoneticPr fontId="1" type="noConversion"/>
  </si>
  <si>
    <t>龙心</t>
    <phoneticPr fontId="1" type="noConversion"/>
  </si>
  <si>
    <t>金箍棒</t>
    <phoneticPr fontId="1" type="noConversion"/>
  </si>
  <si>
    <t>黑黄</t>
    <phoneticPr fontId="1" type="noConversion"/>
  </si>
  <si>
    <t>冲锋盾</t>
    <phoneticPr fontId="1" type="noConversion"/>
  </si>
  <si>
    <t>艺人面罩</t>
    <phoneticPr fontId="1" type="noConversion"/>
  </si>
  <si>
    <t>防御指环</t>
    <phoneticPr fontId="1" type="noConversion"/>
  </si>
  <si>
    <t>敏捷皮靴</t>
    <phoneticPr fontId="1" type="noConversion"/>
  </si>
  <si>
    <t>圣殿指环</t>
    <phoneticPr fontId="1" type="noConversion"/>
  </si>
  <si>
    <t>小魔棒</t>
    <phoneticPr fontId="1" type="noConversion"/>
  </si>
  <si>
    <t>秘银锤</t>
    <phoneticPr fontId="1" type="noConversion"/>
  </si>
  <si>
    <t>冲锋盾</t>
    <phoneticPr fontId="1" type="noConversion"/>
  </si>
  <si>
    <t>大魔杖</t>
    <phoneticPr fontId="1" type="noConversion"/>
  </si>
  <si>
    <t>吸血面具</t>
    <phoneticPr fontId="1" type="noConversion"/>
  </si>
  <si>
    <t>敏捷系带</t>
    <phoneticPr fontId="1" type="noConversion"/>
  </si>
  <si>
    <t>鞋</t>
    <phoneticPr fontId="1" type="noConversion"/>
  </si>
  <si>
    <t>水晶剑</t>
    <phoneticPr fontId="1" type="noConversion"/>
  </si>
  <si>
    <t>力量之斧</t>
    <phoneticPr fontId="1" type="noConversion"/>
  </si>
  <si>
    <t>夜叉</t>
    <phoneticPr fontId="1" type="noConversion"/>
  </si>
  <si>
    <t>骨灰盒</t>
    <phoneticPr fontId="1" type="noConversion"/>
  </si>
  <si>
    <t>天鹰之戒</t>
    <phoneticPr fontId="1" type="noConversion"/>
  </si>
  <si>
    <t>敏捷假腿</t>
    <phoneticPr fontId="1" type="noConversion"/>
  </si>
  <si>
    <t>大剑</t>
    <phoneticPr fontId="1" type="noConversion"/>
  </si>
  <si>
    <t>黑黄</t>
    <phoneticPr fontId="1" type="noConversion"/>
  </si>
  <si>
    <t>暗灭</t>
    <phoneticPr fontId="1" type="noConversion"/>
  </si>
  <si>
    <t>敏捷假腿</t>
    <phoneticPr fontId="1" type="noConversion"/>
  </si>
  <si>
    <t>分身斧</t>
    <phoneticPr fontId="1" type="noConversion"/>
  </si>
  <si>
    <t>强袭</t>
    <phoneticPr fontId="1" type="noConversion"/>
  </si>
  <si>
    <t>风杖</t>
    <phoneticPr fontId="1" type="noConversion"/>
  </si>
  <si>
    <t>魔抗头巾</t>
    <phoneticPr fontId="1" type="noConversion"/>
  </si>
  <si>
    <t>锁甲</t>
    <phoneticPr fontId="1" type="noConversion"/>
  </si>
  <si>
    <t>长笛</t>
    <phoneticPr fontId="1" type="noConversion"/>
  </si>
  <si>
    <t>双刀</t>
    <phoneticPr fontId="1" type="noConversion"/>
  </si>
  <si>
    <t>角鹰弓</t>
    <phoneticPr fontId="1" type="noConversion"/>
  </si>
  <si>
    <t>坚韧法球</t>
    <phoneticPr fontId="1" type="noConversion"/>
  </si>
  <si>
    <t>短棍</t>
    <phoneticPr fontId="1" type="noConversion"/>
  </si>
  <si>
    <t>蝴蝶</t>
    <phoneticPr fontId="1" type="noConversion"/>
  </si>
  <si>
    <t>金箍棒</t>
    <phoneticPr fontId="1" type="noConversion"/>
  </si>
  <si>
    <t>板甲</t>
    <phoneticPr fontId="1" type="noConversion"/>
  </si>
  <si>
    <t>支配</t>
    <phoneticPr fontId="1" type="noConversion"/>
  </si>
  <si>
    <t>撒旦</t>
    <phoneticPr fontId="1" type="noConversion"/>
  </si>
  <si>
    <t>光耀</t>
    <phoneticPr fontId="1" type="noConversion"/>
  </si>
  <si>
    <t>大炮</t>
    <phoneticPr fontId="1" type="noConversion"/>
  </si>
  <si>
    <t>深渊之刃</t>
    <phoneticPr fontId="1" type="noConversion"/>
  </si>
  <si>
    <t>羊刀</t>
    <phoneticPr fontId="1" type="noConversion"/>
  </si>
  <si>
    <t>洛萨</t>
    <phoneticPr fontId="1" type="noConversion"/>
  </si>
  <si>
    <t>贵族头环</t>
    <phoneticPr fontId="1" type="noConversion"/>
  </si>
  <si>
    <t>敏捷之刃</t>
    <phoneticPr fontId="1" type="noConversion"/>
  </si>
  <si>
    <t>古之耐歌</t>
    <phoneticPr fontId="1" type="noConversion"/>
  </si>
  <si>
    <t>元气之球</t>
    <phoneticPr fontId="1" type="noConversion"/>
  </si>
  <si>
    <t>蓝杖</t>
    <phoneticPr fontId="1" type="noConversion"/>
  </si>
  <si>
    <t>推推棒</t>
    <phoneticPr fontId="1" type="noConversion"/>
  </si>
  <si>
    <t>魔抗斗篷</t>
    <phoneticPr fontId="1" type="noConversion"/>
  </si>
  <si>
    <t>玄铁盾牌</t>
    <phoneticPr fontId="1" type="noConversion"/>
  </si>
  <si>
    <t>攻击利爪</t>
    <phoneticPr fontId="1" type="noConversion"/>
  </si>
  <si>
    <t>相位鞋</t>
    <phoneticPr fontId="1" type="noConversion"/>
  </si>
  <si>
    <t>夜叉</t>
    <phoneticPr fontId="1" type="noConversion"/>
  </si>
  <si>
    <t>加速手套</t>
    <phoneticPr fontId="1" type="noConversion"/>
  </si>
  <si>
    <t>冰甲</t>
    <phoneticPr fontId="1" type="noConversion"/>
  </si>
  <si>
    <t>蝴蝶</t>
    <phoneticPr fontId="1" type="noConversion"/>
  </si>
  <si>
    <t>林肯</t>
    <phoneticPr fontId="1" type="noConversion"/>
  </si>
  <si>
    <t>敏捷丝袜</t>
    <phoneticPr fontId="1" type="noConversion"/>
  </si>
  <si>
    <t>回复戒指</t>
    <phoneticPr fontId="1" type="noConversion"/>
  </si>
  <si>
    <t>魂戒</t>
    <phoneticPr fontId="1" type="noConversion"/>
  </si>
  <si>
    <t>标枪</t>
    <phoneticPr fontId="1" type="noConversion"/>
  </si>
  <si>
    <t>空明禅杖</t>
    <phoneticPr fontId="1" type="noConversion"/>
  </si>
  <si>
    <t>空明禅杖</t>
    <phoneticPr fontId="1" type="noConversion"/>
  </si>
  <si>
    <t>疯脸</t>
    <phoneticPr fontId="1" type="noConversion"/>
  </si>
  <si>
    <t>勇气勋章</t>
    <phoneticPr fontId="1" type="noConversion"/>
  </si>
  <si>
    <t>紫苑</t>
    <phoneticPr fontId="1" type="noConversion"/>
  </si>
  <si>
    <t>极限球</t>
    <phoneticPr fontId="1" type="noConversion"/>
  </si>
  <si>
    <t>冰眼</t>
    <phoneticPr fontId="1" type="noConversion"/>
  </si>
  <si>
    <t>飞鞋</t>
    <phoneticPr fontId="1" type="noConversion"/>
  </si>
  <si>
    <t>碎骨锤</t>
    <phoneticPr fontId="1" type="noConversion"/>
  </si>
  <si>
    <t>小圆盾</t>
    <phoneticPr fontId="1" type="noConversion"/>
  </si>
  <si>
    <t>武士头盔</t>
    <phoneticPr fontId="1" type="noConversion"/>
  </si>
  <si>
    <t>屌丝盾</t>
    <phoneticPr fontId="1" type="noConversion"/>
  </si>
  <si>
    <t>疯脸</t>
    <phoneticPr fontId="1" type="noConversion"/>
  </si>
  <si>
    <t>小电锤</t>
    <phoneticPr fontId="1" type="noConversion"/>
  </si>
  <si>
    <t>秘法鞋</t>
    <phoneticPr fontId="1" type="noConversion"/>
  </si>
  <si>
    <t>魔王刀锋</t>
    <phoneticPr fontId="1" type="noConversion"/>
  </si>
  <si>
    <t>阔剑</t>
    <phoneticPr fontId="1" type="noConversion"/>
  </si>
  <si>
    <t>虚灵</t>
    <phoneticPr fontId="1" type="noConversion"/>
  </si>
  <si>
    <t>大电锤</t>
    <phoneticPr fontId="1" type="noConversion"/>
  </si>
  <si>
    <t>补刀斧</t>
    <phoneticPr fontId="1" type="noConversion"/>
  </si>
  <si>
    <t>散华</t>
    <phoneticPr fontId="1" type="noConversion"/>
  </si>
  <si>
    <t>狂战斧</t>
    <phoneticPr fontId="1" type="noConversion"/>
  </si>
  <si>
    <t>刷新珠</t>
    <phoneticPr fontId="1" type="noConversion"/>
  </si>
  <si>
    <t>龙心</t>
    <phoneticPr fontId="1" type="noConversion"/>
  </si>
  <si>
    <t>鬼手</t>
    <phoneticPr fontId="1" type="noConversion"/>
  </si>
  <si>
    <t>生命之球</t>
    <phoneticPr fontId="1" type="noConversion"/>
  </si>
  <si>
    <t>振魂玫瑰</t>
    <phoneticPr fontId="1" type="noConversion"/>
  </si>
  <si>
    <t>武士头盔</t>
    <phoneticPr fontId="1" type="noConversion"/>
  </si>
  <si>
    <t>散失</t>
    <phoneticPr fontId="1" type="noConversion"/>
  </si>
  <si>
    <t>冰眼</t>
    <phoneticPr fontId="1" type="noConversion"/>
  </si>
  <si>
    <t>绿鞋</t>
    <phoneticPr fontId="1" type="noConversion"/>
  </si>
  <si>
    <t>天堂</t>
    <phoneticPr fontId="1" type="noConversion"/>
  </si>
  <si>
    <t>补刀斧</t>
    <phoneticPr fontId="1" type="noConversion"/>
  </si>
  <si>
    <t>小圆盾</t>
    <phoneticPr fontId="1" type="noConversion"/>
  </si>
  <si>
    <t>防御指环</t>
    <phoneticPr fontId="1" type="noConversion"/>
  </si>
  <si>
    <t>敏捷皮靴</t>
    <phoneticPr fontId="1" type="noConversion"/>
  </si>
  <si>
    <t>圣殿指环</t>
    <phoneticPr fontId="1" type="noConversion"/>
  </si>
  <si>
    <t>敏捷系带</t>
    <phoneticPr fontId="1" type="noConversion"/>
  </si>
  <si>
    <t>敏捷之刃</t>
    <phoneticPr fontId="1" type="noConversion"/>
  </si>
  <si>
    <t>支配</t>
    <phoneticPr fontId="1" type="noConversion"/>
  </si>
  <si>
    <t>大魔杖</t>
    <phoneticPr fontId="1" type="noConversion"/>
  </si>
  <si>
    <t>天鹰之戒</t>
    <phoneticPr fontId="1" type="noConversion"/>
  </si>
  <si>
    <t>鞋</t>
    <phoneticPr fontId="1" type="noConversion"/>
  </si>
  <si>
    <t>散失</t>
    <phoneticPr fontId="1" type="noConversion"/>
  </si>
  <si>
    <t>夜叉</t>
    <phoneticPr fontId="1" type="noConversion"/>
  </si>
  <si>
    <t>勇气勋章</t>
    <phoneticPr fontId="1" type="noConversion"/>
  </si>
  <si>
    <t>冲锋盾</t>
    <phoneticPr fontId="1" type="noConversion"/>
  </si>
  <si>
    <t>敏捷假腿</t>
    <phoneticPr fontId="1" type="noConversion"/>
  </si>
  <si>
    <t>水晶剑</t>
    <phoneticPr fontId="1" type="noConversion"/>
  </si>
  <si>
    <t>暗灭</t>
    <phoneticPr fontId="1" type="noConversion"/>
  </si>
  <si>
    <t>狂战斧</t>
    <phoneticPr fontId="1" type="noConversion"/>
  </si>
  <si>
    <t>力量之斧</t>
    <phoneticPr fontId="1" type="noConversion"/>
  </si>
  <si>
    <t>双刀</t>
    <phoneticPr fontId="1" type="noConversion"/>
  </si>
  <si>
    <t>标枪</t>
    <phoneticPr fontId="1" type="noConversion"/>
  </si>
  <si>
    <t>散失2阶</t>
    <phoneticPr fontId="1" type="noConversion"/>
  </si>
  <si>
    <t>金箍棒</t>
    <phoneticPr fontId="1" type="noConversion"/>
  </si>
  <si>
    <t>坚韧法球</t>
    <phoneticPr fontId="1" type="noConversion"/>
  </si>
  <si>
    <t>武士头盔</t>
    <phoneticPr fontId="1" type="noConversion"/>
  </si>
  <si>
    <t>林肯</t>
    <phoneticPr fontId="1" type="noConversion"/>
  </si>
  <si>
    <t>极限球</t>
    <phoneticPr fontId="1" type="noConversion"/>
  </si>
  <si>
    <t>散失3阶</t>
    <phoneticPr fontId="1" type="noConversion"/>
  </si>
  <si>
    <t>强袭</t>
    <phoneticPr fontId="1" type="noConversion"/>
  </si>
  <si>
    <t>生命之球</t>
    <phoneticPr fontId="1" type="noConversion"/>
  </si>
  <si>
    <t>蝴蝶</t>
    <phoneticPr fontId="1" type="noConversion"/>
  </si>
  <si>
    <t>龙心</t>
    <phoneticPr fontId="1" type="noConversion"/>
  </si>
  <si>
    <t>光耀</t>
    <phoneticPr fontId="1" type="noConversion"/>
  </si>
  <si>
    <t>冰眼</t>
    <phoneticPr fontId="1" type="noConversion"/>
  </si>
  <si>
    <t>贵族头环</t>
    <phoneticPr fontId="1" type="noConversion"/>
  </si>
  <si>
    <t>敏捷丝袜</t>
    <phoneticPr fontId="1" type="noConversion"/>
  </si>
  <si>
    <t>加速手套</t>
    <phoneticPr fontId="1" type="noConversion"/>
  </si>
  <si>
    <t>秘银锤</t>
    <phoneticPr fontId="1" type="noConversion"/>
  </si>
  <si>
    <t>吸血面具</t>
    <phoneticPr fontId="1" type="noConversion"/>
  </si>
  <si>
    <t>洛萨</t>
    <phoneticPr fontId="1" type="noConversion"/>
  </si>
  <si>
    <t>阔剑</t>
    <phoneticPr fontId="1" type="noConversion"/>
  </si>
  <si>
    <t>锁甲</t>
    <phoneticPr fontId="1" type="noConversion"/>
  </si>
  <si>
    <t>黑黄</t>
    <phoneticPr fontId="1" type="noConversion"/>
  </si>
  <si>
    <t>小电锤</t>
    <phoneticPr fontId="1" type="noConversion"/>
  </si>
  <si>
    <t>散失</t>
    <phoneticPr fontId="1" type="noConversion"/>
  </si>
  <si>
    <t>大电锤</t>
    <phoneticPr fontId="1" type="noConversion"/>
  </si>
  <si>
    <t>魔王刀锋</t>
    <phoneticPr fontId="1" type="noConversion"/>
  </si>
  <si>
    <t>疯脸</t>
    <phoneticPr fontId="1" type="noConversion"/>
  </si>
  <si>
    <t>短棍</t>
    <phoneticPr fontId="1" type="noConversion"/>
  </si>
  <si>
    <t>大剑</t>
    <phoneticPr fontId="1" type="noConversion"/>
  </si>
  <si>
    <t>板甲</t>
    <phoneticPr fontId="1" type="noConversion"/>
  </si>
  <si>
    <t>撒旦</t>
    <phoneticPr fontId="1" type="noConversion"/>
  </si>
  <si>
    <t>虚灵</t>
    <phoneticPr fontId="1" type="noConversion"/>
  </si>
  <si>
    <t>碎骨锤</t>
    <phoneticPr fontId="1" type="noConversion"/>
  </si>
  <si>
    <t>大炮</t>
    <phoneticPr fontId="1" type="noConversion"/>
  </si>
  <si>
    <t>深渊之刃</t>
    <phoneticPr fontId="1" type="noConversion"/>
  </si>
  <si>
    <t>刷新珠</t>
    <phoneticPr fontId="1" type="noConversion"/>
  </si>
  <si>
    <t>力量护腕</t>
    <phoneticPr fontId="1" type="noConversion"/>
  </si>
  <si>
    <t>屌丝盾</t>
    <phoneticPr fontId="1" type="noConversion"/>
  </si>
  <si>
    <t>蓝杖</t>
    <phoneticPr fontId="1" type="noConversion"/>
  </si>
  <si>
    <t>绿杖</t>
    <phoneticPr fontId="1" type="noConversion"/>
  </si>
  <si>
    <t>分身斧</t>
    <phoneticPr fontId="1" type="noConversion"/>
  </si>
  <si>
    <t>魔抗头巾</t>
    <phoneticPr fontId="1" type="noConversion"/>
  </si>
  <si>
    <t>虚灵</t>
    <phoneticPr fontId="1" type="noConversion"/>
  </si>
  <si>
    <t>小魔棒</t>
    <phoneticPr fontId="1" type="noConversion"/>
  </si>
  <si>
    <t>艺人面罩</t>
    <phoneticPr fontId="1" type="noConversion"/>
  </si>
  <si>
    <t>回复戒指</t>
    <phoneticPr fontId="1" type="noConversion"/>
  </si>
  <si>
    <t>法力之球</t>
    <phoneticPr fontId="1" type="noConversion"/>
  </si>
  <si>
    <t>回复之巾</t>
    <phoneticPr fontId="1" type="noConversion"/>
  </si>
  <si>
    <t>智力长袍</t>
    <phoneticPr fontId="1" type="noConversion"/>
  </si>
  <si>
    <t>梅肯</t>
    <phoneticPr fontId="1" type="noConversion"/>
  </si>
  <si>
    <t>魂戒</t>
    <phoneticPr fontId="1" type="noConversion"/>
  </si>
  <si>
    <t>古之耐歌</t>
    <phoneticPr fontId="1" type="noConversion"/>
  </si>
  <si>
    <t>风杖</t>
    <phoneticPr fontId="1" type="noConversion"/>
  </si>
  <si>
    <t>梅肯2阶</t>
    <phoneticPr fontId="1" type="noConversion"/>
  </si>
  <si>
    <t>推推棒</t>
    <phoneticPr fontId="1" type="noConversion"/>
  </si>
  <si>
    <t>智力法杖</t>
    <phoneticPr fontId="1" type="noConversion"/>
  </si>
  <si>
    <t>祭品</t>
    <phoneticPr fontId="1" type="noConversion"/>
  </si>
  <si>
    <t>秘法鞋</t>
    <phoneticPr fontId="1" type="noConversion"/>
  </si>
  <si>
    <t>羊刀</t>
    <phoneticPr fontId="1" type="noConversion"/>
  </si>
  <si>
    <t>小人书</t>
    <phoneticPr fontId="1" type="noConversion"/>
  </si>
  <si>
    <t>梅肯3阶</t>
    <phoneticPr fontId="1" type="noConversion"/>
  </si>
  <si>
    <t>小人书2阶</t>
    <phoneticPr fontId="1" type="noConversion"/>
  </si>
  <si>
    <t>水晶法杖</t>
    <phoneticPr fontId="1" type="noConversion"/>
  </si>
  <si>
    <t>智力挂件</t>
    <phoneticPr fontId="1" type="noConversion"/>
  </si>
  <si>
    <t>冰甲</t>
    <phoneticPr fontId="1" type="noConversion"/>
  </si>
  <si>
    <t>长笛</t>
    <phoneticPr fontId="1" type="noConversion"/>
  </si>
  <si>
    <t>空明禅杖</t>
    <phoneticPr fontId="1" type="noConversion"/>
  </si>
  <si>
    <t>紫苑</t>
    <phoneticPr fontId="1" type="noConversion"/>
  </si>
  <si>
    <t>小人书3阶</t>
    <phoneticPr fontId="1" type="noConversion"/>
  </si>
  <si>
    <t>梅肯4阶</t>
    <phoneticPr fontId="1" type="noConversion"/>
  </si>
  <si>
    <t>智力之篷</t>
    <phoneticPr fontId="1" type="noConversion"/>
  </si>
  <si>
    <t>骨灰盒</t>
    <phoneticPr fontId="1" type="noConversion"/>
  </si>
  <si>
    <t>玄铁盾牌</t>
    <phoneticPr fontId="1" type="noConversion"/>
  </si>
  <si>
    <t>绿鞋</t>
    <phoneticPr fontId="1" type="noConversion"/>
  </si>
  <si>
    <t>智力假腿</t>
    <phoneticPr fontId="1" type="noConversion"/>
  </si>
  <si>
    <t>阿托斯</t>
    <phoneticPr fontId="1" type="noConversion"/>
  </si>
  <si>
    <t>红杖</t>
    <phoneticPr fontId="1" type="noConversion"/>
  </si>
  <si>
    <t>飞鞋</t>
    <phoneticPr fontId="1" type="noConversion"/>
  </si>
  <si>
    <t>红杖2阶</t>
    <phoneticPr fontId="1" type="noConversion"/>
  </si>
  <si>
    <t>血晶石</t>
    <phoneticPr fontId="1" type="noConversion"/>
  </si>
  <si>
    <t>红杖3阶</t>
    <phoneticPr fontId="1" type="noConversion"/>
  </si>
  <si>
    <t>红杖4阶</t>
    <phoneticPr fontId="1" type="noConversion"/>
  </si>
  <si>
    <t>回复之巾</t>
    <phoneticPr fontId="1" type="noConversion"/>
  </si>
  <si>
    <t>小圆盾</t>
    <phoneticPr fontId="1" type="noConversion"/>
  </si>
  <si>
    <t>智力法杖</t>
    <phoneticPr fontId="1" type="noConversion"/>
  </si>
  <si>
    <t>冲锋盾</t>
    <phoneticPr fontId="1" type="noConversion"/>
  </si>
  <si>
    <t>古之耐歌</t>
    <phoneticPr fontId="1" type="noConversion"/>
  </si>
  <si>
    <t>智力挂件</t>
    <phoneticPr fontId="1" type="noConversion"/>
  </si>
  <si>
    <t>力量护腕</t>
    <phoneticPr fontId="1" type="noConversion"/>
  </si>
  <si>
    <t>鞋</t>
    <phoneticPr fontId="1" type="noConversion"/>
  </si>
  <si>
    <t>红杖</t>
    <phoneticPr fontId="1" type="noConversion"/>
  </si>
  <si>
    <t>空明禅杖</t>
    <phoneticPr fontId="1" type="noConversion"/>
  </si>
  <si>
    <t>生命之球</t>
    <phoneticPr fontId="1" type="noConversion"/>
  </si>
  <si>
    <t>智力假腿</t>
    <phoneticPr fontId="1" type="noConversion"/>
  </si>
  <si>
    <t>阿托斯</t>
    <phoneticPr fontId="1" type="noConversion"/>
  </si>
  <si>
    <t>洛萨</t>
    <phoneticPr fontId="1" type="noConversion"/>
  </si>
  <si>
    <t>黑黄</t>
    <phoneticPr fontId="1" type="noConversion"/>
  </si>
  <si>
    <t>空明禅杖</t>
    <phoneticPr fontId="1" type="noConversion"/>
  </si>
  <si>
    <t>智力挂件</t>
    <phoneticPr fontId="1" type="noConversion"/>
  </si>
  <si>
    <t>紫苑</t>
    <phoneticPr fontId="1" type="noConversion"/>
  </si>
  <si>
    <t>红杖2阶</t>
    <phoneticPr fontId="1" type="noConversion"/>
  </si>
  <si>
    <t>小人书</t>
    <phoneticPr fontId="1" type="noConversion"/>
  </si>
  <si>
    <t>智力长袍</t>
    <phoneticPr fontId="1" type="noConversion"/>
  </si>
  <si>
    <t>秘法鞋</t>
    <phoneticPr fontId="1" type="noConversion"/>
  </si>
  <si>
    <t>羊刀</t>
    <phoneticPr fontId="1" type="noConversion"/>
  </si>
  <si>
    <t>长笛</t>
    <phoneticPr fontId="1" type="noConversion"/>
  </si>
  <si>
    <t>刷新珠</t>
    <phoneticPr fontId="1" type="noConversion"/>
  </si>
  <si>
    <t>冲锋盾</t>
    <phoneticPr fontId="1" type="noConversion"/>
  </si>
  <si>
    <t>板甲</t>
    <phoneticPr fontId="1" type="noConversion"/>
  </si>
  <si>
    <t>强袭</t>
    <phoneticPr fontId="1" type="noConversion"/>
  </si>
  <si>
    <t>林肯</t>
    <phoneticPr fontId="1" type="noConversion"/>
  </si>
  <si>
    <t>古之耐歌</t>
    <phoneticPr fontId="1" type="noConversion"/>
  </si>
  <si>
    <t>红杖3阶</t>
    <phoneticPr fontId="1" type="noConversion"/>
  </si>
  <si>
    <t>水晶法杖</t>
    <phoneticPr fontId="1" type="noConversion"/>
  </si>
  <si>
    <t>推推棒</t>
    <phoneticPr fontId="1" type="noConversion"/>
  </si>
  <si>
    <t>空明禅杖</t>
    <phoneticPr fontId="1" type="noConversion"/>
  </si>
  <si>
    <t>红杖4阶</t>
    <phoneticPr fontId="1" type="noConversion"/>
  </si>
  <si>
    <t>黑黄</t>
    <phoneticPr fontId="1" type="noConversion"/>
  </si>
  <si>
    <t>小魔棒</t>
    <phoneticPr fontId="1" type="noConversion"/>
  </si>
  <si>
    <t>大魔杖</t>
    <phoneticPr fontId="1" type="noConversion"/>
  </si>
  <si>
    <t>智力长袍</t>
    <phoneticPr fontId="1" type="noConversion"/>
  </si>
  <si>
    <t>回复之巾</t>
    <phoneticPr fontId="1" type="noConversion"/>
  </si>
  <si>
    <t>红杖</t>
    <phoneticPr fontId="1" type="noConversion"/>
  </si>
  <si>
    <t>绿杖</t>
    <phoneticPr fontId="1" type="noConversion"/>
  </si>
  <si>
    <t>魂戒</t>
    <phoneticPr fontId="1" type="noConversion"/>
  </si>
  <si>
    <t>智力挂件</t>
    <phoneticPr fontId="1" type="noConversion"/>
  </si>
  <si>
    <t>鞋</t>
    <phoneticPr fontId="1" type="noConversion"/>
  </si>
  <si>
    <t>风杖</t>
    <phoneticPr fontId="1" type="noConversion"/>
  </si>
  <si>
    <t>推推棒</t>
    <phoneticPr fontId="1" type="noConversion"/>
  </si>
  <si>
    <t>法力之球</t>
    <phoneticPr fontId="1" type="noConversion"/>
  </si>
  <si>
    <t>力量护腕</t>
    <phoneticPr fontId="1" type="noConversion"/>
  </si>
  <si>
    <t>秘法鞋</t>
    <phoneticPr fontId="1" type="noConversion"/>
  </si>
  <si>
    <t>红杖2阶</t>
    <phoneticPr fontId="1" type="noConversion"/>
  </si>
  <si>
    <t>极限球</t>
    <phoneticPr fontId="1" type="noConversion"/>
  </si>
  <si>
    <t>法力之球</t>
    <phoneticPr fontId="1" type="noConversion"/>
  </si>
  <si>
    <t>小人书2阶</t>
    <phoneticPr fontId="1" type="noConversion"/>
  </si>
  <si>
    <t>羊刀</t>
    <phoneticPr fontId="1" type="noConversion"/>
  </si>
  <si>
    <t>智力长袍</t>
    <phoneticPr fontId="1" type="noConversion"/>
  </si>
  <si>
    <t>血晶石</t>
    <phoneticPr fontId="1" type="noConversion"/>
  </si>
  <si>
    <t>水晶法杖</t>
    <phoneticPr fontId="1" type="noConversion"/>
  </si>
  <si>
    <t>虚灵</t>
    <phoneticPr fontId="1" type="noConversion"/>
  </si>
  <si>
    <t>刷新珠</t>
    <phoneticPr fontId="1" type="noConversion"/>
  </si>
  <si>
    <t>极限球</t>
    <phoneticPr fontId="1" type="noConversion"/>
  </si>
  <si>
    <t>绿杖</t>
    <phoneticPr fontId="1" type="noConversion"/>
  </si>
  <si>
    <t>红杖4阶</t>
    <phoneticPr fontId="1" type="noConversion"/>
  </si>
  <si>
    <t>小人书3阶</t>
    <phoneticPr fontId="1" type="noConversion"/>
  </si>
  <si>
    <t>蓝杖</t>
    <phoneticPr fontId="1" type="noConversion"/>
  </si>
  <si>
    <t>黑黄</t>
    <phoneticPr fontId="1" type="noConversion"/>
  </si>
  <si>
    <t>贵族头环</t>
    <phoneticPr fontId="1" type="noConversion"/>
  </si>
  <si>
    <t>艺人面罩</t>
    <phoneticPr fontId="1" type="noConversion"/>
  </si>
  <si>
    <t>防御指环</t>
    <phoneticPr fontId="1" type="noConversion"/>
  </si>
  <si>
    <t>圣殿指环</t>
    <phoneticPr fontId="1" type="noConversion"/>
  </si>
  <si>
    <t>回复戒指</t>
    <phoneticPr fontId="1" type="noConversion"/>
  </si>
  <si>
    <t>秘银锤</t>
    <phoneticPr fontId="1" type="noConversion"/>
  </si>
  <si>
    <t>梅肯</t>
    <phoneticPr fontId="1" type="noConversion"/>
  </si>
  <si>
    <t>攻击利爪</t>
    <phoneticPr fontId="1" type="noConversion"/>
  </si>
  <si>
    <t>治疗指环</t>
    <phoneticPr fontId="1" type="noConversion"/>
  </si>
  <si>
    <t>智力法杖</t>
    <phoneticPr fontId="1" type="noConversion"/>
  </si>
  <si>
    <t>大剑</t>
    <phoneticPr fontId="1" type="noConversion"/>
  </si>
  <si>
    <t>坚韧法球</t>
    <phoneticPr fontId="1" type="noConversion"/>
  </si>
  <si>
    <t>相位鞋</t>
    <phoneticPr fontId="1" type="noConversion"/>
  </si>
  <si>
    <t>洛萨</t>
    <phoneticPr fontId="1" type="noConversion"/>
  </si>
  <si>
    <t>空明禅杖</t>
    <phoneticPr fontId="1" type="noConversion"/>
  </si>
  <si>
    <t>吸血面具</t>
    <phoneticPr fontId="1" type="noConversion"/>
  </si>
  <si>
    <t>紫苑</t>
    <phoneticPr fontId="1" type="noConversion"/>
  </si>
  <si>
    <t>支配</t>
    <phoneticPr fontId="1" type="noConversion"/>
  </si>
  <si>
    <t>虚空宝石</t>
    <phoneticPr fontId="1" type="noConversion"/>
  </si>
  <si>
    <t>羊刀</t>
    <phoneticPr fontId="1" type="noConversion"/>
  </si>
  <si>
    <t>林肯</t>
    <phoneticPr fontId="1" type="noConversion"/>
  </si>
  <si>
    <t>小电锤</t>
    <phoneticPr fontId="1" type="noConversion"/>
  </si>
  <si>
    <t>板甲</t>
    <phoneticPr fontId="1" type="noConversion"/>
  </si>
  <si>
    <t>智力挂件</t>
    <phoneticPr fontId="1" type="noConversion"/>
  </si>
  <si>
    <t>冰甲</t>
    <phoneticPr fontId="1" type="noConversion"/>
  </si>
  <si>
    <t>大电锤</t>
    <phoneticPr fontId="1" type="noConversion"/>
  </si>
  <si>
    <t>推推棒</t>
    <phoneticPr fontId="1" type="noConversion"/>
  </si>
  <si>
    <t>标枪</t>
    <phoneticPr fontId="1" type="noConversion"/>
  </si>
  <si>
    <t>深渊之刃</t>
    <phoneticPr fontId="1" type="noConversion"/>
  </si>
  <si>
    <t>冰眼</t>
    <phoneticPr fontId="1" type="noConversion"/>
  </si>
  <si>
    <t>水晶法杖</t>
    <phoneticPr fontId="1" type="noConversion"/>
  </si>
  <si>
    <t>水晶剑</t>
    <phoneticPr fontId="1" type="noConversion"/>
  </si>
  <si>
    <t>大炮</t>
    <phoneticPr fontId="1" type="noConversion"/>
  </si>
  <si>
    <t>金箍棒</t>
    <phoneticPr fontId="1" type="noConversion"/>
  </si>
  <si>
    <t>强袭</t>
    <phoneticPr fontId="1" type="noConversion"/>
  </si>
  <si>
    <t>风杖</t>
    <phoneticPr fontId="1" type="noConversion"/>
  </si>
  <si>
    <t>力量拳套</t>
    <phoneticPr fontId="1" type="noConversion"/>
  </si>
  <si>
    <t>玄铁盾牌</t>
    <phoneticPr fontId="1" type="noConversion"/>
  </si>
  <si>
    <t>回复之巾</t>
    <phoneticPr fontId="1" type="noConversion"/>
  </si>
  <si>
    <t>力量护腕</t>
    <phoneticPr fontId="1" type="noConversion"/>
  </si>
  <si>
    <t>法力之球</t>
    <phoneticPr fontId="1" type="noConversion"/>
  </si>
  <si>
    <t>红杖</t>
    <phoneticPr fontId="1" type="noConversion"/>
  </si>
  <si>
    <t>梅肯</t>
    <phoneticPr fontId="1" type="noConversion"/>
  </si>
  <si>
    <t>智力长袍</t>
    <phoneticPr fontId="1" type="noConversion"/>
  </si>
  <si>
    <t>鞋</t>
    <phoneticPr fontId="1" type="noConversion"/>
  </si>
  <si>
    <t>小人书</t>
    <phoneticPr fontId="1" type="noConversion"/>
  </si>
  <si>
    <t>秘法鞋</t>
    <phoneticPr fontId="1" type="noConversion"/>
  </si>
  <si>
    <t>振魂玫瑰</t>
    <phoneticPr fontId="1" type="noConversion"/>
  </si>
  <si>
    <t>纷争</t>
    <phoneticPr fontId="1" type="noConversion"/>
  </si>
  <si>
    <t>红杖2阶</t>
    <phoneticPr fontId="1" type="noConversion"/>
  </si>
  <si>
    <t>生命之球</t>
    <phoneticPr fontId="1" type="noConversion"/>
  </si>
  <si>
    <t>红杖3阶</t>
    <phoneticPr fontId="1" type="noConversion"/>
  </si>
  <si>
    <t>长笛</t>
    <phoneticPr fontId="1" type="noConversion"/>
  </si>
  <si>
    <t>力量之斧</t>
    <phoneticPr fontId="1" type="noConversion"/>
  </si>
  <si>
    <t>智力之篷</t>
    <phoneticPr fontId="1" type="noConversion"/>
  </si>
  <si>
    <t>小魔棒</t>
    <phoneticPr fontId="1" type="noConversion"/>
  </si>
  <si>
    <t>大魔杖</t>
    <phoneticPr fontId="1" type="noConversion"/>
  </si>
  <si>
    <t>古之耐歌</t>
    <phoneticPr fontId="1" type="noConversion"/>
  </si>
  <si>
    <t>玄铁盾牌</t>
    <phoneticPr fontId="1" type="noConversion"/>
  </si>
  <si>
    <t>骨灰盒</t>
    <phoneticPr fontId="1" type="noConversion"/>
  </si>
  <si>
    <t>阿托斯</t>
    <phoneticPr fontId="1" type="noConversion"/>
  </si>
  <si>
    <t>魔抗头巾</t>
    <phoneticPr fontId="1" type="noConversion"/>
  </si>
  <si>
    <t>冲锋盾</t>
    <phoneticPr fontId="1" type="noConversion"/>
  </si>
  <si>
    <t>血晶石</t>
    <phoneticPr fontId="1" type="noConversion"/>
  </si>
  <si>
    <t>祭品</t>
    <phoneticPr fontId="1" type="noConversion"/>
  </si>
  <si>
    <t>龙心</t>
    <phoneticPr fontId="1" type="noConversion"/>
  </si>
  <si>
    <t>绿鞋</t>
    <phoneticPr fontId="1" type="noConversion"/>
  </si>
  <si>
    <t>元气之球</t>
    <phoneticPr fontId="1" type="noConversion"/>
  </si>
  <si>
    <t>智力假腿</t>
    <phoneticPr fontId="1" type="noConversion"/>
  </si>
  <si>
    <t>智力假腿</t>
    <phoneticPr fontId="1" type="noConversion"/>
  </si>
  <si>
    <t>飞鞋</t>
    <phoneticPr fontId="1" type="noConversion"/>
  </si>
  <si>
    <t>魂戒</t>
    <phoneticPr fontId="1" type="noConversion"/>
  </si>
  <si>
    <t>小人书2阶</t>
    <phoneticPr fontId="1" type="noConversion"/>
  </si>
  <si>
    <t>贵族头环</t>
    <phoneticPr fontId="1" type="noConversion"/>
  </si>
  <si>
    <t>回复戒指</t>
    <phoneticPr fontId="1" type="noConversion"/>
  </si>
  <si>
    <t>防御指环</t>
    <phoneticPr fontId="1" type="noConversion"/>
  </si>
  <si>
    <t>圣殿指环</t>
    <phoneticPr fontId="1" type="noConversion"/>
  </si>
  <si>
    <t>小魔棒</t>
    <phoneticPr fontId="1" type="noConversion"/>
  </si>
  <si>
    <t>骨灰盒</t>
    <phoneticPr fontId="1" type="noConversion"/>
  </si>
  <si>
    <t>魔抗斗篷</t>
    <phoneticPr fontId="1" type="noConversion"/>
  </si>
  <si>
    <t>元气之球</t>
    <phoneticPr fontId="1" type="noConversion"/>
  </si>
  <si>
    <t>生命之球</t>
    <phoneticPr fontId="1" type="noConversion"/>
  </si>
  <si>
    <t>古之耐歌</t>
    <phoneticPr fontId="1" type="noConversion"/>
  </si>
  <si>
    <t>法力之球</t>
    <phoneticPr fontId="1" type="noConversion"/>
  </si>
  <si>
    <t>智力长袍</t>
    <phoneticPr fontId="1" type="noConversion"/>
  </si>
  <si>
    <t>风杖</t>
    <phoneticPr fontId="1" type="noConversion"/>
  </si>
  <si>
    <t>推推棒</t>
    <phoneticPr fontId="1" type="noConversion"/>
  </si>
  <si>
    <t>秘法鞋</t>
    <phoneticPr fontId="1" type="noConversion"/>
  </si>
  <si>
    <t>红杖</t>
    <phoneticPr fontId="1" type="noConversion"/>
  </si>
  <si>
    <t>勇气勋章</t>
    <phoneticPr fontId="1" type="noConversion"/>
  </si>
  <si>
    <t>魔抗头巾</t>
    <phoneticPr fontId="1" type="noConversion"/>
  </si>
  <si>
    <t>极限球</t>
    <phoneticPr fontId="1" type="noConversion"/>
  </si>
  <si>
    <t>纷争</t>
    <phoneticPr fontId="1" type="noConversion"/>
  </si>
  <si>
    <t>智力挂件</t>
    <phoneticPr fontId="1" type="noConversion"/>
  </si>
  <si>
    <t>长笛</t>
    <phoneticPr fontId="1" type="noConversion"/>
  </si>
  <si>
    <t>黑黄</t>
    <phoneticPr fontId="1" type="noConversion"/>
  </si>
  <si>
    <t>阿托斯</t>
    <phoneticPr fontId="1" type="noConversion"/>
  </si>
  <si>
    <t>飞鞋</t>
    <phoneticPr fontId="1" type="noConversion"/>
  </si>
  <si>
    <t>冰甲</t>
    <phoneticPr fontId="1" type="noConversion"/>
  </si>
  <si>
    <t>林肯</t>
    <phoneticPr fontId="1" type="noConversion"/>
  </si>
  <si>
    <t>小人书3阶</t>
    <phoneticPr fontId="1" type="noConversion"/>
  </si>
  <si>
    <t>分身斧</t>
    <phoneticPr fontId="1" type="noConversion"/>
  </si>
  <si>
    <t>冰眼</t>
    <phoneticPr fontId="1" type="noConversion"/>
  </si>
  <si>
    <t>艺人面罩</t>
    <phoneticPr fontId="1" type="noConversion"/>
  </si>
  <si>
    <t>小圆盾</t>
    <phoneticPr fontId="1" type="noConversion"/>
  </si>
  <si>
    <t>魂戒</t>
    <phoneticPr fontId="1" type="noConversion"/>
  </si>
  <si>
    <t>力量护腕</t>
    <phoneticPr fontId="1" type="noConversion"/>
  </si>
  <si>
    <t>梅肯</t>
    <phoneticPr fontId="1" type="noConversion"/>
  </si>
  <si>
    <t>冲锋盾</t>
    <phoneticPr fontId="1" type="noConversion"/>
  </si>
  <si>
    <t>智力法杖</t>
    <phoneticPr fontId="1" type="noConversion"/>
  </si>
  <si>
    <t>大魔杖</t>
    <phoneticPr fontId="1" type="noConversion"/>
  </si>
  <si>
    <t>蓝杖</t>
    <phoneticPr fontId="1" type="noConversion"/>
  </si>
  <si>
    <t>绿杖</t>
    <phoneticPr fontId="1" type="noConversion"/>
  </si>
  <si>
    <t>虚空宝石</t>
    <phoneticPr fontId="1" type="noConversion"/>
  </si>
  <si>
    <t>鞋</t>
    <phoneticPr fontId="1" type="noConversion"/>
  </si>
  <si>
    <t>智力假腿</t>
    <phoneticPr fontId="1" type="noConversion"/>
  </si>
  <si>
    <t>红杖2阶</t>
    <phoneticPr fontId="1" type="noConversion"/>
  </si>
  <si>
    <t>龙心</t>
    <phoneticPr fontId="1" type="noConversion"/>
  </si>
  <si>
    <t>水晶法杖</t>
    <phoneticPr fontId="1" type="noConversion"/>
  </si>
  <si>
    <t>板甲</t>
    <phoneticPr fontId="1" type="noConversion"/>
  </si>
  <si>
    <t>力量之斧</t>
    <phoneticPr fontId="1" type="noConversion"/>
  </si>
  <si>
    <t>光耀</t>
    <phoneticPr fontId="1" type="noConversion"/>
  </si>
  <si>
    <t>小人书</t>
    <phoneticPr fontId="1" type="noConversion"/>
  </si>
  <si>
    <t>祭品</t>
    <phoneticPr fontId="1" type="noConversion"/>
  </si>
  <si>
    <t>坚韧法球</t>
    <phoneticPr fontId="1" type="noConversion"/>
  </si>
  <si>
    <t>刷新珠</t>
    <phoneticPr fontId="1" type="noConversion"/>
  </si>
  <si>
    <t>梅肯3阶</t>
    <phoneticPr fontId="1" type="noConversion"/>
  </si>
  <si>
    <t>回复之巾</t>
    <phoneticPr fontId="1" type="noConversion"/>
  </si>
  <si>
    <t>梅肯4阶</t>
    <phoneticPr fontId="1" type="noConversion"/>
  </si>
  <si>
    <t>血晶石</t>
    <phoneticPr fontId="1" type="noConversion"/>
  </si>
  <si>
    <t>振魂玫瑰</t>
    <phoneticPr fontId="1" type="noConversion"/>
  </si>
  <si>
    <t>洛萨</t>
    <phoneticPr fontId="1" type="noConversion"/>
  </si>
  <si>
    <t>羊刀</t>
    <phoneticPr fontId="1" type="noConversion"/>
  </si>
  <si>
    <t>紫苑</t>
    <phoneticPr fontId="1" type="noConversion"/>
  </si>
  <si>
    <t>小人书2阶</t>
    <phoneticPr fontId="1" type="noConversion"/>
  </si>
  <si>
    <t>虚灵</t>
    <phoneticPr fontId="1" type="noConversion"/>
  </si>
  <si>
    <t>小人书2阶</t>
    <phoneticPr fontId="1" type="noConversion"/>
  </si>
  <si>
    <t>树枝</t>
    <phoneticPr fontId="1" type="noConversion"/>
  </si>
  <si>
    <t>武士头盔</t>
    <phoneticPr fontId="1" type="noConversion"/>
  </si>
  <si>
    <t>空明禅杖</t>
    <phoneticPr fontId="1" type="noConversion"/>
  </si>
  <si>
    <t>小人书3阶</t>
    <phoneticPr fontId="1" type="noConversion"/>
  </si>
  <si>
    <t>智力之篷</t>
    <phoneticPr fontId="1" type="noConversion"/>
  </si>
  <si>
    <t>攻击利爪</t>
    <phoneticPr fontId="1" type="noConversion"/>
  </si>
  <si>
    <t>锁甲</t>
    <phoneticPr fontId="1" type="noConversion"/>
  </si>
  <si>
    <t>相位鞋</t>
    <phoneticPr fontId="1" type="noConversion"/>
  </si>
  <si>
    <t>强袭</t>
    <phoneticPr fontId="1" type="noConversion"/>
  </si>
  <si>
    <t>http://dtcq.pipaw.com/yxsj/</t>
    <phoneticPr fontId="1" type="noConversion"/>
  </si>
  <si>
    <t>装备表</t>
    <phoneticPr fontId="1" type="noConversion"/>
  </si>
  <si>
    <t xml:space="preserve"> </t>
    <phoneticPr fontId="1" type="noConversion"/>
  </si>
  <si>
    <t>阶次</t>
    <phoneticPr fontId="1" type="noConversion"/>
  </si>
  <si>
    <t>白→绿</t>
    <phoneticPr fontId="1" type="noConversion"/>
  </si>
  <si>
    <t>绿→绿+1</t>
    <phoneticPr fontId="1" type="noConversion"/>
  </si>
  <si>
    <t>绿+1→蓝</t>
    <phoneticPr fontId="1" type="noConversion"/>
  </si>
  <si>
    <t>蓝→蓝+1</t>
    <phoneticPr fontId="1" type="noConversion"/>
  </si>
  <si>
    <t>蓝+1→蓝+2</t>
    <phoneticPr fontId="1" type="noConversion"/>
  </si>
  <si>
    <t>蓝+2→紫</t>
    <phoneticPr fontId="1" type="noConversion"/>
  </si>
  <si>
    <t>紫→紫+1</t>
    <phoneticPr fontId="1" type="noConversion"/>
  </si>
  <si>
    <t>紫+1→紫+2</t>
    <phoneticPr fontId="1" type="noConversion"/>
  </si>
  <si>
    <t>紫+2→紫+3</t>
    <phoneticPr fontId="1" type="noConversion"/>
  </si>
  <si>
    <t>英雄列表</t>
    <phoneticPr fontId="1" type="noConversion"/>
  </si>
  <si>
    <t>英雄成长</t>
    <phoneticPr fontId="1" type="noConversion"/>
  </si>
  <si>
    <t>星数限制</t>
    <phoneticPr fontId="1" type="noConversion"/>
  </si>
  <si>
    <t>★</t>
    <phoneticPr fontId="1" type="noConversion"/>
  </si>
  <si>
    <t>★★</t>
    <phoneticPr fontId="1" type="noConversion"/>
  </si>
  <si>
    <t>★★★</t>
    <phoneticPr fontId="1" type="noConversion"/>
  </si>
  <si>
    <t>★★★★</t>
    <phoneticPr fontId="1" type="noConversion"/>
  </si>
  <si>
    <t>★★★★★</t>
    <phoneticPr fontId="1" type="noConversion"/>
  </si>
  <si>
    <t>卡色限制</t>
    <phoneticPr fontId="1" type="noConversion"/>
  </si>
  <si>
    <t>卡色判定</t>
    <phoneticPr fontId="1" type="noConversion"/>
  </si>
  <si>
    <t>→绿</t>
    <phoneticPr fontId="1" type="noConversion"/>
  </si>
  <si>
    <t>→绿+1</t>
    <phoneticPr fontId="1" type="noConversion"/>
  </si>
  <si>
    <t>→蓝</t>
    <phoneticPr fontId="1" type="noConversion"/>
  </si>
  <si>
    <t>→蓝+1</t>
    <phoneticPr fontId="1" type="noConversion"/>
  </si>
  <si>
    <t>→蓝+2</t>
    <phoneticPr fontId="1" type="noConversion"/>
  </si>
  <si>
    <t>→紫</t>
    <phoneticPr fontId="1" type="noConversion"/>
  </si>
  <si>
    <t>→紫+1</t>
    <phoneticPr fontId="1" type="noConversion"/>
  </si>
  <si>
    <t>→紫+2</t>
  </si>
  <si>
    <t>→紫+3</t>
  </si>
  <si>
    <t>装备列表</t>
    <phoneticPr fontId="1" type="noConversion"/>
  </si>
  <si>
    <t>暂无</t>
    <phoneticPr fontId="1" type="noConversion"/>
  </si>
  <si>
    <t>白字属性</t>
    <phoneticPr fontId="1" type="noConversion"/>
  </si>
  <si>
    <t>绿字属性</t>
    <phoneticPr fontId="1" type="noConversion"/>
  </si>
  <si>
    <t>次属性</t>
    <phoneticPr fontId="1" type="noConversion"/>
  </si>
  <si>
    <t>属性列表</t>
    <phoneticPr fontId="1" type="noConversion"/>
  </si>
  <si>
    <t>装备</t>
    <phoneticPr fontId="1" type="noConversion"/>
  </si>
  <si>
    <t>色卡代号</t>
    <phoneticPr fontId="1" type="noConversion"/>
  </si>
  <si>
    <t>总和</t>
    <phoneticPr fontId="1" type="noConversion"/>
  </si>
  <si>
    <t>有效定位</t>
    <phoneticPr fontId="1" type="noConversion"/>
  </si>
  <si>
    <t>附魔星数</t>
    <phoneticPr fontId="1" type="noConversion"/>
  </si>
  <si>
    <t>白装</t>
    <phoneticPr fontId="1" type="noConversion"/>
  </si>
  <si>
    <t>绿装</t>
    <phoneticPr fontId="1" type="noConversion"/>
  </si>
  <si>
    <t>蓝装</t>
    <phoneticPr fontId="1" type="noConversion"/>
  </si>
  <si>
    <t>紫装</t>
    <phoneticPr fontId="1" type="noConversion"/>
  </si>
  <si>
    <t>☆</t>
  </si>
  <si>
    <t>☆</t>
    <phoneticPr fontId="1" type="noConversion"/>
  </si>
  <si>
    <t>☆☆☆</t>
    <phoneticPr fontId="1" type="noConversion"/>
  </si>
  <si>
    <t>无</t>
    <phoneticPr fontId="1" type="noConversion"/>
  </si>
  <si>
    <t>☆☆</t>
    <phoneticPr fontId="1" type="noConversion"/>
  </si>
  <si>
    <t>☆☆☆☆</t>
    <phoneticPr fontId="1" type="noConversion"/>
  </si>
  <si>
    <t>☆☆☆☆☆</t>
    <phoneticPr fontId="1" type="noConversion"/>
  </si>
  <si>
    <t>本阶基础</t>
    <phoneticPr fontId="1" type="noConversion"/>
  </si>
  <si>
    <t>本阶附魔</t>
    <phoneticPr fontId="1" type="noConversion"/>
  </si>
  <si>
    <t>前阶属性</t>
    <phoneticPr fontId="1" type="noConversion"/>
  </si>
  <si>
    <t>主属性</t>
    <phoneticPr fontId="1" type="noConversion"/>
  </si>
  <si>
    <t>等级属性</t>
    <phoneticPr fontId="1" type="noConversion"/>
  </si>
  <si>
    <t>初始</t>
    <phoneticPr fontId="1" type="noConversion"/>
  </si>
  <si>
    <t>力量</t>
    <phoneticPr fontId="1" type="noConversion"/>
  </si>
  <si>
    <t>敏捷</t>
    <phoneticPr fontId="1" type="noConversion"/>
  </si>
  <si>
    <t>智力</t>
    <phoneticPr fontId="1" type="noConversion"/>
  </si>
  <si>
    <t>装备限制</t>
    <phoneticPr fontId="1" type="noConversion"/>
  </si>
  <si>
    <t>英雄选择</t>
    <phoneticPr fontId="1" type="noConversion"/>
  </si>
  <si>
    <t>装备列表</t>
    <phoneticPr fontId="1" type="noConversion"/>
  </si>
  <si>
    <r>
      <rPr>
        <sz val="11"/>
        <color indexed="8"/>
        <rFont val="宋体"/>
        <family val="3"/>
        <charset val="134"/>
      </rPr>
      <t>装备表</t>
    </r>
    <phoneticPr fontId="1" type="noConversion"/>
  </si>
  <si>
    <t>英雄名称</t>
    <phoneticPr fontId="1" type="noConversion"/>
  </si>
  <si>
    <t>主属性</t>
    <phoneticPr fontId="1" type="noConversion"/>
  </si>
  <si>
    <r>
      <rPr>
        <sz val="11"/>
        <color indexed="9"/>
        <rFont val="宋体"/>
        <family val="3"/>
        <charset val="134"/>
      </rPr>
      <t>树枝</t>
    </r>
    <phoneticPr fontId="1" type="noConversion"/>
  </si>
  <si>
    <r>
      <rPr>
        <sz val="11"/>
        <color indexed="9"/>
        <rFont val="宋体"/>
        <family val="3"/>
        <charset val="134"/>
      </rPr>
      <t>小毒球</t>
    </r>
    <phoneticPr fontId="1" type="noConversion"/>
  </si>
  <si>
    <r>
      <rPr>
        <sz val="11"/>
        <color indexed="9"/>
        <rFont val="宋体"/>
        <family val="3"/>
        <charset val="134"/>
      </rPr>
      <t>力量之斧</t>
    </r>
    <phoneticPr fontId="1" type="noConversion"/>
  </si>
  <si>
    <r>
      <rPr>
        <sz val="11"/>
        <color indexed="9"/>
        <rFont val="宋体"/>
        <family val="3"/>
        <charset val="134"/>
      </rPr>
      <t>闪避项链</t>
    </r>
    <phoneticPr fontId="1" type="noConversion"/>
  </si>
  <si>
    <t>星数</t>
    <phoneticPr fontId="1" type="noConversion"/>
  </si>
  <si>
    <t>英雄成长</t>
    <phoneticPr fontId="1" type="noConversion"/>
  </si>
  <si>
    <t>力量</t>
    <phoneticPr fontId="1" type="noConversion"/>
  </si>
  <si>
    <r>
      <rPr>
        <sz val="11"/>
        <color indexed="9"/>
        <rFont val="宋体"/>
        <family val="3"/>
        <charset val="134"/>
      </rPr>
      <t>力量拳套</t>
    </r>
    <phoneticPr fontId="1" type="noConversion"/>
  </si>
  <si>
    <r>
      <rPr>
        <sz val="11"/>
        <color indexed="9"/>
        <rFont val="宋体"/>
        <family val="3"/>
        <charset val="134"/>
      </rPr>
      <t>力量腰带</t>
    </r>
    <phoneticPr fontId="1" type="noConversion"/>
  </si>
  <si>
    <r>
      <rPr>
        <sz val="11"/>
        <color indexed="9"/>
        <rFont val="宋体"/>
        <family val="3"/>
        <charset val="134"/>
      </rPr>
      <t>敏捷之刃</t>
    </r>
    <phoneticPr fontId="1" type="noConversion"/>
  </si>
  <si>
    <r>
      <rPr>
        <sz val="11"/>
        <color indexed="9"/>
        <rFont val="宋体"/>
        <family val="3"/>
        <charset val="134"/>
      </rPr>
      <t>极限球</t>
    </r>
    <phoneticPr fontId="1" type="noConversion"/>
  </si>
  <si>
    <t>级别</t>
    <phoneticPr fontId="1" type="noConversion"/>
  </si>
  <si>
    <t>敏捷</t>
    <phoneticPr fontId="1" type="noConversion"/>
  </si>
  <si>
    <r>
      <rPr>
        <sz val="11"/>
        <color indexed="9"/>
        <rFont val="宋体"/>
        <family val="3"/>
        <charset val="134"/>
      </rPr>
      <t>敏捷丝袜</t>
    </r>
    <phoneticPr fontId="1" type="noConversion"/>
  </si>
  <si>
    <r>
      <rPr>
        <sz val="11"/>
        <color indexed="9"/>
        <rFont val="宋体"/>
        <family val="3"/>
        <charset val="134"/>
      </rPr>
      <t>敏捷皮靴</t>
    </r>
    <phoneticPr fontId="1" type="noConversion"/>
  </si>
  <si>
    <r>
      <rPr>
        <sz val="11"/>
        <color indexed="9"/>
        <rFont val="宋体"/>
        <family val="3"/>
        <charset val="134"/>
      </rPr>
      <t>智力法杖</t>
    </r>
    <phoneticPr fontId="1" type="noConversion"/>
  </si>
  <si>
    <r>
      <rPr>
        <sz val="11"/>
        <color indexed="9"/>
        <rFont val="宋体"/>
        <family val="3"/>
        <charset val="134"/>
      </rPr>
      <t>振奋石</t>
    </r>
    <phoneticPr fontId="1" type="noConversion"/>
  </si>
  <si>
    <t>卡色</t>
    <phoneticPr fontId="1" type="noConversion"/>
  </si>
  <si>
    <t>智力</t>
    <phoneticPr fontId="1" type="noConversion"/>
  </si>
  <si>
    <r>
      <rPr>
        <sz val="11"/>
        <color indexed="9"/>
        <rFont val="宋体"/>
        <family val="3"/>
        <charset val="134"/>
      </rPr>
      <t>智力之篷</t>
    </r>
    <phoneticPr fontId="1" type="noConversion"/>
  </si>
  <si>
    <r>
      <rPr>
        <sz val="11"/>
        <color indexed="9"/>
        <rFont val="宋体"/>
        <family val="3"/>
        <charset val="134"/>
      </rPr>
      <t>智力长袍</t>
    </r>
    <phoneticPr fontId="1" type="noConversion"/>
  </si>
  <si>
    <r>
      <rPr>
        <sz val="11"/>
        <color indexed="9"/>
        <rFont val="宋体"/>
        <family val="3"/>
        <charset val="134"/>
      </rPr>
      <t>阔剑</t>
    </r>
    <phoneticPr fontId="1" type="noConversion"/>
  </si>
  <si>
    <r>
      <rPr>
        <sz val="11"/>
        <color indexed="9"/>
        <rFont val="宋体"/>
        <family val="3"/>
        <charset val="134"/>
      </rPr>
      <t>魔王刀锋</t>
    </r>
    <phoneticPr fontId="1" type="noConversion"/>
  </si>
  <si>
    <r>
      <rPr>
        <sz val="11"/>
        <color indexed="9"/>
        <rFont val="宋体"/>
        <family val="3"/>
        <charset val="134"/>
      </rPr>
      <t>防御指环</t>
    </r>
    <phoneticPr fontId="1" type="noConversion"/>
  </si>
  <si>
    <r>
      <rPr>
        <sz val="11"/>
        <color indexed="9"/>
        <rFont val="宋体"/>
        <family val="3"/>
        <charset val="134"/>
      </rPr>
      <t>加速手套</t>
    </r>
    <phoneticPr fontId="1" type="noConversion"/>
  </si>
  <si>
    <r>
      <rPr>
        <sz val="11"/>
        <color indexed="9"/>
        <rFont val="宋体"/>
        <family val="3"/>
        <charset val="134"/>
      </rPr>
      <t>大剑</t>
    </r>
    <phoneticPr fontId="1" type="noConversion"/>
  </si>
  <si>
    <r>
      <rPr>
        <sz val="11"/>
        <color indexed="9"/>
        <rFont val="宋体"/>
        <family val="3"/>
        <charset val="134"/>
      </rPr>
      <t>掠夺之斧</t>
    </r>
    <phoneticPr fontId="1" type="noConversion"/>
  </si>
  <si>
    <r>
      <rPr>
        <sz val="11"/>
        <color indexed="9"/>
        <rFont val="宋体"/>
        <family val="3"/>
        <charset val="134"/>
      </rPr>
      <t>贵族头环</t>
    </r>
    <phoneticPr fontId="1" type="noConversion"/>
  </si>
  <si>
    <r>
      <rPr>
        <sz val="11"/>
        <color indexed="9"/>
        <rFont val="宋体"/>
        <family val="3"/>
        <charset val="134"/>
      </rPr>
      <t>锁甲</t>
    </r>
    <phoneticPr fontId="1" type="noConversion"/>
  </si>
  <si>
    <r>
      <rPr>
        <sz val="11"/>
        <color indexed="9"/>
        <rFont val="宋体"/>
        <family val="3"/>
        <charset val="134"/>
      </rPr>
      <t>板甲</t>
    </r>
    <phoneticPr fontId="1" type="noConversion"/>
  </si>
  <si>
    <r>
      <rPr>
        <sz val="11"/>
        <color indexed="9"/>
        <rFont val="宋体"/>
        <family val="3"/>
        <charset val="134"/>
      </rPr>
      <t>角鹰弓</t>
    </r>
    <phoneticPr fontId="1" type="noConversion"/>
  </si>
  <si>
    <r>
      <rPr>
        <sz val="11"/>
        <color indexed="9"/>
        <rFont val="宋体"/>
        <family val="3"/>
        <charset val="134"/>
      </rPr>
      <t>小魔棒</t>
    </r>
    <phoneticPr fontId="1" type="noConversion"/>
  </si>
  <si>
    <r>
      <rPr>
        <sz val="11"/>
        <color indexed="9"/>
        <rFont val="宋体"/>
        <family val="3"/>
        <charset val="134"/>
      </rPr>
      <t>魔抗斗篷</t>
    </r>
    <phoneticPr fontId="1" type="noConversion"/>
  </si>
  <si>
    <r>
      <rPr>
        <sz val="11"/>
        <color indexed="9"/>
        <rFont val="宋体"/>
        <family val="3"/>
        <charset val="134"/>
      </rPr>
      <t>标枪</t>
    </r>
    <phoneticPr fontId="1" type="noConversion"/>
  </si>
  <si>
    <r>
      <rPr>
        <sz val="11"/>
        <color indexed="9"/>
        <rFont val="宋体"/>
        <family val="3"/>
        <charset val="134"/>
      </rPr>
      <t>水晶法杖</t>
    </r>
    <phoneticPr fontId="1" type="noConversion"/>
  </si>
  <si>
    <t>英雄属性</t>
    <phoneticPr fontId="1" type="noConversion"/>
  </si>
  <si>
    <r>
      <rPr>
        <sz val="11"/>
        <color indexed="9"/>
        <rFont val="宋体"/>
        <family val="3"/>
        <charset val="134"/>
      </rPr>
      <t>补刀斧</t>
    </r>
    <phoneticPr fontId="1" type="noConversion"/>
  </si>
  <si>
    <r>
      <rPr>
        <sz val="11"/>
        <color indexed="9"/>
        <rFont val="宋体"/>
        <family val="3"/>
        <charset val="134"/>
      </rPr>
      <t>治疗指环</t>
    </r>
    <phoneticPr fontId="1" type="noConversion"/>
  </si>
  <si>
    <r>
      <rPr>
        <sz val="11"/>
        <color indexed="9"/>
        <rFont val="宋体"/>
        <family val="3"/>
        <charset val="134"/>
      </rPr>
      <t>秘银锤</t>
    </r>
    <phoneticPr fontId="1" type="noConversion"/>
  </si>
  <si>
    <r>
      <rPr>
        <sz val="11"/>
        <color indexed="9"/>
        <rFont val="宋体"/>
        <family val="3"/>
        <charset val="134"/>
      </rPr>
      <t>远古遗物</t>
    </r>
    <phoneticPr fontId="1" type="noConversion"/>
  </si>
  <si>
    <r>
      <rPr>
        <sz val="11"/>
        <color indexed="9"/>
        <rFont val="宋体"/>
        <family val="3"/>
        <charset val="134"/>
      </rPr>
      <t>小圆盾</t>
    </r>
    <phoneticPr fontId="1" type="noConversion"/>
  </si>
  <si>
    <r>
      <rPr>
        <sz val="11"/>
        <color indexed="9"/>
        <rFont val="宋体"/>
        <family val="3"/>
        <charset val="134"/>
      </rPr>
      <t>虚空宝石</t>
    </r>
    <phoneticPr fontId="1" type="noConversion"/>
  </si>
  <si>
    <r>
      <rPr>
        <sz val="11"/>
        <color indexed="9"/>
        <rFont val="宋体"/>
        <family val="3"/>
        <charset val="134"/>
      </rPr>
      <t>暗影符</t>
    </r>
    <phoneticPr fontId="1" type="noConversion"/>
  </si>
  <si>
    <r>
      <rPr>
        <sz val="11"/>
        <color indexed="9"/>
        <rFont val="宋体"/>
        <family val="3"/>
        <charset val="134"/>
      </rPr>
      <t>长笛</t>
    </r>
    <phoneticPr fontId="1" type="noConversion"/>
  </si>
  <si>
    <r>
      <rPr>
        <sz val="11"/>
        <color indexed="9"/>
        <rFont val="宋体"/>
        <family val="3"/>
        <charset val="134"/>
      </rPr>
      <t>艺人面罩</t>
    </r>
    <phoneticPr fontId="1" type="noConversion"/>
  </si>
  <si>
    <r>
      <rPr>
        <sz val="11"/>
        <color indexed="9"/>
        <rFont val="宋体"/>
        <family val="3"/>
        <charset val="134"/>
      </rPr>
      <t>吸血面具</t>
    </r>
    <phoneticPr fontId="1" type="noConversion"/>
  </si>
  <si>
    <r>
      <rPr>
        <sz val="11"/>
        <color indexed="9"/>
        <rFont val="宋体"/>
        <family val="3"/>
        <charset val="134"/>
      </rPr>
      <t>绿杖</t>
    </r>
    <phoneticPr fontId="1" type="noConversion"/>
  </si>
  <si>
    <r>
      <rPr>
        <sz val="11"/>
        <color indexed="9"/>
        <rFont val="宋体"/>
        <family val="3"/>
        <charset val="134"/>
      </rPr>
      <t>天堂</t>
    </r>
    <phoneticPr fontId="1" type="noConversion"/>
  </si>
  <si>
    <t>次属性</t>
    <phoneticPr fontId="1" type="noConversion"/>
  </si>
  <si>
    <t>生命值</t>
    <phoneticPr fontId="1" type="noConversion"/>
  </si>
  <si>
    <t>物理攻击</t>
    <phoneticPr fontId="1" type="noConversion"/>
  </si>
  <si>
    <t>魔法强度</t>
    <phoneticPr fontId="1" type="noConversion"/>
  </si>
  <si>
    <t>物理护甲</t>
    <phoneticPr fontId="1" type="noConversion"/>
  </si>
  <si>
    <t>魔法抗性</t>
    <phoneticPr fontId="1" type="noConversion"/>
  </si>
  <si>
    <t>物理暴击</t>
    <phoneticPr fontId="1" type="noConversion"/>
  </si>
  <si>
    <r>
      <rPr>
        <sz val="11"/>
        <color indexed="9"/>
        <rFont val="宋体"/>
        <family val="3"/>
        <charset val="134"/>
      </rPr>
      <t>回复戒指</t>
    </r>
    <phoneticPr fontId="1" type="noConversion"/>
  </si>
  <si>
    <r>
      <rPr>
        <sz val="11"/>
        <color indexed="9"/>
        <rFont val="宋体"/>
        <family val="3"/>
        <charset val="134"/>
      </rPr>
      <t>短棍</t>
    </r>
    <phoneticPr fontId="1" type="noConversion"/>
  </si>
  <si>
    <r>
      <rPr>
        <sz val="11"/>
        <color indexed="9"/>
        <rFont val="宋体"/>
        <family val="3"/>
        <charset val="134"/>
      </rPr>
      <t>散华</t>
    </r>
    <phoneticPr fontId="1" type="noConversion"/>
  </si>
  <si>
    <r>
      <rPr>
        <sz val="11"/>
        <color indexed="9"/>
        <rFont val="宋体"/>
        <family val="3"/>
        <charset val="134"/>
      </rPr>
      <t>分身斧</t>
    </r>
    <phoneticPr fontId="1" type="noConversion"/>
  </si>
  <si>
    <r>
      <rPr>
        <sz val="11"/>
        <color indexed="9"/>
        <rFont val="宋体"/>
        <family val="3"/>
        <charset val="134"/>
      </rPr>
      <t>鞋</t>
    </r>
    <phoneticPr fontId="1" type="noConversion"/>
  </si>
  <si>
    <r>
      <rPr>
        <sz val="11"/>
        <color indexed="9"/>
        <rFont val="宋体"/>
        <family val="3"/>
        <charset val="134"/>
      </rPr>
      <t>武士头盔</t>
    </r>
    <phoneticPr fontId="1" type="noConversion"/>
  </si>
  <si>
    <r>
      <rPr>
        <sz val="11"/>
        <color indexed="9"/>
        <rFont val="宋体"/>
        <family val="3"/>
        <charset val="134"/>
      </rPr>
      <t>夜叉</t>
    </r>
    <phoneticPr fontId="1" type="noConversion"/>
  </si>
  <si>
    <r>
      <rPr>
        <sz val="11"/>
        <color indexed="9"/>
        <rFont val="宋体"/>
        <family val="3"/>
        <charset val="134"/>
      </rPr>
      <t>林肯</t>
    </r>
    <phoneticPr fontId="1" type="noConversion"/>
  </si>
  <si>
    <t>装备穿戴</t>
    <phoneticPr fontId="1" type="noConversion"/>
  </si>
  <si>
    <r>
      <rPr>
        <sz val="11"/>
        <color indexed="9"/>
        <rFont val="宋体"/>
        <family val="3"/>
        <charset val="134"/>
      </rPr>
      <t>攻击利爪</t>
    </r>
    <phoneticPr fontId="1" type="noConversion"/>
  </si>
  <si>
    <r>
      <rPr>
        <sz val="11"/>
        <color indexed="9"/>
        <rFont val="宋体"/>
        <family val="3"/>
        <charset val="134"/>
      </rPr>
      <t>生命之球</t>
    </r>
    <phoneticPr fontId="1" type="noConversion"/>
  </si>
  <si>
    <r>
      <rPr>
        <sz val="11"/>
        <color indexed="9"/>
        <rFont val="宋体"/>
        <family val="3"/>
        <charset val="134"/>
      </rPr>
      <t>水晶剑</t>
    </r>
    <phoneticPr fontId="1" type="noConversion"/>
  </si>
  <si>
    <r>
      <rPr>
        <sz val="11"/>
        <color indexed="9"/>
        <rFont val="宋体"/>
        <family val="3"/>
        <charset val="134"/>
      </rPr>
      <t>强袭</t>
    </r>
    <phoneticPr fontId="1" type="noConversion"/>
  </si>
  <si>
    <r>
      <rPr>
        <sz val="11"/>
        <color indexed="9"/>
        <rFont val="宋体"/>
        <family val="3"/>
        <charset val="134"/>
      </rPr>
      <t>力量护腕</t>
    </r>
    <phoneticPr fontId="1" type="noConversion"/>
  </si>
  <si>
    <r>
      <rPr>
        <sz val="11"/>
        <color indexed="9"/>
        <rFont val="宋体"/>
        <family val="3"/>
        <charset val="134"/>
      </rPr>
      <t>法力之球</t>
    </r>
    <phoneticPr fontId="1" type="noConversion"/>
  </si>
  <si>
    <r>
      <rPr>
        <sz val="11"/>
        <color indexed="9"/>
        <rFont val="宋体"/>
        <family val="3"/>
        <charset val="134"/>
      </rPr>
      <t>反伤甲</t>
    </r>
    <phoneticPr fontId="1" type="noConversion"/>
  </si>
  <si>
    <r>
      <rPr>
        <sz val="11"/>
        <color indexed="9"/>
        <rFont val="宋体"/>
        <family val="3"/>
        <charset val="134"/>
      </rPr>
      <t>大电锤</t>
    </r>
    <phoneticPr fontId="1" type="noConversion"/>
  </si>
  <si>
    <t>装备附魔</t>
    <phoneticPr fontId="1" type="noConversion"/>
  </si>
  <si>
    <r>
      <rPr>
        <sz val="11"/>
        <color indexed="9"/>
        <rFont val="宋体"/>
        <family val="3"/>
        <charset val="134"/>
      </rPr>
      <t>敏捷系带</t>
    </r>
    <phoneticPr fontId="1" type="noConversion"/>
  </si>
  <si>
    <r>
      <rPr>
        <sz val="11"/>
        <color indexed="9"/>
        <rFont val="宋体"/>
        <family val="3"/>
        <charset val="134"/>
      </rPr>
      <t>元气之球</t>
    </r>
    <phoneticPr fontId="1" type="noConversion"/>
  </si>
  <si>
    <r>
      <rPr>
        <sz val="11"/>
        <color indexed="9"/>
        <rFont val="宋体"/>
        <family val="3"/>
        <charset val="134"/>
      </rPr>
      <t>推推棒</t>
    </r>
    <phoneticPr fontId="1" type="noConversion"/>
  </si>
  <si>
    <r>
      <rPr>
        <sz val="11"/>
        <color indexed="9"/>
        <rFont val="宋体"/>
        <family val="3"/>
        <charset val="134"/>
      </rPr>
      <t>冰眼</t>
    </r>
    <phoneticPr fontId="1" type="noConversion"/>
  </si>
  <si>
    <r>
      <rPr>
        <sz val="11"/>
        <color indexed="9"/>
        <rFont val="宋体"/>
        <family val="3"/>
        <charset val="134"/>
      </rPr>
      <t>智力挂件</t>
    </r>
    <phoneticPr fontId="1" type="noConversion"/>
  </si>
  <si>
    <r>
      <rPr>
        <sz val="11"/>
        <color indexed="9"/>
        <rFont val="宋体"/>
        <family val="3"/>
        <charset val="134"/>
      </rPr>
      <t>大魔杖</t>
    </r>
    <phoneticPr fontId="1" type="noConversion"/>
  </si>
  <si>
    <r>
      <rPr>
        <sz val="11"/>
        <color indexed="9"/>
        <rFont val="宋体"/>
        <family val="3"/>
        <charset val="134"/>
      </rPr>
      <t>飞鞋</t>
    </r>
    <phoneticPr fontId="1" type="noConversion"/>
  </si>
  <si>
    <r>
      <rPr>
        <sz val="11"/>
        <color indexed="9"/>
        <rFont val="宋体"/>
        <family val="3"/>
        <charset val="134"/>
      </rPr>
      <t>金箍棒</t>
    </r>
    <phoneticPr fontId="1" type="noConversion"/>
  </si>
  <si>
    <r>
      <rPr>
        <sz val="11"/>
        <color indexed="9"/>
        <rFont val="宋体"/>
        <family val="3"/>
        <charset val="134"/>
      </rPr>
      <t>圣殿指环</t>
    </r>
    <phoneticPr fontId="1" type="noConversion"/>
  </si>
  <si>
    <r>
      <rPr>
        <sz val="11"/>
        <color indexed="9"/>
        <rFont val="宋体"/>
        <family val="3"/>
        <charset val="134"/>
      </rPr>
      <t>魂戒</t>
    </r>
    <phoneticPr fontId="1" type="noConversion"/>
  </si>
  <si>
    <r>
      <rPr>
        <sz val="11"/>
        <color indexed="9"/>
        <rFont val="宋体"/>
        <family val="3"/>
        <charset val="134"/>
      </rPr>
      <t>鬼手</t>
    </r>
    <phoneticPr fontId="1" type="noConversion"/>
  </si>
  <si>
    <r>
      <rPr>
        <sz val="11"/>
        <color indexed="9"/>
        <rFont val="宋体"/>
        <family val="3"/>
        <charset val="134"/>
      </rPr>
      <t>羊刀</t>
    </r>
    <phoneticPr fontId="1" type="noConversion"/>
  </si>
  <si>
    <r>
      <rPr>
        <sz val="11"/>
        <color indexed="9"/>
        <rFont val="宋体"/>
        <family val="3"/>
        <charset val="134"/>
      </rPr>
      <t>屌丝盾</t>
    </r>
    <phoneticPr fontId="1" type="noConversion"/>
  </si>
  <si>
    <r>
      <rPr>
        <sz val="11"/>
        <color indexed="9"/>
        <rFont val="宋体"/>
        <family val="3"/>
        <charset val="134"/>
      </rPr>
      <t>玄铁盾牌</t>
    </r>
    <phoneticPr fontId="1" type="noConversion"/>
  </si>
  <si>
    <r>
      <rPr>
        <sz val="11"/>
        <color indexed="9"/>
        <rFont val="宋体"/>
        <family val="3"/>
        <charset val="134"/>
      </rPr>
      <t>小电锤</t>
    </r>
    <phoneticPr fontId="1" type="noConversion"/>
  </si>
  <si>
    <r>
      <rPr>
        <sz val="11"/>
        <color indexed="9"/>
        <rFont val="宋体"/>
        <family val="3"/>
        <charset val="134"/>
      </rPr>
      <t>冰甲</t>
    </r>
    <phoneticPr fontId="1" type="noConversion"/>
  </si>
  <si>
    <r>
      <rPr>
        <sz val="11"/>
        <color indexed="9"/>
        <rFont val="宋体"/>
        <family val="3"/>
        <charset val="134"/>
      </rPr>
      <t>回复之巾</t>
    </r>
    <phoneticPr fontId="1" type="noConversion"/>
  </si>
  <si>
    <r>
      <rPr>
        <sz val="11"/>
        <color indexed="9"/>
        <rFont val="宋体"/>
        <family val="3"/>
        <charset val="134"/>
      </rPr>
      <t>骨灰盒</t>
    </r>
    <phoneticPr fontId="1" type="noConversion"/>
  </si>
  <si>
    <r>
      <rPr>
        <sz val="11"/>
        <color indexed="9"/>
        <rFont val="宋体"/>
        <family val="3"/>
        <charset val="134"/>
      </rPr>
      <t>风杖</t>
    </r>
    <phoneticPr fontId="1" type="noConversion"/>
  </si>
  <si>
    <r>
      <rPr>
        <sz val="11"/>
        <color indexed="9"/>
        <rFont val="宋体"/>
        <family val="3"/>
        <charset val="134"/>
      </rPr>
      <t>虚灵</t>
    </r>
    <phoneticPr fontId="1" type="noConversion"/>
  </si>
  <si>
    <r>
      <rPr>
        <sz val="11"/>
        <color indexed="9"/>
        <rFont val="宋体"/>
        <family val="3"/>
        <charset val="134"/>
      </rPr>
      <t>绿鞋</t>
    </r>
    <phoneticPr fontId="1" type="noConversion"/>
  </si>
  <si>
    <r>
      <rPr>
        <sz val="11"/>
        <color indexed="9"/>
        <rFont val="宋体"/>
        <family val="3"/>
        <charset val="134"/>
      </rPr>
      <t>洛萨</t>
    </r>
    <phoneticPr fontId="1" type="noConversion"/>
  </si>
  <si>
    <r>
      <rPr>
        <sz val="11"/>
        <color indexed="9"/>
        <rFont val="宋体"/>
        <family val="3"/>
        <charset val="134"/>
      </rPr>
      <t>光耀</t>
    </r>
    <phoneticPr fontId="1" type="noConversion"/>
  </si>
  <si>
    <r>
      <rPr>
        <sz val="11"/>
        <color indexed="9"/>
        <rFont val="宋体"/>
        <family val="3"/>
        <charset val="134"/>
      </rPr>
      <t>天鹰之戒</t>
    </r>
    <phoneticPr fontId="1" type="noConversion"/>
  </si>
  <si>
    <r>
      <rPr>
        <sz val="11"/>
        <color indexed="9"/>
        <rFont val="宋体"/>
        <family val="3"/>
        <charset val="134"/>
      </rPr>
      <t>碎骨锤</t>
    </r>
    <phoneticPr fontId="1" type="noConversion"/>
  </si>
  <si>
    <r>
      <rPr>
        <sz val="11"/>
        <color indexed="9"/>
        <rFont val="宋体"/>
        <family val="3"/>
        <charset val="134"/>
      </rPr>
      <t>龙心</t>
    </r>
    <phoneticPr fontId="1" type="noConversion"/>
  </si>
  <si>
    <r>
      <rPr>
        <sz val="11"/>
        <color indexed="9"/>
        <rFont val="宋体"/>
        <family val="3"/>
        <charset val="134"/>
      </rPr>
      <t>勇气勋章</t>
    </r>
    <phoneticPr fontId="1" type="noConversion"/>
  </si>
  <si>
    <r>
      <rPr>
        <sz val="11"/>
        <color indexed="9"/>
        <rFont val="宋体"/>
        <family val="3"/>
        <charset val="134"/>
      </rPr>
      <t>纷争</t>
    </r>
    <phoneticPr fontId="1" type="noConversion"/>
  </si>
  <si>
    <r>
      <rPr>
        <sz val="11"/>
        <color indexed="9"/>
        <rFont val="宋体"/>
        <family val="3"/>
        <charset val="134"/>
      </rPr>
      <t>蝴蝶</t>
    </r>
    <phoneticPr fontId="1" type="noConversion"/>
  </si>
  <si>
    <r>
      <rPr>
        <sz val="11"/>
        <color indexed="9"/>
        <rFont val="宋体"/>
        <family val="3"/>
        <charset val="134"/>
      </rPr>
      <t>相位鞋</t>
    </r>
    <phoneticPr fontId="1" type="noConversion"/>
  </si>
  <si>
    <r>
      <rPr>
        <sz val="11"/>
        <color indexed="9"/>
        <rFont val="宋体"/>
        <family val="3"/>
        <charset val="134"/>
      </rPr>
      <t>阿托斯</t>
    </r>
    <phoneticPr fontId="1" type="noConversion"/>
  </si>
  <si>
    <r>
      <rPr>
        <sz val="11"/>
        <color indexed="9"/>
        <rFont val="宋体"/>
        <family val="3"/>
        <charset val="134"/>
      </rPr>
      <t>紫苑</t>
    </r>
    <phoneticPr fontId="1" type="noConversion"/>
  </si>
  <si>
    <r>
      <rPr>
        <sz val="11"/>
        <color indexed="9"/>
        <rFont val="宋体"/>
        <family val="3"/>
        <charset val="134"/>
      </rPr>
      <t>力量假腿</t>
    </r>
    <phoneticPr fontId="1" type="noConversion"/>
  </si>
  <si>
    <r>
      <rPr>
        <sz val="11"/>
        <color indexed="9"/>
        <rFont val="宋体"/>
        <family val="3"/>
        <charset val="134"/>
      </rPr>
      <t>振魂玫瑰</t>
    </r>
    <phoneticPr fontId="1" type="noConversion"/>
  </si>
  <si>
    <r>
      <rPr>
        <sz val="11"/>
        <color indexed="9"/>
        <rFont val="宋体"/>
        <family val="3"/>
        <charset val="134"/>
      </rPr>
      <t>大炮</t>
    </r>
    <phoneticPr fontId="1" type="noConversion"/>
  </si>
  <si>
    <r>
      <rPr>
        <sz val="11"/>
        <color indexed="9"/>
        <rFont val="宋体"/>
        <family val="3"/>
        <charset val="134"/>
      </rPr>
      <t>敏捷假腿</t>
    </r>
    <phoneticPr fontId="1" type="noConversion"/>
  </si>
  <si>
    <r>
      <rPr>
        <sz val="11"/>
        <color indexed="9"/>
        <rFont val="宋体"/>
        <family val="3"/>
        <charset val="134"/>
      </rPr>
      <t>黑黄</t>
    </r>
    <phoneticPr fontId="1" type="noConversion"/>
  </si>
  <si>
    <r>
      <rPr>
        <sz val="11"/>
        <color indexed="9"/>
        <rFont val="宋体"/>
        <family val="3"/>
        <charset val="134"/>
      </rPr>
      <t>撒旦</t>
    </r>
    <phoneticPr fontId="1" type="noConversion"/>
  </si>
  <si>
    <r>
      <rPr>
        <sz val="11"/>
        <color indexed="9"/>
        <rFont val="宋体"/>
        <family val="3"/>
        <charset val="134"/>
      </rPr>
      <t>智力假腿</t>
    </r>
    <phoneticPr fontId="1" type="noConversion"/>
  </si>
  <si>
    <r>
      <rPr>
        <sz val="11"/>
        <color indexed="9"/>
        <rFont val="宋体"/>
        <family val="3"/>
        <charset val="134"/>
      </rPr>
      <t>双刀</t>
    </r>
    <phoneticPr fontId="1" type="noConversion"/>
  </si>
  <si>
    <r>
      <rPr>
        <sz val="11"/>
        <color indexed="9"/>
        <rFont val="宋体"/>
        <family val="3"/>
        <charset val="134"/>
      </rPr>
      <t>深渊之刃</t>
    </r>
    <phoneticPr fontId="1" type="noConversion"/>
  </si>
  <si>
    <r>
      <rPr>
        <sz val="11"/>
        <color indexed="9"/>
        <rFont val="宋体"/>
        <family val="3"/>
        <charset val="134"/>
      </rPr>
      <t>秘法鞋</t>
    </r>
    <phoneticPr fontId="1" type="noConversion"/>
  </si>
  <si>
    <r>
      <rPr>
        <sz val="11"/>
        <color indexed="9"/>
        <rFont val="宋体"/>
        <family val="3"/>
        <charset val="134"/>
      </rPr>
      <t>蓝杖</t>
    </r>
    <phoneticPr fontId="1" type="noConversion"/>
  </si>
  <si>
    <r>
      <rPr>
        <sz val="11"/>
        <color indexed="9"/>
        <rFont val="宋体"/>
        <family val="3"/>
        <charset val="134"/>
      </rPr>
      <t>梅肯</t>
    </r>
    <r>
      <rPr>
        <sz val="11"/>
        <color indexed="9"/>
        <rFont val="Calibri"/>
        <family val="2"/>
      </rPr>
      <t>3</t>
    </r>
    <r>
      <rPr>
        <sz val="11"/>
        <color indexed="9"/>
        <rFont val="宋体"/>
        <family val="3"/>
        <charset val="134"/>
      </rPr>
      <t>阶</t>
    </r>
    <phoneticPr fontId="1" type="noConversion"/>
  </si>
  <si>
    <r>
      <rPr>
        <sz val="11"/>
        <color indexed="9"/>
        <rFont val="宋体"/>
        <family val="3"/>
        <charset val="134"/>
      </rPr>
      <t>坚韧法球</t>
    </r>
    <phoneticPr fontId="1" type="noConversion"/>
  </si>
  <si>
    <r>
      <rPr>
        <sz val="11"/>
        <color indexed="9"/>
        <rFont val="宋体"/>
        <family val="3"/>
        <charset val="134"/>
      </rPr>
      <t>狂战斧</t>
    </r>
    <phoneticPr fontId="1" type="noConversion"/>
  </si>
  <si>
    <r>
      <rPr>
        <sz val="11"/>
        <color indexed="9"/>
        <rFont val="宋体"/>
        <family val="3"/>
        <charset val="134"/>
      </rPr>
      <t>梅肯</t>
    </r>
    <r>
      <rPr>
        <sz val="11"/>
        <color indexed="9"/>
        <rFont val="Calibri"/>
        <family val="2"/>
      </rPr>
      <t>4</t>
    </r>
    <r>
      <rPr>
        <sz val="11"/>
        <color indexed="9"/>
        <rFont val="宋体"/>
        <family val="3"/>
        <charset val="134"/>
      </rPr>
      <t>阶</t>
    </r>
  </si>
  <si>
    <r>
      <rPr>
        <sz val="11"/>
        <color indexed="9"/>
        <rFont val="宋体"/>
        <family val="3"/>
        <charset val="134"/>
      </rPr>
      <t>古之耐歌</t>
    </r>
    <phoneticPr fontId="1" type="noConversion"/>
  </si>
  <si>
    <r>
      <rPr>
        <sz val="11"/>
        <color indexed="9"/>
        <rFont val="宋体"/>
        <family val="3"/>
        <charset val="134"/>
      </rPr>
      <t>暗灭</t>
    </r>
    <phoneticPr fontId="1" type="noConversion"/>
  </si>
  <si>
    <r>
      <rPr>
        <sz val="11"/>
        <color indexed="9"/>
        <rFont val="宋体"/>
        <family val="3"/>
        <charset val="134"/>
      </rPr>
      <t>小人书</t>
    </r>
    <r>
      <rPr>
        <sz val="11"/>
        <color indexed="9"/>
        <rFont val="Calibri"/>
        <family val="2"/>
      </rPr>
      <t>2</t>
    </r>
    <r>
      <rPr>
        <sz val="11"/>
        <color indexed="9"/>
        <rFont val="宋体"/>
        <family val="3"/>
        <charset val="134"/>
      </rPr>
      <t>阶</t>
    </r>
    <phoneticPr fontId="1" type="noConversion"/>
  </si>
  <si>
    <r>
      <rPr>
        <sz val="11"/>
        <color indexed="9"/>
        <rFont val="宋体"/>
        <family val="3"/>
        <charset val="134"/>
      </rPr>
      <t>空明禅杖</t>
    </r>
    <phoneticPr fontId="1" type="noConversion"/>
  </si>
  <si>
    <r>
      <rPr>
        <sz val="11"/>
        <color indexed="9"/>
        <rFont val="宋体"/>
        <family val="3"/>
        <charset val="134"/>
      </rPr>
      <t>梅肯</t>
    </r>
    <r>
      <rPr>
        <sz val="11"/>
        <color indexed="9"/>
        <rFont val="Calibri"/>
        <family val="2"/>
      </rPr>
      <t>2</t>
    </r>
    <r>
      <rPr>
        <sz val="11"/>
        <color indexed="9"/>
        <rFont val="宋体"/>
        <family val="3"/>
        <charset val="134"/>
      </rPr>
      <t>阶</t>
    </r>
    <phoneticPr fontId="1" type="noConversion"/>
  </si>
  <si>
    <r>
      <rPr>
        <sz val="11"/>
        <color indexed="9"/>
        <rFont val="宋体"/>
        <family val="3"/>
        <charset val="134"/>
      </rPr>
      <t>小人书</t>
    </r>
    <r>
      <rPr>
        <sz val="11"/>
        <color indexed="9"/>
        <rFont val="Calibri"/>
        <family val="2"/>
      </rPr>
      <t>3</t>
    </r>
    <r>
      <rPr>
        <sz val="11"/>
        <color indexed="9"/>
        <rFont val="宋体"/>
        <family val="3"/>
        <charset val="134"/>
      </rPr>
      <t>阶</t>
    </r>
    <phoneticPr fontId="1" type="noConversion"/>
  </si>
  <si>
    <r>
      <rPr>
        <sz val="11"/>
        <color indexed="9"/>
        <rFont val="宋体"/>
        <family val="3"/>
        <charset val="134"/>
      </rPr>
      <t>支配</t>
    </r>
    <phoneticPr fontId="1" type="noConversion"/>
  </si>
  <si>
    <r>
      <rPr>
        <sz val="11"/>
        <color indexed="9"/>
        <rFont val="宋体"/>
        <family val="3"/>
        <charset val="134"/>
      </rPr>
      <t>小人书</t>
    </r>
    <phoneticPr fontId="1" type="noConversion"/>
  </si>
  <si>
    <r>
      <rPr>
        <sz val="11"/>
        <color indexed="9"/>
        <rFont val="宋体"/>
        <family val="3"/>
        <charset val="134"/>
      </rPr>
      <t>红杖</t>
    </r>
    <r>
      <rPr>
        <sz val="11"/>
        <color indexed="9"/>
        <rFont val="Calibri"/>
        <family val="2"/>
      </rPr>
      <t>2</t>
    </r>
    <r>
      <rPr>
        <sz val="11"/>
        <color indexed="9"/>
        <rFont val="宋体"/>
        <family val="3"/>
        <charset val="134"/>
      </rPr>
      <t>阶</t>
    </r>
    <phoneticPr fontId="1" type="noConversion"/>
  </si>
  <si>
    <r>
      <rPr>
        <sz val="11"/>
        <color indexed="9"/>
        <rFont val="宋体"/>
        <family val="3"/>
        <charset val="134"/>
      </rPr>
      <t>疯脸</t>
    </r>
    <phoneticPr fontId="1" type="noConversion"/>
  </si>
  <si>
    <r>
      <rPr>
        <sz val="11"/>
        <color indexed="9"/>
        <rFont val="宋体"/>
        <family val="3"/>
        <charset val="134"/>
      </rPr>
      <t>红杖</t>
    </r>
    <phoneticPr fontId="1" type="noConversion"/>
  </si>
  <si>
    <r>
      <rPr>
        <sz val="11"/>
        <color indexed="9"/>
        <rFont val="宋体"/>
        <family val="3"/>
        <charset val="134"/>
      </rPr>
      <t>红杖</t>
    </r>
    <r>
      <rPr>
        <sz val="11"/>
        <color indexed="9"/>
        <rFont val="Calibri"/>
        <family val="2"/>
      </rPr>
      <t>3</t>
    </r>
    <r>
      <rPr>
        <sz val="11"/>
        <color indexed="9"/>
        <rFont val="宋体"/>
        <family val="3"/>
        <charset val="134"/>
      </rPr>
      <t>阶</t>
    </r>
  </si>
  <si>
    <r>
      <rPr>
        <sz val="11"/>
        <color indexed="9"/>
        <rFont val="宋体"/>
        <family val="3"/>
        <charset val="134"/>
      </rPr>
      <t>祭品</t>
    </r>
    <phoneticPr fontId="1" type="noConversion"/>
  </si>
  <si>
    <r>
      <rPr>
        <sz val="11"/>
        <color indexed="9"/>
        <rFont val="宋体"/>
        <family val="3"/>
        <charset val="134"/>
      </rPr>
      <t>散失</t>
    </r>
    <phoneticPr fontId="1" type="noConversion"/>
  </si>
  <si>
    <r>
      <rPr>
        <sz val="11"/>
        <color indexed="9"/>
        <rFont val="宋体"/>
        <family val="3"/>
        <charset val="134"/>
      </rPr>
      <t>红杖</t>
    </r>
    <r>
      <rPr>
        <sz val="11"/>
        <color indexed="9"/>
        <rFont val="Calibri"/>
        <family val="2"/>
      </rPr>
      <t>4</t>
    </r>
    <r>
      <rPr>
        <sz val="11"/>
        <color indexed="9"/>
        <rFont val="宋体"/>
        <family val="3"/>
        <charset val="134"/>
      </rPr>
      <t>阶</t>
    </r>
  </si>
  <si>
    <r>
      <rPr>
        <sz val="11"/>
        <color indexed="9"/>
        <rFont val="宋体"/>
        <family val="3"/>
        <charset val="134"/>
      </rPr>
      <t>魔抗头巾</t>
    </r>
    <phoneticPr fontId="1" type="noConversion"/>
  </si>
  <si>
    <r>
      <rPr>
        <sz val="11"/>
        <color indexed="9"/>
        <rFont val="宋体"/>
        <family val="3"/>
        <charset val="134"/>
      </rPr>
      <t>血晶石</t>
    </r>
    <phoneticPr fontId="1" type="noConversion"/>
  </si>
  <si>
    <r>
      <rPr>
        <sz val="11"/>
        <color indexed="9"/>
        <rFont val="宋体"/>
        <family val="3"/>
        <charset val="134"/>
      </rPr>
      <t>散失</t>
    </r>
    <r>
      <rPr>
        <sz val="11"/>
        <color indexed="9"/>
        <rFont val="Calibri"/>
        <family val="2"/>
      </rPr>
      <t>2</t>
    </r>
    <r>
      <rPr>
        <sz val="11"/>
        <color indexed="9"/>
        <rFont val="宋体"/>
        <family val="3"/>
        <charset val="134"/>
      </rPr>
      <t>阶</t>
    </r>
    <phoneticPr fontId="1" type="noConversion"/>
  </si>
  <si>
    <r>
      <rPr>
        <sz val="11"/>
        <color indexed="9"/>
        <rFont val="宋体"/>
        <family val="3"/>
        <charset val="134"/>
      </rPr>
      <t>冲锋盾</t>
    </r>
    <phoneticPr fontId="1" type="noConversion"/>
  </si>
  <si>
    <r>
      <rPr>
        <sz val="11"/>
        <color indexed="9"/>
        <rFont val="宋体"/>
        <family val="3"/>
        <charset val="134"/>
      </rPr>
      <t>散失</t>
    </r>
    <r>
      <rPr>
        <sz val="11"/>
        <color indexed="9"/>
        <rFont val="Calibri"/>
        <family val="2"/>
      </rPr>
      <t>3</t>
    </r>
    <r>
      <rPr>
        <sz val="11"/>
        <color indexed="9"/>
        <rFont val="宋体"/>
        <family val="3"/>
        <charset val="134"/>
      </rPr>
      <t>阶</t>
    </r>
  </si>
  <si>
    <r>
      <rPr>
        <sz val="11"/>
        <color indexed="9"/>
        <rFont val="宋体"/>
        <family val="3"/>
        <charset val="134"/>
      </rPr>
      <t>梅肯</t>
    </r>
    <phoneticPr fontId="1" type="noConversion"/>
  </si>
  <si>
    <r>
      <rPr>
        <sz val="11"/>
        <color indexed="9"/>
        <rFont val="宋体"/>
        <family val="3"/>
        <charset val="134"/>
      </rPr>
      <t>血晶石</t>
    </r>
    <r>
      <rPr>
        <sz val="11"/>
        <color indexed="9"/>
        <rFont val="Calibri"/>
        <family val="2"/>
      </rPr>
      <t>2</t>
    </r>
    <r>
      <rPr>
        <sz val="11"/>
        <color indexed="9"/>
        <rFont val="宋体"/>
        <family val="3"/>
        <charset val="134"/>
      </rPr>
      <t>阶</t>
    </r>
    <phoneticPr fontId="1" type="noConversion"/>
  </si>
  <si>
    <r>
      <rPr>
        <sz val="11"/>
        <color indexed="9"/>
        <rFont val="宋体"/>
        <family val="3"/>
        <charset val="134"/>
      </rPr>
      <t>血晶石</t>
    </r>
    <r>
      <rPr>
        <sz val="11"/>
        <color indexed="9"/>
        <rFont val="Calibri"/>
        <family val="2"/>
      </rPr>
      <t>3</t>
    </r>
    <r>
      <rPr>
        <sz val="11"/>
        <color indexed="9"/>
        <rFont val="宋体"/>
        <family val="3"/>
        <charset val="134"/>
      </rPr>
      <t>阶</t>
    </r>
    <phoneticPr fontId="1" type="noConversion"/>
  </si>
  <si>
    <r>
      <rPr>
        <sz val="11"/>
        <color indexed="9"/>
        <rFont val="宋体"/>
        <family val="3"/>
        <charset val="134"/>
      </rPr>
      <t>刷新珠</t>
    </r>
    <phoneticPr fontId="1" type="noConversion"/>
  </si>
  <si>
    <r>
      <rPr>
        <sz val="11"/>
        <color indexed="9"/>
        <rFont val="宋体"/>
        <family val="3"/>
        <charset val="134"/>
      </rPr>
      <t>刷新珠</t>
    </r>
    <r>
      <rPr>
        <sz val="11"/>
        <color indexed="9"/>
        <rFont val="Calibri"/>
        <family val="2"/>
      </rPr>
      <t>2</t>
    </r>
    <r>
      <rPr>
        <sz val="11"/>
        <color indexed="9"/>
        <rFont val="宋体"/>
        <family val="3"/>
        <charset val="134"/>
      </rPr>
      <t>阶</t>
    </r>
    <phoneticPr fontId="1" type="noConversion"/>
  </si>
  <si>
    <t>装备出错→</t>
    <phoneticPr fontId="1" type="noConversion"/>
  </si>
  <si>
    <t>附魔无数据→</t>
    <phoneticPr fontId="1" type="noConversion"/>
  </si>
  <si>
    <t>英雄站位</t>
    <phoneticPr fontId="1" type="noConversion"/>
  </si>
  <si>
    <t>前排</t>
    <phoneticPr fontId="1" type="noConversion"/>
  </si>
  <si>
    <t>中排</t>
    <phoneticPr fontId="1" type="noConversion"/>
  </si>
  <si>
    <t>神灵武士</t>
    <phoneticPr fontId="1" type="noConversion"/>
  </si>
  <si>
    <t>后排</t>
    <phoneticPr fontId="1" type="noConversion"/>
  </si>
  <si>
    <t>英雄站位</t>
    <phoneticPr fontId="1" type="noConversion"/>
  </si>
  <si>
    <t>技能1</t>
    <phoneticPr fontId="1" type="noConversion"/>
  </si>
  <si>
    <t>技能2</t>
    <phoneticPr fontId="1" type="noConversion"/>
  </si>
  <si>
    <t>技能3</t>
    <phoneticPr fontId="1" type="noConversion"/>
  </si>
  <si>
    <t>技能4</t>
    <phoneticPr fontId="1" type="noConversion"/>
  </si>
  <si>
    <t>幽灵船</t>
  </si>
  <si>
    <t>洪流</t>
  </si>
  <si>
    <t>水刀</t>
  </si>
  <si>
    <t>力量强化</t>
  </si>
  <si>
    <t>http://game.hiapk.com/dtcq/1503025_2.html</t>
  </si>
  <si>
    <t>树枝</t>
    <phoneticPr fontId="1" type="noConversion"/>
  </si>
  <si>
    <t>贵族头环</t>
    <phoneticPr fontId="1" type="noConversion"/>
  </si>
  <si>
    <t>智力之篷</t>
    <phoneticPr fontId="1" type="noConversion"/>
  </si>
  <si>
    <t>法力之球</t>
    <phoneticPr fontId="1" type="noConversion"/>
  </si>
  <si>
    <t>智力挂件</t>
    <phoneticPr fontId="1" type="noConversion"/>
  </si>
  <si>
    <t>小魔棒</t>
    <phoneticPr fontId="1" type="noConversion"/>
  </si>
  <si>
    <t>鞋</t>
    <phoneticPr fontId="1" type="noConversion"/>
  </si>
  <si>
    <t>冲锋盾</t>
    <phoneticPr fontId="1" type="noConversion"/>
  </si>
  <si>
    <t>大魔杖</t>
    <phoneticPr fontId="1" type="noConversion"/>
  </si>
  <si>
    <t>魂戒</t>
    <phoneticPr fontId="1" type="noConversion"/>
  </si>
  <si>
    <t>魔抗斗篷</t>
    <phoneticPr fontId="1" type="noConversion"/>
  </si>
  <si>
    <t>绿鞋</t>
    <phoneticPr fontId="1" type="noConversion"/>
  </si>
  <si>
    <t>敏捷丝袜</t>
    <phoneticPr fontId="1" type="noConversion"/>
  </si>
  <si>
    <t>补刀斧</t>
    <phoneticPr fontId="1" type="noConversion"/>
  </si>
  <si>
    <t>虚空宝石</t>
    <phoneticPr fontId="1" type="noConversion"/>
  </si>
  <si>
    <t>小圆盾</t>
    <phoneticPr fontId="1" type="noConversion"/>
  </si>
  <si>
    <t>力量护腕</t>
    <phoneticPr fontId="1" type="noConversion"/>
  </si>
  <si>
    <t>圣殿指环</t>
    <phoneticPr fontId="1" type="noConversion"/>
  </si>
  <si>
    <t>古之耐歌</t>
    <phoneticPr fontId="1" type="noConversion"/>
  </si>
  <si>
    <t>坚韧法球</t>
    <phoneticPr fontId="1" type="noConversion"/>
  </si>
  <si>
    <t>敏捷系带</t>
    <phoneticPr fontId="1" type="noConversion"/>
  </si>
  <si>
    <t>我还缺少：</t>
    <phoneticPr fontId="1" type="noConversion"/>
  </si>
  <si>
    <t>1.具体公式</t>
    <phoneticPr fontId="1" type="noConversion"/>
  </si>
  <si>
    <t>2.护甲接近公式</t>
    <phoneticPr fontId="1" type="noConversion"/>
  </si>
  <si>
    <t>3.技能属性公式</t>
    <phoneticPr fontId="1" type="noConversion"/>
  </si>
  <si>
    <t>4.战斗力计算公式</t>
    <phoneticPr fontId="1" type="noConversion"/>
  </si>
  <si>
    <t>5.技能攻击顺序</t>
    <phoneticPr fontId="1" type="noConversion"/>
  </si>
  <si>
    <t>力量</t>
    <phoneticPr fontId="1" type="noConversion"/>
  </si>
  <si>
    <t>敏捷</t>
    <phoneticPr fontId="1" type="noConversion"/>
  </si>
  <si>
    <t>智力</t>
    <phoneticPr fontId="1" type="noConversion"/>
  </si>
  <si>
    <t>Q</t>
    <phoneticPr fontId="1" type="noConversion"/>
  </si>
  <si>
    <t>W</t>
    <phoneticPr fontId="1" type="noConversion"/>
  </si>
  <si>
    <t>E</t>
    <phoneticPr fontId="1" type="noConversion"/>
  </si>
  <si>
    <t>R</t>
    <phoneticPr fontId="1" type="noConversion"/>
  </si>
  <si>
    <t>刚背猪</t>
    <phoneticPr fontId="1" type="noConversion"/>
  </si>
  <si>
    <t>前排</t>
    <phoneticPr fontId="1" type="noConversion"/>
  </si>
  <si>
    <t>刚背猪</t>
    <phoneticPr fontId="1" type="noConversion"/>
  </si>
  <si>
    <t>力量</t>
    <phoneticPr fontId="1" type="noConversion"/>
  </si>
  <si>
    <t>小圆盾</t>
    <phoneticPr fontId="1" type="noConversion"/>
  </si>
  <si>
    <t>补刀斧</t>
    <phoneticPr fontId="1" type="noConversion"/>
  </si>
  <si>
    <t>力量腰带</t>
    <phoneticPr fontId="1" type="noConversion"/>
  </si>
  <si>
    <t>贵族头环</t>
    <phoneticPr fontId="1" type="noConversion"/>
  </si>
  <si>
    <t>力量护腕</t>
    <phoneticPr fontId="1" type="noConversion"/>
  </si>
  <si>
    <t>攻击利爪</t>
    <phoneticPr fontId="1" type="noConversion"/>
  </si>
  <si>
    <t>力量之斧</t>
    <phoneticPr fontId="1" type="noConversion"/>
  </si>
  <si>
    <t>冲锋盾</t>
    <phoneticPr fontId="1" type="noConversion"/>
  </si>
  <si>
    <t>魔抗头巾</t>
    <phoneticPr fontId="1" type="noConversion"/>
  </si>
  <si>
    <t>锁甲</t>
    <phoneticPr fontId="1" type="noConversion"/>
  </si>
  <si>
    <t>鞋</t>
    <phoneticPr fontId="1" type="noConversion"/>
  </si>
  <si>
    <t>反伤甲</t>
    <phoneticPr fontId="1" type="noConversion"/>
  </si>
  <si>
    <t>散华</t>
    <phoneticPr fontId="1" type="noConversion"/>
  </si>
  <si>
    <t>生命之球</t>
    <phoneticPr fontId="1" type="noConversion"/>
  </si>
  <si>
    <t>古之耐歌</t>
    <phoneticPr fontId="1" type="noConversion"/>
  </si>
  <si>
    <t>力量假腿</t>
    <phoneticPr fontId="1" type="noConversion"/>
  </si>
  <si>
    <t>狂战斧</t>
    <phoneticPr fontId="1" type="noConversion"/>
  </si>
  <si>
    <t>双刀</t>
    <phoneticPr fontId="1" type="noConversion"/>
  </si>
  <si>
    <t>支配</t>
    <phoneticPr fontId="1" type="noConversion"/>
  </si>
  <si>
    <t>冲锋盾</t>
    <phoneticPr fontId="1" type="noConversion"/>
  </si>
  <si>
    <t>强袭</t>
    <phoneticPr fontId="1" type="noConversion"/>
  </si>
  <si>
    <t>黑黄</t>
    <phoneticPr fontId="1" type="noConversion"/>
  </si>
  <si>
    <t>秘银锤</t>
    <phoneticPr fontId="1" type="noConversion"/>
  </si>
  <si>
    <t>大魔杖</t>
    <phoneticPr fontId="1" type="noConversion"/>
  </si>
  <si>
    <t>元气之球</t>
    <phoneticPr fontId="1" type="noConversion"/>
  </si>
  <si>
    <t>7.检查英雄初始属性</t>
    <phoneticPr fontId="1" type="noConversion"/>
  </si>
  <si>
    <t>魔抗头巾</t>
    <phoneticPr fontId="1" type="noConversion"/>
  </si>
  <si>
    <t>冲锋盾</t>
    <phoneticPr fontId="1" type="noConversion"/>
  </si>
  <si>
    <t>艺人面罩</t>
    <phoneticPr fontId="1" type="noConversion"/>
  </si>
  <si>
    <t>回复戒指</t>
    <phoneticPr fontId="1" type="noConversion"/>
  </si>
  <si>
    <t>鞋</t>
    <phoneticPr fontId="1" type="noConversion"/>
  </si>
  <si>
    <t>回复之巾</t>
    <phoneticPr fontId="1" type="noConversion"/>
  </si>
  <si>
    <t>圣殿指环</t>
    <phoneticPr fontId="1" type="noConversion"/>
  </si>
  <si>
    <t>小圆盾</t>
    <phoneticPr fontId="1" type="noConversion"/>
  </si>
  <si>
    <t>力量护腕</t>
    <phoneticPr fontId="1" type="noConversion"/>
  </si>
  <si>
    <t>贵族头环</t>
    <phoneticPr fontId="1" type="noConversion"/>
  </si>
  <si>
    <t>机枪兵</t>
    <phoneticPr fontId="1" type="noConversion"/>
  </si>
  <si>
    <t>敏捷</t>
    <phoneticPr fontId="1" type="noConversion"/>
  </si>
  <si>
    <t>√</t>
  </si>
  <si>
    <t>召唤幽灵船冲向对方，对敌造成大范围的眩晕和魔法伤害。</t>
  </si>
  <si>
    <t>用水流击飞一个随机敌人造成魔法伤害。</t>
  </si>
  <si>
    <t>对自身小范围的敌人造成物理伤害。</t>
  </si>
  <si>
    <t>金箍棒</t>
    <phoneticPr fontId="1" type="noConversion"/>
  </si>
  <si>
    <t>分身斧</t>
    <phoneticPr fontId="1" type="noConversion"/>
  </si>
  <si>
    <t>黑黄</t>
    <phoneticPr fontId="1" type="noConversion"/>
  </si>
  <si>
    <t>大剑</t>
    <phoneticPr fontId="1" type="noConversion"/>
  </si>
  <si>
    <t>阔剑</t>
    <phoneticPr fontId="1" type="noConversion"/>
  </si>
  <si>
    <t>蝴蝶</t>
    <phoneticPr fontId="1" type="noConversion"/>
  </si>
  <si>
    <t>板甲</t>
    <phoneticPr fontId="1" type="noConversion"/>
  </si>
  <si>
    <t>双刀</t>
    <phoneticPr fontId="1" type="noConversion"/>
  </si>
  <si>
    <t>暗灭</t>
    <phoneticPr fontId="1" type="noConversion"/>
  </si>
  <si>
    <t>魔王刀锋</t>
    <phoneticPr fontId="1" type="noConversion"/>
  </si>
  <si>
    <t>撒旦</t>
    <phoneticPr fontId="1" type="noConversion"/>
  </si>
  <si>
    <t>强袭</t>
    <phoneticPr fontId="1" type="noConversion"/>
  </si>
  <si>
    <t>水晶剑</t>
    <phoneticPr fontId="1" type="noConversion"/>
  </si>
  <si>
    <t>标枪</t>
    <phoneticPr fontId="1" type="noConversion"/>
  </si>
  <si>
    <t>大范围击飞自身附近的敌人并眩晕。</t>
  </si>
  <si>
    <t>海浪</t>
  </si>
  <si>
    <t>召唤一道海浪打击敌人，一段时间内削弱他的护甲。</t>
  </si>
  <si>
    <t>锚击</t>
  </si>
  <si>
    <t>轮动巨锚，对自身附近的敌人造成物理伤害。</t>
  </si>
  <si>
    <t>硬壳</t>
  </si>
  <si>
    <t>碎击</t>
  </si>
  <si>
    <t>锤击地面，对中等范围的敌人造成魔法伤害并眩晕。</t>
  </si>
  <si>
    <t>重击</t>
  </si>
  <si>
    <t>对附近的敌人造成物理伤害。</t>
  </si>
  <si>
    <t>伤害加深</t>
  </si>
  <si>
    <t>标记敌人，削弱他的护甲。</t>
  </si>
  <si>
    <t>淘汰</t>
  </si>
  <si>
    <t>巨斧从不怜悯弱者。如果敌人的生命值低于30%,则造成巨大的物理伤害，否则只造成少量伤害。</t>
  </si>
  <si>
    <t>战争饥渴</t>
  </si>
  <si>
    <t>诅咒一个敌人,使他在一定时间内持续流失生命值。</t>
  </si>
  <si>
    <t>反击螺旋</t>
  </si>
  <si>
    <t>斧王反击他的敌人,对周围所以敌人造成物理伤害。</t>
  </si>
  <si>
    <t>咆哮</t>
  </si>
  <si>
    <t>飞锤</t>
  </si>
  <si>
    <t>丢出一个魔法锤，眩晕目标。</t>
  </si>
  <si>
    <t>暴击</t>
  </si>
  <si>
    <t>用力劈砍目标，造成较高物理伤害。</t>
  </si>
  <si>
    <t>吸血光环</t>
  </si>
  <si>
    <t>不死</t>
  </si>
  <si>
    <t>骷髅王在死亡后3秒会自动复活，并恢复一定生命值。骷髅王每次出战只能复活1次。</t>
  </si>
  <si>
    <t>守护</t>
  </si>
  <si>
    <t>神术守护友军，让所有友军免疫物理伤害。</t>
  </si>
  <si>
    <t>圣光</t>
  </si>
  <si>
    <t>用圣光治疗一个最虚弱的友军。</t>
  </si>
  <si>
    <t>驱散</t>
  </si>
  <si>
    <t>用神术驱散伤害魔法，令友军免疫魔法伤害一段时间。</t>
  </si>
  <si>
    <t>祝福</t>
  </si>
  <si>
    <t>冲锋</t>
  </si>
  <si>
    <t>神灵武士誓与敌人同归于尽，消耗自身40%剩余生命值，向敌人发起自杀式冲锋，短时间极大提升自己的攻击力和攻击速度。</t>
  </si>
  <si>
    <t>血沸之矛</t>
  </si>
  <si>
    <t>用鲜血让长矛燃烧，对命中的敌人造成额外持续伤害。</t>
  </si>
  <si>
    <t>活血术</t>
  </si>
  <si>
    <t>使用传统的巨魔医术，治疗受伤最严重的队友。使其在一段时间内持续回复生命。</t>
  </si>
  <si>
    <t>狂战士</t>
  </si>
  <si>
    <t>沟壑</t>
  </si>
  <si>
    <t>撕裂地表，形成巨大的沟壑。对所有敌人造成魔法伤害,并震晕他们。</t>
  </si>
  <si>
    <t>强化图腾</t>
  </si>
  <si>
    <t>横扫前面的敌人，造成魔法伤害并击晕他们。</t>
  </si>
  <si>
    <t>回音</t>
  </si>
  <si>
    <t>重击地面，对附近的敌人造成魔法伤害,并击晕他们。</t>
  </si>
  <si>
    <t>回光</t>
  </si>
  <si>
    <t>死亡骑士为自己创造一个吸收伤害的护盾，护盾吸收的伤害将转化为死亡骑士的生命值。</t>
  </si>
  <si>
    <t>缠绕</t>
  </si>
  <si>
    <t>向战场上最虚弱的单位发射死亡缠绕。如果他是敌人，死亡缠绕会对他造成魔法伤害；如果他是友军，死亡缠绕会治疗他的生命值。</t>
  </si>
  <si>
    <t>暗光盾</t>
  </si>
  <si>
    <t>用黑暗能量创造一面暗之盾，保护最虚弱的队友。当暗之盾消失时，黑暗能量会发生爆炸，对附近的敌人造成魔法伤害。</t>
  </si>
  <si>
    <t>冰霜结界</t>
  </si>
  <si>
    <t>投掷</t>
  </si>
  <si>
    <t>抓住一个敌人并扔出去，对所有被砸中的敌人造成魔法伤害。</t>
  </si>
  <si>
    <t>拔树</t>
  </si>
  <si>
    <t>小小拔起一棵树作为武器，大幅增加攻击范围，并提升伤害。</t>
  </si>
  <si>
    <t>山崩</t>
  </si>
  <si>
    <t>用岩石轰炸一个区域，造成魔法伤害,并晕眩敌人。</t>
  </si>
  <si>
    <t>石肤</t>
  </si>
  <si>
    <t>醉拳</t>
  </si>
  <si>
    <t>熊喵的拳脚功夫把敌人打得七晕八素，造成一连串的物理伤害。</t>
  </si>
  <si>
    <t>酒雾</t>
  </si>
  <si>
    <t>击碎一个酒桶，用弥散的酒精笼罩敌人，造成魔法伤害。醉酒的敌人会大幅降低物理命中和闪避率。</t>
  </si>
  <si>
    <t>雷霆震落</t>
  </si>
  <si>
    <t>熊喵用他沉重的身体跺击大地，造成物理伤害，并短暂眩晕敌人。</t>
  </si>
  <si>
    <t>元素之力</t>
  </si>
  <si>
    <t>星落</t>
  </si>
  <si>
    <t>神箭召唤流星雨，对自己周围的敌人造成魔法伤害。</t>
  </si>
  <si>
    <t>虎跃</t>
  </si>
  <si>
    <t>英勇地跳进战场并鼓舞友军。提升所有友军25%的移动速度和攻击速度，并提高攻击力和魔法强度。</t>
  </si>
  <si>
    <t>月神箭</t>
  </si>
  <si>
    <t>射出月神之箭，对命中的敌人造成物理伤害和长时间眩晕。</t>
  </si>
  <si>
    <t>伏击</t>
  </si>
  <si>
    <t>等离子场</t>
  </si>
  <si>
    <t>自身放出一圈电球然后收回，对穿过的敌人造成2次魔法伤害。</t>
  </si>
  <si>
    <t>风暴</t>
  </si>
  <si>
    <t>召唤乌云和闪电，对目标造成多次魔法伤害。</t>
  </si>
  <si>
    <t>电刃链接</t>
  </si>
  <si>
    <t>紊乱电流</t>
  </si>
  <si>
    <t>能量虚空</t>
  </si>
  <si>
    <t>敌法闪烁到智力最高的敌人身后，以目标为中心施放能量虚空，造成巨大的魔法伤害。</t>
  </si>
  <si>
    <t>能量燃烧</t>
  </si>
  <si>
    <t>敌法闪烁到智力最高的敌人身边攻击，造成小范围物理伤害并额外损毁敌人的能量。</t>
  </si>
  <si>
    <t>战刃技巧</t>
  </si>
  <si>
    <t>魔法盾</t>
  </si>
  <si>
    <t>剧毒撕咬</t>
  </si>
  <si>
    <t>亚龙吐出一团毒液，并造成巨大的持续伤害。</t>
  </si>
  <si>
    <t>毒液之球</t>
  </si>
  <si>
    <t>亚龙射出一小团毒液，对敌人造成魔法伤害。毒液将腐蚀敌人的护甲，并在一段时间内造成持续伤害。</t>
  </si>
  <si>
    <t>毒液皮肤</t>
  </si>
  <si>
    <t>淬毒箭矢</t>
  </si>
  <si>
    <t>战术核打击</t>
  </si>
  <si>
    <t>使用核弹打击敌军后方的重要目标，造成范围物理伤害。</t>
  </si>
  <si>
    <t>地狱火飞弹</t>
  </si>
  <si>
    <t>发射一枚地狱火飞弹，穿过前排敌人打击敌军后方。对击中的敌人造成物理伤害并眩晕。</t>
  </si>
  <si>
    <t>加特林机枪</t>
  </si>
  <si>
    <t>飞机掠过敌方阵地，并用机枪扫射所有敌人。</t>
  </si>
  <si>
    <t>穿甲弹头</t>
  </si>
  <si>
    <t>牺牲</t>
  </si>
  <si>
    <t>和一个敌人交换位置。</t>
  </si>
  <si>
    <t>魔法箭</t>
  </si>
  <si>
    <t>向一个敌人发射魔法箭，造成魔法伤害，并晕眩。</t>
  </si>
  <si>
    <t>波动</t>
  </si>
  <si>
    <t>唤起敌人内心深处的恐惧，对一大片区域内的敌人造成魔法伤害，并降低他们的护甲。</t>
  </si>
  <si>
    <t>命令光环</t>
  </si>
  <si>
    <t>死亡契约</t>
  </si>
  <si>
    <t>签订契约，回复自身血量，并大幅度增加攻击力，效果持续到本场战斗结束（可叠加）。</t>
  </si>
  <si>
    <t>火箭</t>
  </si>
  <si>
    <t>射出一只火箭，造成额外物理伤害。</t>
  </si>
  <si>
    <t>速射</t>
  </si>
  <si>
    <t>速射，增加攻击速度。</t>
  </si>
  <si>
    <t>隐匿刺杀</t>
  </si>
  <si>
    <t>狙击</t>
  </si>
  <si>
    <t>狙击敌方最虚弱的目标，造成巨大的物理伤害。</t>
  </si>
  <si>
    <t>爆头</t>
  </si>
  <si>
    <t>对敌方单体造成物理伤害并短暂眩晕</t>
  </si>
  <si>
    <t>榴弹</t>
  </si>
  <si>
    <t>传说哥的榴弹攻击数个敌人造成魔法伤害。</t>
  </si>
  <si>
    <t>敏捷强化</t>
  </si>
  <si>
    <t>无敌斩</t>
  </si>
  <si>
    <t>瞬间出剑6次，攻击敌阵中随机目标。因为速度太快，没有人在施放无敌斩期间击中剑圣。</t>
  </si>
  <si>
    <t>剑刃风暴</t>
  </si>
  <si>
    <t>舞起剑刃风暴切人敌军,对周围的敌方单位造成物理伤害。剑圣此时对魔法免疫。</t>
  </si>
  <si>
    <t>治疗图腾</t>
  </si>
  <si>
    <t>放置一个治疗图腾,为所有队友缓慢恢复生命值。</t>
  </si>
  <si>
    <t>剑舞</t>
  </si>
  <si>
    <t>战吼</t>
  </si>
  <si>
    <t>巨魔用狂野的战吼激发队友的战意，提升所有友军25%的移动速度和攻击速度，并提高攻击力和魔法强度。</t>
  </si>
  <si>
    <t>旋风斧</t>
  </si>
  <si>
    <t>巨魔扔出3把旋转的飞斧，对前方大片区域造成物理伤害。</t>
  </si>
  <si>
    <t>战斧技巧</t>
  </si>
  <si>
    <t>巨魔不仅投掷飞斧，还会用巨斧砍杀靠近的敌人。</t>
  </si>
  <si>
    <t>战魂</t>
  </si>
  <si>
    <t>狂击</t>
  </si>
  <si>
    <t>震击</t>
  </si>
  <si>
    <t>宣泄</t>
  </si>
  <si>
    <t>激怒</t>
  </si>
  <si>
    <t>石化</t>
  </si>
  <si>
    <t>石化眼眸凝视对方，石化前方中等范围的敌人。</t>
  </si>
  <si>
    <t>分裂箭</t>
  </si>
  <si>
    <t>对场上的敌人同时射击造成物理伤害。</t>
  </si>
  <si>
    <t>秘术蛇</t>
  </si>
  <si>
    <t>美杜莎可以偷取数个敌人的能量。</t>
  </si>
  <si>
    <t>箭雨</t>
  </si>
  <si>
    <t>对所看到的敌人射出多只箭，输出成吨的物理伤害。</t>
  </si>
  <si>
    <t>冰箭</t>
  </si>
  <si>
    <t>射出一只冰箭，对目标造成物理伤害。</t>
  </si>
  <si>
    <t>沉默数个敌人，使其无法使用技能。</t>
  </si>
  <si>
    <t>射手天赋</t>
  </si>
  <si>
    <t>海妖之歌</t>
  </si>
  <si>
    <t>塞壬海妖的歌声让附近的敌人陷入沉睡。</t>
  </si>
  <si>
    <t>激流斩击</t>
  </si>
  <si>
    <t>挥舞长刀，对附近的敌人造成物理伤害。</t>
  </si>
  <si>
    <t>诱捕</t>
  </si>
  <si>
    <t>娜迦撒出一张网，造成魔法伤害。被网住的敌人无法移动、闪避或进行物理攻击。</t>
  </si>
  <si>
    <t>镜像防御</t>
  </si>
  <si>
    <t>魂之挽歌</t>
  </si>
  <si>
    <t>释放冤魂，以自己为中心造成大范围的魔法伤害。当影魔死亡时，会立即释放一次魂之挽歌。</t>
  </si>
  <si>
    <t>月蚀</t>
  </si>
  <si>
    <t>月光</t>
  </si>
  <si>
    <t>月刃</t>
  </si>
  <si>
    <t>月骑的利刃可以在敌人之间多次弹射，造成更多物理伤害，每次弹射后伤害会降低。</t>
  </si>
  <si>
    <t>月祈</t>
  </si>
  <si>
    <t>暗影波</t>
  </si>
  <si>
    <t>暗牧发出一个弹跳的暗影波治疗友军。</t>
  </si>
  <si>
    <t>毒指</t>
  </si>
  <si>
    <t>剧毒的手指穿越时空击中敌人，让目标中毒，造成魔法伤害。</t>
  </si>
  <si>
    <t>薄葬</t>
  </si>
  <si>
    <t>让生命值最低的队友一段时间内不会死亡。</t>
  </si>
  <si>
    <t>编织</t>
  </si>
  <si>
    <t>暴风雪</t>
  </si>
  <si>
    <t>召唤暴风雪，大面积范围造成成吨的魔法伤害。</t>
  </si>
  <si>
    <t>冰封</t>
  </si>
  <si>
    <t>用一颗冰弹冰冻目标，造成魔法伤害并眩晕。</t>
  </si>
  <si>
    <t>冰暴术</t>
  </si>
  <si>
    <t>冰爆术攻击一个区域的敌人，令敌人减速并造成魔法伤害。</t>
  </si>
  <si>
    <t>辉煌</t>
  </si>
  <si>
    <t>静默领域</t>
  </si>
  <si>
    <t>令所有敌人陷入沉默,无法释放任何魔法。</t>
  </si>
  <si>
    <t>遗言</t>
  </si>
  <si>
    <t>令一名敌人陷入沉默,无法释放任何魔法,同时对其造成魔法伤害。</t>
  </si>
  <si>
    <t>静默诅咒</t>
  </si>
  <si>
    <t>用静默诅咒打击一个区域内的敌人,对他们造成魔法伤害，并使他们流失一定的能量。</t>
  </si>
  <si>
    <t>智慧之刃</t>
  </si>
  <si>
    <t>沉默术士的普通攻击附带法球效果,对敌人造成神圣伤害。</t>
  </si>
  <si>
    <t>死亡之指</t>
  </si>
  <si>
    <t>对目标放出一道闪电，造成大量魔法伤害。</t>
  </si>
  <si>
    <t>穿刺</t>
  </si>
  <si>
    <t>召唤一道尖刺，击飞被刺中的敌人并附带少量魔法伤害。</t>
  </si>
  <si>
    <t>妖术</t>
  </si>
  <si>
    <t>把敌人变成一只小动物。</t>
  </si>
  <si>
    <t>暴击强化</t>
  </si>
  <si>
    <t>飓风箭</t>
  </si>
  <si>
    <t>风之箭矢，击退途径的敌人造成魔法伤害。</t>
  </si>
  <si>
    <t>束缚箭</t>
  </si>
  <si>
    <t>对敌方造成魔法伤害并眩晕。</t>
  </si>
  <si>
    <t>集火术</t>
  </si>
  <si>
    <t>风行集中火力对目标快速射出数只箭矢。</t>
  </si>
  <si>
    <t>风行术</t>
  </si>
  <si>
    <t>生命吸取</t>
  </si>
  <si>
    <t>持续的对目标造成魔法伤害，并偷取目标的生命。</t>
  </si>
  <si>
    <t>爆轰</t>
  </si>
  <si>
    <t>在目标脚下引爆死灵魔法，造成中范围魔法伤害。</t>
  </si>
  <si>
    <t>衰老</t>
  </si>
  <si>
    <t>使一个敌方单位无法攻击，提升他的护甲并降低他的魔抗。</t>
  </si>
  <si>
    <t>幽冥守卫</t>
  </si>
  <si>
    <t>动感光波</t>
  </si>
  <si>
    <t>光法师开始为他的法杖充能，随后施放一道冲击波对前方所有敌人造成魔法伤害。充能的时间最长为5秒，充能时间越久，冲击波伤害越高。充能时，再次点击英雄头像，可以立刻结束充能并施放冲击波。</t>
  </si>
  <si>
    <t>查克拉能量</t>
  </si>
  <si>
    <t>光法师使用奥术魔法，为一名队友恢复能量。光法师会把能量输送给当前能量最高的队友，但不包括能量值已满的英雄。</t>
  </si>
  <si>
    <t>闪光爆</t>
  </si>
  <si>
    <t>光法师用一道光芒将敌人致盲，并造成魔法伤害。被致盲的敌人物理攻击命中率会大幅降低。</t>
  </si>
  <si>
    <t>光魂</t>
  </si>
  <si>
    <t>神蚀</t>
  </si>
  <si>
    <t>往敌军阵营中施放远古心灵魔法，对力量型和敏捷型敌人造成巨大伤害，但不会影响智力型敌人。</t>
  </si>
  <si>
    <t>奥弹</t>
  </si>
  <si>
    <t>发出一个法球造成额外的伤害。</t>
  </si>
  <si>
    <t>禁锢</t>
  </si>
  <si>
    <t>放逐随机一个敌方目标，使其无法攻击和被攻击。</t>
  </si>
  <si>
    <t>通灵</t>
  </si>
  <si>
    <t>神灭斩</t>
  </si>
  <si>
    <t>对目标放出一道闪电，造成大量的魔法伤害。</t>
  </si>
  <si>
    <t>龙破斩</t>
  </si>
  <si>
    <t>用火焰斩击，造成大范围魔法伤害。</t>
  </si>
  <si>
    <t>光击阵</t>
  </si>
  <si>
    <t>从随机敌人脚下召唤火圈，造成小范围魔法伤害和眩晕。</t>
  </si>
  <si>
    <t>焰魂</t>
  </si>
  <si>
    <t>原始的食人魔法术，对敌人造成魔法伤害，可以促发多重施法。</t>
  </si>
  <si>
    <t>燃烧瓶</t>
  </si>
  <si>
    <t>投掷一个燃烧瓶将敌人点燃，造成魔法伤害，燃烧的火焰会对附近的所有敌人造成持续伤害。</t>
  </si>
  <si>
    <t>嗜血术</t>
  </si>
  <si>
    <t>随机对一名队友释放嗜血术，大幅提高他的攻击和施法速度。</t>
  </si>
  <si>
    <t>冰封路径</t>
  </si>
  <si>
    <t>双头龙向前方喷吐寒气，一段时间后会冰冻前方敌人。</t>
  </si>
  <si>
    <t>冰火两重</t>
  </si>
  <si>
    <t>双头龙的两个脑袋吐出寒冰与烈焰，对前方敌人造成两次魔法伤害。</t>
  </si>
  <si>
    <t>火焰路径</t>
  </si>
  <si>
    <t>双头龙释放烈焰风暴，对前方敌人造成魔法伤害，及燃烧的持续伤害。</t>
  </si>
  <si>
    <t>液态火焰</t>
  </si>
  <si>
    <t>双头龙喷吐出一团流动的火焰，对敌人造成魔法伤害。液态火在命中目标后，会继续向前流动一小段距离。</t>
  </si>
  <si>
    <t>死神召唤</t>
  </si>
  <si>
    <t>召唤死神斩击最弱的敌人，根据敌人已经损失的生命值，给予一定比例的魔法伤害（初始比例为40%)，并眩晕目标。</t>
  </si>
  <si>
    <t>生命脉动</t>
  </si>
  <si>
    <t>释放一批亡魂，用他们的能量治疗附近的队友，并伤害附近的敌人。</t>
  </si>
  <si>
    <t>生命契约</t>
  </si>
  <si>
    <t>魔法契约</t>
  </si>
  <si>
    <t>地狱火</t>
  </si>
  <si>
    <t>术士召唤陨石从天而降，被砸中的敌人受到魔法伤害和短暂眩晕，陨石落地后将变成威力巨大的地狱火为术士战斗。</t>
  </si>
  <si>
    <t>暗言术</t>
  </si>
  <si>
    <t>术士用真言对范围内最虚弱的人释放持续性魔法，若是友军则治疗，若是敌军则造成伤害。</t>
  </si>
  <si>
    <t>烈火之拳</t>
  </si>
  <si>
    <t>术士召唤的地狱火用烈焰的拳头重击并击晕眼前的敌人。</t>
  </si>
  <si>
    <t>火焰领域</t>
  </si>
  <si>
    <t>术士召唤的地狱火身上的火焰会持续的灼烧他附近的敌人。</t>
  </si>
  <si>
    <t>亡灵召唤</t>
  </si>
  <si>
    <t>召唤大群怨灵攻击敌人，对全场敌人造成魔法伤害，并为死亡先知吸取一定比例的生命值。吸取的生命值会在怨灵消散后输送给死亡先知。</t>
  </si>
  <si>
    <t>蝠群冲击</t>
  </si>
  <si>
    <t>死亡先知用巫术召唤一大群蝙蝠，攻击前方大面积敌人造成魔法伤害。</t>
  </si>
  <si>
    <t>死亡先知利用死亡魔法沉默大范围的敌人，使其无法释放法术。</t>
  </si>
  <si>
    <t>巫术精修</t>
  </si>
  <si>
    <t>超声波</t>
  </si>
  <si>
    <t>女王发出尖叫，对敌方全体造成大量魔法伤害。</t>
  </si>
  <si>
    <t>毒镖</t>
  </si>
  <si>
    <t>扔出一个淬毒匕首，对目标造成魔法伤害。</t>
  </si>
  <si>
    <t>尖叫</t>
  </si>
  <si>
    <t>跳入敌人之中发出锐利的尖叫，对正前方敌人造成魔法伤害。</t>
  </si>
  <si>
    <t>闪烁</t>
  </si>
  <si>
    <t>连环霜冻</t>
  </si>
  <si>
    <t>召唤一颗冰霜新星飞向敌人，冰霜新星会在敌人之间弹射，每次弹射都会造成小范围魔法伤害。</t>
  </si>
  <si>
    <t>霜星</t>
  </si>
  <si>
    <t>用冰霜法术引爆目标区域，造成小范围魔法伤害。</t>
  </si>
  <si>
    <t>冰甲</t>
  </si>
  <si>
    <t>为最虚弱的友军凝聚冰霜护甲，一段时间内增加其护甲。</t>
  </si>
  <si>
    <t>凋零</t>
  </si>
  <si>
    <t>复苏</t>
  </si>
  <si>
    <t>召唤大自然的力量，治疗己方全体。</t>
  </si>
  <si>
    <t>推进</t>
  </si>
  <si>
    <t>投掷标枪，附加额外的魔法伤害。</t>
  </si>
  <si>
    <t>魅惑</t>
  </si>
  <si>
    <t>魅惑一个敌人，令他转身攻击自己的同伴。</t>
  </si>
  <si>
    <t>不可侵犯</t>
  </si>
  <si>
    <t>极限超载</t>
  </si>
  <si>
    <t>直升机超载他的机械，发出成吨导弹和激光造成伤害。</t>
  </si>
  <si>
    <t>激光</t>
  </si>
  <si>
    <t>放出一道激光对敌人造成魔法伤害。</t>
  </si>
  <si>
    <t>地精飞弹</t>
  </si>
  <si>
    <t>导弹追踪敌人，爆炸造成小范围魔法伤害。</t>
  </si>
  <si>
    <t>机械大师</t>
  </si>
  <si>
    <t>天神之怒</t>
  </si>
  <si>
    <t>召唤雷电，对敌方全体造成魔法伤害。</t>
  </si>
  <si>
    <t>闪电链</t>
  </si>
  <si>
    <t>释放一道弹跳的闪电，对数个敌人造成魔法伤害。</t>
  </si>
  <si>
    <t>落雷</t>
  </si>
  <si>
    <t>闪电劈中一个敌人，造成大量魔法伤害。</t>
  </si>
  <si>
    <t>静电场</t>
  </si>
  <si>
    <t>激光炮</t>
  </si>
  <si>
    <t>兴奋剂</t>
  </si>
  <si>
    <t>充足火力</t>
  </si>
  <si>
    <t>穿透子弹</t>
  </si>
  <si>
    <t>技能1+属性</t>
    <phoneticPr fontId="1" type="noConversion"/>
  </si>
  <si>
    <t>技能2+属性</t>
  </si>
  <si>
    <t>技能3+属性</t>
  </si>
  <si>
    <t>技能4+属性</t>
  </si>
  <si>
    <t>技能1+值基础</t>
    <phoneticPr fontId="1" type="noConversion"/>
  </si>
  <si>
    <t>技能2+值基础</t>
  </si>
  <si>
    <t>技能3+值基础</t>
  </si>
  <si>
    <t>技能4+值基础</t>
  </si>
  <si>
    <t>技能1+值成长</t>
    <phoneticPr fontId="1" type="noConversion"/>
  </si>
  <si>
    <t>物理护甲</t>
    <phoneticPr fontId="1" type="noConversion"/>
  </si>
  <si>
    <t>力量</t>
    <phoneticPr fontId="1" type="noConversion"/>
  </si>
  <si>
    <t>技能4+值基础</t>
    <phoneticPr fontId="1" type="noConversion"/>
  </si>
  <si>
    <t>光环：让友军隐藏在月神的阴影中，增加全队的敏捷。</t>
    <phoneticPr fontId="1" type="noConversion"/>
  </si>
  <si>
    <t>光环：将月神的祝福分享给所有队友，增加全队的物理攻击力。</t>
    <phoneticPr fontId="1" type="noConversion"/>
  </si>
  <si>
    <t>魔法强度</t>
    <phoneticPr fontId="1" type="noConversion"/>
  </si>
  <si>
    <t>光环：增加己方全体攻击。</t>
    <phoneticPr fontId="1" type="noConversion"/>
  </si>
  <si>
    <t>物理暴击</t>
    <phoneticPr fontId="1" type="noConversion"/>
  </si>
  <si>
    <t>物理攻击</t>
    <phoneticPr fontId="1" type="noConversion"/>
  </si>
  <si>
    <t>光环：巫妖的存在使敌人本能的感到恐惧，削减敌方魔抗。</t>
    <phoneticPr fontId="1" type="noConversion"/>
  </si>
  <si>
    <t>光环：为队友施加祝福，减少他们受到的物理伤害。</t>
    <phoneticPr fontId="1" type="noConversion"/>
  </si>
  <si>
    <t>魔法抗性</t>
    <phoneticPr fontId="1" type="noConversion"/>
  </si>
  <si>
    <t>生命值</t>
    <phoneticPr fontId="1" type="noConversion"/>
  </si>
  <si>
    <t>光环：增加己方全体的吸血效果。</t>
    <phoneticPr fontId="1" type="noConversion"/>
  </si>
  <si>
    <t>光环：令所有队友战斗中缓慢回复能量。</t>
    <phoneticPr fontId="1" type="noConversion"/>
  </si>
  <si>
    <t>敏捷</t>
    <phoneticPr fontId="1" type="noConversion"/>
  </si>
  <si>
    <t>光环：光法师使用灿烂的光辉引导他的队友，大幅提高全队的法术强度。</t>
    <phoneticPr fontId="1" type="noConversion"/>
  </si>
  <si>
    <t>闪避</t>
    <phoneticPr fontId="1" type="noConversion"/>
  </si>
  <si>
    <t>被动：潮汐坚硬的外壳可以抵挡伤害，增加自身的护甲。</t>
    <phoneticPr fontId="1" type="noConversion"/>
  </si>
  <si>
    <t>被动：属性强化，增加力量。</t>
    <phoneticPr fontId="1" type="noConversion"/>
  </si>
  <si>
    <t>被动：属性强化，增加自己的力量。</t>
    <phoneticPr fontId="1" type="noConversion"/>
  </si>
  <si>
    <t>被动：受到攻击时会迷惑对手，降低受到的物理伤害。</t>
    <phoneticPr fontId="1" type="noConversion"/>
  </si>
  <si>
    <t>被动：巨魔的攻击异常迅捷，大幅提升攻击速度。</t>
    <phoneticPr fontId="1" type="noConversion"/>
  </si>
  <si>
    <t>被动：小小的身体由坚硬的花岗岩组成,大幅提升护甲。</t>
    <phoneticPr fontId="1" type="noConversion"/>
  </si>
  <si>
    <t>被动：元素的力量让熊喵的身体更加强壮，增加力量。</t>
    <phoneticPr fontId="1" type="noConversion"/>
  </si>
  <si>
    <t>偷取一名敌人的物理攻击力，效果持续至本场战斗结束。</t>
    <phoneticPr fontId="1" type="noConversion"/>
  </si>
  <si>
    <t>被动：电魂身体周围的电流可以中和魔法，增加魔抗。</t>
    <phoneticPr fontId="1" type="noConversion"/>
  </si>
  <si>
    <t>被动：敌法加速旋转他的刀刃，增加他的敏捷。</t>
    <phoneticPr fontId="1" type="noConversion"/>
  </si>
  <si>
    <t>被动：亚龙的身体由毒素覆盖，可以抵御魔法的伤害。</t>
    <phoneticPr fontId="1" type="noConversion"/>
  </si>
  <si>
    <t>被动：亚龙在他的箭矢上淬毒，大幅提升物理攻击力。</t>
    <phoneticPr fontId="1" type="noConversion"/>
  </si>
  <si>
    <t>被动：隐匿在暗处现身一击，增加暴击。</t>
    <phoneticPr fontId="1" type="noConversion"/>
  </si>
  <si>
    <t>被动：属性附加，增加敏捷。</t>
    <phoneticPr fontId="1" type="noConversion"/>
  </si>
  <si>
    <t>被动：野兽的力量使拍拍熊大幅提升攻击力。</t>
    <phoneticPr fontId="1" type="noConversion"/>
  </si>
  <si>
    <t>被动：野性的怒火使拍拍熊大幅提升暴击。</t>
    <phoneticPr fontId="1" type="noConversion"/>
  </si>
  <si>
    <t>被动：疾行如风，闪避受到的攻击，增加闪避。</t>
    <phoneticPr fontId="1" type="noConversion"/>
  </si>
  <si>
    <t>被动：死灵法师凭借对死亡的深刻理解，大幅增加魔法抗性。</t>
    <phoneticPr fontId="1" type="noConversion"/>
  </si>
  <si>
    <t>被动：死灵法师凭借对生命的深刻理解，大幅增加生命值。</t>
    <phoneticPr fontId="1" type="noConversion"/>
  </si>
  <si>
    <t>被动：死亡先知不断的提升自己的巫术技巧，增加魔法强度。</t>
    <phoneticPr fontId="1" type="noConversion"/>
  </si>
  <si>
    <t>被动：静电让宙斯的闪电增加伤害，增加魔法攻击。</t>
    <phoneticPr fontId="1" type="noConversion"/>
  </si>
  <si>
    <t>护甲</t>
    <phoneticPr fontId="1" type="noConversion"/>
  </si>
  <si>
    <t>被动：战争怒吼大幅提升斧王的护甲。</t>
    <phoneticPr fontId="1" type="noConversion"/>
  </si>
  <si>
    <t>英雄</t>
    <phoneticPr fontId="1" type="noConversion"/>
  </si>
  <si>
    <t>技能</t>
    <phoneticPr fontId="1" type="noConversion"/>
  </si>
  <si>
    <t>光环：以复仇的名义而战，增加全队的物理攻击力。</t>
    <phoneticPr fontId="1" type="noConversion"/>
  </si>
  <si>
    <t>被动：狂战士的血液会让他拥有小强一般的生存能力，大幅增加魔法抗性。</t>
    <phoneticPr fontId="1" type="noConversion"/>
  </si>
  <si>
    <t>魔法抗性</t>
    <phoneticPr fontId="1" type="noConversion"/>
  </si>
  <si>
    <t>光环：死亡骑士的身边凝结了强大的冰霜结界，可以保护他的队友，抵御魔法伤害。</t>
    <phoneticPr fontId="1" type="noConversion"/>
  </si>
  <si>
    <t>被动：牛头人体格强壮，大幅提升力量。</t>
    <phoneticPr fontId="1" type="noConversion"/>
  </si>
  <si>
    <t>力量</t>
    <phoneticPr fontId="1" type="noConversion"/>
  </si>
  <si>
    <t>被动：食人魔体格强壮，大幅提升力量。</t>
    <phoneticPr fontId="1" type="noConversion"/>
  </si>
  <si>
    <t>被动：敌法利用对魔法能量的理解减少受到的伤害，增加魔抗。</t>
    <phoneticPr fontId="1" type="noConversion"/>
  </si>
  <si>
    <t>被动：女王灵活的出入战场躲避敌方的攻击。</t>
    <phoneticPr fontId="1" type="noConversion"/>
  </si>
  <si>
    <t>物理暴击</t>
    <phoneticPr fontId="1" type="noConversion"/>
  </si>
  <si>
    <t>被动：美杜莎的魔法护盾可以吸收部分伤害，增加血量。</t>
    <phoneticPr fontId="1" type="noConversion"/>
  </si>
  <si>
    <t>生命值</t>
    <phoneticPr fontId="1" type="noConversion"/>
  </si>
  <si>
    <t>魔法暴击</t>
    <phoneticPr fontId="1" type="noConversion"/>
  </si>
  <si>
    <t>光环：编织时空的裂隙，降低敌方全体护甲。</t>
    <phoneticPr fontId="1" type="noConversion"/>
  </si>
  <si>
    <t>穿透护甲</t>
    <phoneticPr fontId="1" type="noConversion"/>
  </si>
  <si>
    <t>被动：直升机使用最新的穿甲弹头，增加护甲穿透。</t>
    <phoneticPr fontId="1" type="noConversion"/>
  </si>
  <si>
    <t>被动：黑鸟借用空间中的能量，增加智力。</t>
    <phoneticPr fontId="1" type="noConversion"/>
  </si>
  <si>
    <t>智力</t>
    <phoneticPr fontId="1" type="noConversion"/>
  </si>
  <si>
    <t>被动：增加物理攻击的暴击。</t>
    <phoneticPr fontId="1" type="noConversion"/>
  </si>
  <si>
    <t>被动：借用恶魔的力量，增加法术暴击。</t>
    <phoneticPr fontId="1" type="noConversion"/>
  </si>
  <si>
    <t>被动：高超的剑术可以轻易击中敌人的要害，大幅提高暴击。</t>
    <phoneticPr fontId="1" type="noConversion"/>
  </si>
  <si>
    <t>闪避</t>
    <phoneticPr fontId="1" type="noConversion"/>
  </si>
  <si>
    <t>被动：娜迦的剑术出神入化，可以轻易的闪避敌人的攻击。</t>
    <phoneticPr fontId="1" type="noConversion"/>
  </si>
  <si>
    <t>英雄技能</t>
    <phoneticPr fontId="1" type="noConversion"/>
  </si>
  <si>
    <t>技能属性</t>
    <phoneticPr fontId="1" type="noConversion"/>
  </si>
  <si>
    <r>
      <rPr>
        <sz val="11"/>
        <color indexed="8"/>
        <rFont val="宋体"/>
        <family val="3"/>
        <charset val="134"/>
      </rPr>
      <t>技能</t>
    </r>
    <r>
      <rPr>
        <sz val="11"/>
        <color indexed="8"/>
        <rFont val="Calibri"/>
        <family val="2"/>
      </rPr>
      <t>1</t>
    </r>
    <phoneticPr fontId="1" type="noConversion"/>
  </si>
  <si>
    <r>
      <rPr>
        <sz val="11"/>
        <color indexed="8"/>
        <rFont val="宋体"/>
        <family val="3"/>
        <charset val="134"/>
      </rPr>
      <t>技能</t>
    </r>
    <r>
      <rPr>
        <sz val="11"/>
        <color indexed="8"/>
        <rFont val="Calibri"/>
        <family val="2"/>
      </rPr>
      <t>2</t>
    </r>
    <r>
      <rPr>
        <sz val="11"/>
        <color theme="1"/>
        <rFont val="宋体"/>
        <family val="3"/>
        <charset val="134"/>
        <scheme val="minor"/>
      </rPr>
      <t/>
    </r>
  </si>
  <si>
    <r>
      <rPr>
        <sz val="11"/>
        <color indexed="8"/>
        <rFont val="宋体"/>
        <family val="3"/>
        <charset val="134"/>
      </rPr>
      <t>技能</t>
    </r>
    <r>
      <rPr>
        <sz val="11"/>
        <color indexed="8"/>
        <rFont val="Calibri"/>
        <family val="2"/>
      </rPr>
      <t>3</t>
    </r>
    <r>
      <rPr>
        <sz val="11"/>
        <color theme="1"/>
        <rFont val="宋体"/>
        <family val="3"/>
        <charset val="134"/>
        <scheme val="minor"/>
      </rPr>
      <t/>
    </r>
  </si>
  <si>
    <r>
      <rPr>
        <sz val="11"/>
        <color indexed="8"/>
        <rFont val="宋体"/>
        <family val="3"/>
        <charset val="134"/>
      </rPr>
      <t>技能</t>
    </r>
    <r>
      <rPr>
        <sz val="11"/>
        <color indexed="8"/>
        <rFont val="Calibri"/>
        <family val="2"/>
      </rPr>
      <t>4</t>
    </r>
    <r>
      <rPr>
        <sz val="11"/>
        <color theme="1"/>
        <rFont val="宋体"/>
        <family val="3"/>
        <charset val="134"/>
        <scheme val="minor"/>
      </rPr>
      <t/>
    </r>
  </si>
  <si>
    <t>机枪兵</t>
    <phoneticPr fontId="1" type="noConversion"/>
  </si>
  <si>
    <t>http://www.18183.com/dtcq/gonglue/yxgl/llyx/list_4959_6.html</t>
    <phoneticPr fontId="1" type="noConversion"/>
  </si>
  <si>
    <t>光环：骨法的幽冥守卫反击敌方魔法，增加己方全体的魔法抗性。</t>
    <phoneticPr fontId="1" type="noConversion"/>
  </si>
  <si>
    <t>刚毛后背</t>
  </si>
  <si>
    <t>刚背猪露出自己的刚毛后背，大幅减少受到的伤害。针刺扫射的被动效果会累积大招减免前的伤害量。</t>
  </si>
  <si>
    <t>粘稠鼻涕</t>
  </si>
  <si>
    <t>用鼻涕包裹一个敌方单位，减少他的护甲。</t>
  </si>
  <si>
    <t>刺针扫射</t>
  </si>
  <si>
    <t>刚背猪累积受到一定伤害（包括刚毛后背减免的部分）后会自动将身上的尖刺发射出去，对周围的敌人造成物理伤害。</t>
  </si>
  <si>
    <t>战意</t>
  </si>
  <si>
    <t>被动：刚背猪激发自己的战斗意志，增加攻击力。</t>
    <phoneticPr fontId="1" type="noConversion"/>
  </si>
  <si>
    <t>4.添加了一部分道具的附魔属性</t>
    <phoneticPr fontId="1" type="noConversion"/>
  </si>
  <si>
    <t>5.添加了一部分英雄的装备</t>
    <phoneticPr fontId="1" type="noConversion"/>
  </si>
  <si>
    <t>6.检查了大多数英雄的初始属性，网上数据错误太多了</t>
    <phoneticPr fontId="1" type="noConversion"/>
  </si>
  <si>
    <t>7.检查英雄成长数据，把所有网上数据错误全部修改</t>
    <phoneticPr fontId="1" type="noConversion"/>
  </si>
  <si>
    <t>1.加入英雄的技能介绍</t>
    <phoneticPr fontId="1" type="noConversion"/>
  </si>
  <si>
    <t>2.将被动技能属性加入计算</t>
    <phoneticPr fontId="1" type="noConversion"/>
  </si>
  <si>
    <t>3.加入英雄站位</t>
    <phoneticPr fontId="1" type="noConversion"/>
  </si>
  <si>
    <t>8.因为很多人的破电脑没有OFFICE 2007或以上版本，因此将数据库改成xls格式。</t>
    <phoneticPr fontId="1" type="noConversion"/>
  </si>
  <si>
    <t>官方数据</t>
    <phoneticPr fontId="1" type="noConversion"/>
  </si>
  <si>
    <r>
      <t>2.0</t>
    </r>
    <r>
      <rPr>
        <sz val="11"/>
        <color indexed="8"/>
        <rFont val="宋体"/>
        <family val="3"/>
        <charset val="134"/>
      </rPr>
      <t xml:space="preserve"> </t>
    </r>
    <r>
      <rPr>
        <sz val="11"/>
        <color theme="1"/>
        <rFont val="宋体"/>
        <family val="3"/>
        <charset val="134"/>
        <scheme val="minor"/>
      </rPr>
      <t>版本</t>
    </r>
    <phoneticPr fontId="1" type="noConversion"/>
  </si>
  <si>
    <t>贵族头环</t>
    <phoneticPr fontId="1" type="noConversion"/>
  </si>
  <si>
    <t>力量拳套</t>
    <phoneticPr fontId="1" type="noConversion"/>
  </si>
  <si>
    <t>艺人面罩</t>
    <phoneticPr fontId="1" type="noConversion"/>
  </si>
  <si>
    <t>小魔棒</t>
    <phoneticPr fontId="1" type="noConversion"/>
  </si>
  <si>
    <t>大魔杖</t>
    <phoneticPr fontId="1" type="noConversion"/>
  </si>
  <si>
    <t>圣殿指环</t>
    <phoneticPr fontId="1" type="noConversion"/>
  </si>
  <si>
    <t>骨灰盒</t>
    <phoneticPr fontId="1" type="noConversion"/>
  </si>
  <si>
    <t>力量护腕</t>
    <phoneticPr fontId="1" type="noConversion"/>
  </si>
  <si>
    <t>敏捷系带</t>
    <phoneticPr fontId="1" type="noConversion"/>
  </si>
  <si>
    <t>吸血面具</t>
    <phoneticPr fontId="1" type="noConversion"/>
  </si>
  <si>
    <t>武士头盔</t>
    <phoneticPr fontId="1" type="noConversion"/>
  </si>
  <si>
    <t>补刀斧</t>
    <phoneticPr fontId="1" type="noConversion"/>
  </si>
  <si>
    <t>秘银锤</t>
    <phoneticPr fontId="1" type="noConversion"/>
  </si>
  <si>
    <t>支配</t>
    <phoneticPr fontId="1" type="noConversion"/>
  </si>
  <si>
    <t>疯脸</t>
    <phoneticPr fontId="1" type="noConversion"/>
  </si>
  <si>
    <t>敏捷之刃</t>
    <phoneticPr fontId="1" type="noConversion"/>
  </si>
  <si>
    <t>敏捷皮靴</t>
    <phoneticPr fontId="1" type="noConversion"/>
  </si>
  <si>
    <t>敏捷假腿</t>
    <phoneticPr fontId="1" type="noConversion"/>
  </si>
  <si>
    <t>夜叉</t>
    <phoneticPr fontId="1" type="noConversion"/>
  </si>
  <si>
    <t>水晶剑</t>
    <phoneticPr fontId="1" type="noConversion"/>
  </si>
  <si>
    <t>短棍</t>
    <phoneticPr fontId="1" type="noConversion"/>
  </si>
  <si>
    <t>相位鞋</t>
    <phoneticPr fontId="1" type="noConversion"/>
  </si>
  <si>
    <t>暗灭</t>
    <phoneticPr fontId="1" type="noConversion"/>
  </si>
  <si>
    <t>古之耐歌</t>
    <phoneticPr fontId="1" type="noConversion"/>
  </si>
  <si>
    <t>秘法鞋</t>
    <phoneticPr fontId="1" type="noConversion"/>
  </si>
  <si>
    <t>分身斧</t>
    <phoneticPr fontId="1" type="noConversion"/>
  </si>
  <si>
    <t>狂战斧</t>
    <phoneticPr fontId="1" type="noConversion"/>
  </si>
  <si>
    <t>机枪兵</t>
    <phoneticPr fontId="1" type="noConversion"/>
  </si>
  <si>
    <t>×</t>
  </si>
  <si>
    <t>无</t>
  </si>
  <si>
    <t>影压</t>
    <phoneticPr fontId="1" type="noConversion"/>
  </si>
  <si>
    <t>支配死灵</t>
    <phoneticPr fontId="1" type="noConversion"/>
  </si>
  <si>
    <t>魔王降临</t>
    <phoneticPr fontId="1" type="noConversion"/>
  </si>
  <si>
    <t>在近、中、远距离连续释放3道影压，造成小范围魔法伤害。</t>
    <phoneticPr fontId="1" type="noConversion"/>
  </si>
  <si>
    <t>光环：影魔的出现让周围生物惊恐不安，大幅降低场上所有敌人的攻击力。</t>
    <phoneticPr fontId="1" type="noConversion"/>
  </si>
  <si>
    <t>每当周围有一个生物死亡，影魔都会吸取他的灵魂来增加攻击力。支配死灵的效果也会令影压伤害增强。</t>
    <phoneticPr fontId="1" type="noConversion"/>
  </si>
  <si>
    <t>召唤数道月光,随机灼烧场上的敌人，打断并造成魔法伤害。</t>
    <phoneticPr fontId="1" type="noConversion"/>
  </si>
  <si>
    <t>召唤一道月光，灼烧一个随机的敌人，打断并造成魔法伤害。</t>
    <phoneticPr fontId="1" type="noConversion"/>
  </si>
  <si>
    <t>拍拍熊陷入狂怒，如暴风骤雨一般打击前方的所有敌人,造成多次物理伤害。</t>
    <phoneticPr fontId="1" type="noConversion"/>
  </si>
  <si>
    <t>用熊抓拍击大地,对附近的敌人造成物理伤害并造成减速效果。</t>
    <phoneticPr fontId="1" type="noConversion"/>
  </si>
  <si>
    <t>敏捷</t>
    <phoneticPr fontId="1" type="noConversion"/>
  </si>
  <si>
    <t>攻击</t>
    <phoneticPr fontId="1" type="noConversion"/>
  </si>
  <si>
    <t>护甲</t>
    <phoneticPr fontId="1" type="noConversion"/>
  </si>
  <si>
    <t>暴击</t>
    <phoneticPr fontId="1" type="noConversion"/>
  </si>
  <si>
    <t>2.新装备资料</t>
    <phoneticPr fontId="1" type="noConversion"/>
  </si>
  <si>
    <t>3.新阶层</t>
    <phoneticPr fontId="1" type="noConversion"/>
  </si>
  <si>
    <t>人马</t>
    <phoneticPr fontId="1" type="noConversion"/>
  </si>
  <si>
    <t>人马</t>
    <phoneticPr fontId="1" type="noConversion"/>
  </si>
  <si>
    <t>力量</t>
    <phoneticPr fontId="1" type="noConversion"/>
  </si>
  <si>
    <t>冲击</t>
  </si>
  <si>
    <t>马蹄践踏</t>
  </si>
  <si>
    <t>战争冲锋</t>
  </si>
  <si>
    <t>刚毅之躯</t>
  </si>
  <si>
    <t>进行一次威力巨大的撞击，击飞前面的敌人。</t>
  </si>
  <si>
    <t>猛击地面，对敌方地面单位造成伤害，并使他们晕眩。</t>
    <phoneticPr fontId="1" type="noConversion"/>
  </si>
  <si>
    <t>率先冲进战场，为队友加持斗气盾，吸收伤害。</t>
  </si>
  <si>
    <t>人马</t>
    <phoneticPr fontId="1" type="noConversion"/>
  </si>
  <si>
    <t>力量之斧</t>
    <phoneticPr fontId="1" type="noConversion"/>
  </si>
  <si>
    <t>魔抗头巾</t>
    <phoneticPr fontId="1" type="noConversion"/>
  </si>
  <si>
    <t>坚韧法球</t>
    <phoneticPr fontId="1" type="noConversion"/>
  </si>
  <si>
    <t>力量护腕</t>
    <phoneticPr fontId="1" type="noConversion"/>
  </si>
  <si>
    <t>小圆盾</t>
    <phoneticPr fontId="1" type="noConversion"/>
  </si>
  <si>
    <t>鞋</t>
    <phoneticPr fontId="1" type="noConversion"/>
  </si>
  <si>
    <t>散华</t>
    <phoneticPr fontId="1" type="noConversion"/>
  </si>
  <si>
    <t>反伤甲</t>
    <phoneticPr fontId="1" type="noConversion"/>
  </si>
  <si>
    <t>冲锋盾</t>
    <phoneticPr fontId="1" type="noConversion"/>
  </si>
  <si>
    <t>锁甲</t>
    <phoneticPr fontId="1" type="noConversion"/>
  </si>
  <si>
    <t>骨灰盒</t>
    <phoneticPr fontId="1" type="noConversion"/>
  </si>
  <si>
    <t>力量假腿</t>
    <phoneticPr fontId="1" type="noConversion"/>
  </si>
  <si>
    <t>狂战斧</t>
    <phoneticPr fontId="1" type="noConversion"/>
  </si>
  <si>
    <t>鬼手</t>
    <phoneticPr fontId="1" type="noConversion"/>
  </si>
  <si>
    <t>板甲</t>
    <phoneticPr fontId="1" type="noConversion"/>
  </si>
  <si>
    <t>祭品</t>
    <phoneticPr fontId="1" type="noConversion"/>
  </si>
  <si>
    <t>强袭</t>
    <phoneticPr fontId="1" type="noConversion"/>
  </si>
  <si>
    <t>黑黄</t>
    <phoneticPr fontId="1" type="noConversion"/>
  </si>
  <si>
    <t>勇气勋章</t>
    <phoneticPr fontId="1" type="noConversion"/>
  </si>
  <si>
    <t>生命之球</t>
    <phoneticPr fontId="1" type="noConversion"/>
  </si>
  <si>
    <t>林肯</t>
    <phoneticPr fontId="1" type="noConversion"/>
  </si>
  <si>
    <t>长笛</t>
    <phoneticPr fontId="1" type="noConversion"/>
  </si>
  <si>
    <t>水晶剑</t>
    <phoneticPr fontId="1" type="noConversion"/>
  </si>
  <si>
    <t>元气之球</t>
    <phoneticPr fontId="1" type="noConversion"/>
  </si>
  <si>
    <t>飞鞋</t>
    <phoneticPr fontId="1" type="noConversion"/>
  </si>
  <si>
    <t>冰甲</t>
    <phoneticPr fontId="1" type="noConversion"/>
  </si>
  <si>
    <t>刷新珠</t>
    <phoneticPr fontId="1" type="noConversion"/>
  </si>
  <si>
    <t>大剑</t>
    <phoneticPr fontId="1" type="noConversion"/>
  </si>
  <si>
    <t>掠夺之斧</t>
    <phoneticPr fontId="1" type="noConversion"/>
  </si>
  <si>
    <t>天堂</t>
    <phoneticPr fontId="1" type="noConversion"/>
  </si>
  <si>
    <t>支配</t>
    <phoneticPr fontId="1" type="noConversion"/>
  </si>
  <si>
    <t>龙心</t>
    <phoneticPr fontId="1" type="noConversion"/>
  </si>
  <si>
    <t>光耀</t>
    <phoneticPr fontId="1" type="noConversion"/>
  </si>
  <si>
    <t>被动：人马硕大的身躯蕴含着强大的力量。</t>
    <phoneticPr fontId="1" type="noConversion"/>
  </si>
  <si>
    <r>
      <t>紫+</t>
    </r>
    <r>
      <rPr>
        <sz val="11"/>
        <color theme="1"/>
        <rFont val="宋体"/>
        <family val="3"/>
        <charset val="134"/>
        <scheme val="minor"/>
      </rPr>
      <t>3</t>
    </r>
    <r>
      <rPr>
        <sz val="11"/>
        <color theme="1"/>
        <rFont val="宋体"/>
        <family val="3"/>
        <charset val="134"/>
        <scheme val="minor"/>
      </rPr>
      <t>→紫+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</si>
  <si>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紫+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→橙</t>
    </r>
    <phoneticPr fontId="1" type="noConversion"/>
  </si>
  <si>
    <r>
      <t>紫+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</si>
  <si>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橙</t>
    <phoneticPr fontId="1" type="noConversion"/>
  </si>
  <si>
    <t>十字军巨盾</t>
    <phoneticPr fontId="1" type="noConversion"/>
  </si>
  <si>
    <t>橙装</t>
  </si>
  <si>
    <t>巫师之冠</t>
    <phoneticPr fontId="1" type="noConversion"/>
  </si>
  <si>
    <t>女王的浴衣</t>
    <phoneticPr fontId="1" type="noConversion"/>
  </si>
  <si>
    <t>抵抗沉默</t>
    <phoneticPr fontId="1" type="noConversion"/>
  </si>
  <si>
    <t>魔龙之鳞</t>
    <phoneticPr fontId="1" type="noConversion"/>
  </si>
  <si>
    <t>疾行鞋</t>
    <phoneticPr fontId="1" type="noConversion"/>
  </si>
  <si>
    <t>水晶之塔</t>
    <phoneticPr fontId="1" type="noConversion"/>
  </si>
  <si>
    <t>泰坦战斧</t>
    <phoneticPr fontId="1" type="noConversion"/>
  </si>
  <si>
    <t>水晶球</t>
    <phoneticPr fontId="1" type="noConversion"/>
  </si>
  <si>
    <t>射手指环</t>
    <phoneticPr fontId="1" type="noConversion"/>
  </si>
  <si>
    <t>命中</t>
    <phoneticPr fontId="1" type="noConversion"/>
  </si>
  <si>
    <t>欺诈者之剑</t>
    <phoneticPr fontId="1" type="noConversion"/>
  </si>
  <si>
    <t>神圣种子</t>
    <phoneticPr fontId="1" type="noConversion"/>
  </si>
  <si>
    <t>技能等级</t>
    <phoneticPr fontId="1" type="noConversion"/>
  </si>
  <si>
    <t>法师抄本</t>
    <phoneticPr fontId="1" type="noConversion"/>
  </si>
  <si>
    <t>无尽长夜法杖</t>
    <phoneticPr fontId="1" type="noConversion"/>
  </si>
  <si>
    <t>鹰羽指环</t>
    <phoneticPr fontId="1" type="noConversion"/>
  </si>
  <si>
    <t>虚无法杖</t>
    <phoneticPr fontId="1" type="noConversion"/>
  </si>
  <si>
    <t>群星之怒</t>
    <phoneticPr fontId="1" type="noConversion"/>
  </si>
  <si>
    <t>毁灭护符</t>
    <phoneticPr fontId="1" type="noConversion"/>
  </si>
  <si>
    <t>阴影之书</t>
    <phoneticPr fontId="1" type="noConversion"/>
  </si>
  <si>
    <t>翡翠之吻</t>
    <phoneticPr fontId="1" type="noConversion"/>
  </si>
  <si>
    <t>泰坦战斧</t>
    <phoneticPr fontId="1" type="noConversion"/>
  </si>
  <si>
    <t>龙心</t>
    <phoneticPr fontId="1" type="noConversion"/>
  </si>
  <si>
    <t>疾行鞋</t>
    <phoneticPr fontId="1" type="noConversion"/>
  </si>
  <si>
    <t>不朽之守护</t>
    <phoneticPr fontId="1" type="noConversion"/>
  </si>
  <si>
    <t>红宝石吊坠</t>
    <phoneticPr fontId="1" type="noConversion"/>
  </si>
  <si>
    <t>不朽之守护</t>
    <phoneticPr fontId="1" type="noConversion"/>
  </si>
  <si>
    <t>wiki装备库</t>
    <phoneticPr fontId="1" type="noConversion"/>
  </si>
  <si>
    <t>http://www.joyme.com/wiki/dtcq/59540.shtml</t>
    <phoneticPr fontId="1" type="noConversion"/>
  </si>
  <si>
    <t>红宝石吊坠</t>
    <phoneticPr fontId="1" type="noConversion"/>
  </si>
  <si>
    <t>不朽之守护</t>
    <phoneticPr fontId="1" type="noConversion"/>
  </si>
  <si>
    <t>红宝石吊坠</t>
    <phoneticPr fontId="1" type="noConversion"/>
  </si>
  <si>
    <t>不朽之守护</t>
    <phoneticPr fontId="1" type="noConversion"/>
  </si>
  <si>
    <t>十字军巨盾</t>
    <phoneticPr fontId="1" type="noConversion"/>
  </si>
  <si>
    <t>泰坦战斧</t>
    <phoneticPr fontId="1" type="noConversion"/>
  </si>
  <si>
    <t>魔龙之鳞</t>
    <phoneticPr fontId="1" type="noConversion"/>
  </si>
  <si>
    <t>撒旦</t>
    <phoneticPr fontId="1" type="noConversion"/>
  </si>
  <si>
    <t>分身斧</t>
    <phoneticPr fontId="1" type="noConversion"/>
  </si>
  <si>
    <t>疾行鞋</t>
    <phoneticPr fontId="1" type="noConversion"/>
  </si>
  <si>
    <t>深渊之刃</t>
    <phoneticPr fontId="1" type="noConversion"/>
  </si>
  <si>
    <t>林肯</t>
    <phoneticPr fontId="1" type="noConversion"/>
  </si>
  <si>
    <t>极限球</t>
    <phoneticPr fontId="1" type="noConversion"/>
  </si>
  <si>
    <t>欺诈者之剑</t>
    <phoneticPr fontId="1" type="noConversion"/>
  </si>
  <si>
    <t>大天使之剑</t>
    <phoneticPr fontId="1" type="noConversion"/>
  </si>
  <si>
    <t>龙心</t>
    <phoneticPr fontId="1" type="noConversion"/>
  </si>
  <si>
    <t>逐日者法典</t>
    <phoneticPr fontId="1" type="noConversion"/>
  </si>
  <si>
    <t>魔王刀锋</t>
    <phoneticPr fontId="1" type="noConversion"/>
  </si>
  <si>
    <t>逐日者法典</t>
    <phoneticPr fontId="1" type="noConversion"/>
  </si>
  <si>
    <t>橙装</t>
    <phoneticPr fontId="1" type="noConversion"/>
  </si>
  <si>
    <t>阴影之书</t>
    <phoneticPr fontId="1" type="noConversion"/>
  </si>
  <si>
    <t>掠夺之斧</t>
    <phoneticPr fontId="1" type="noConversion"/>
  </si>
  <si>
    <t>大电锤</t>
    <phoneticPr fontId="1" type="noConversion"/>
  </si>
  <si>
    <t>强袭</t>
    <phoneticPr fontId="1" type="noConversion"/>
  </si>
  <si>
    <t>长笛</t>
    <phoneticPr fontId="1" type="noConversion"/>
  </si>
  <si>
    <t>水晶之塔</t>
    <phoneticPr fontId="1" type="noConversion"/>
  </si>
  <si>
    <t>女王的浴衣</t>
    <phoneticPr fontId="1" type="noConversion"/>
  </si>
  <si>
    <t>射手指环</t>
    <phoneticPr fontId="1" type="noConversion"/>
  </si>
  <si>
    <t>金箍棒</t>
    <phoneticPr fontId="1" type="noConversion"/>
  </si>
  <si>
    <t>雷霆之怒</t>
    <phoneticPr fontId="1" type="noConversion"/>
  </si>
  <si>
    <t>光耀</t>
    <phoneticPr fontId="1" type="noConversion"/>
  </si>
  <si>
    <t>雷霆之怒</t>
    <phoneticPr fontId="1" type="noConversion"/>
  </si>
  <si>
    <t>无尽长夜法杖</t>
    <phoneticPr fontId="1" type="noConversion"/>
  </si>
  <si>
    <t>冰甲</t>
    <phoneticPr fontId="1" type="noConversion"/>
  </si>
  <si>
    <t>远古遗物</t>
    <phoneticPr fontId="1" type="noConversion"/>
  </si>
  <si>
    <t>恶魔之矢</t>
    <phoneticPr fontId="1" type="noConversion"/>
  </si>
  <si>
    <t>恶魔之矢</t>
    <phoneticPr fontId="1" type="noConversion"/>
  </si>
  <si>
    <t>水晶之塔</t>
    <phoneticPr fontId="1" type="noConversion"/>
  </si>
  <si>
    <t>撒旦</t>
    <phoneticPr fontId="1" type="noConversion"/>
  </si>
  <si>
    <t>极限球</t>
    <phoneticPr fontId="1" type="noConversion"/>
  </si>
  <si>
    <t>女王的浴衣</t>
    <phoneticPr fontId="1" type="noConversion"/>
  </si>
  <si>
    <t>分身斧</t>
    <phoneticPr fontId="1" type="noConversion"/>
  </si>
  <si>
    <t>强袭</t>
    <phoneticPr fontId="1" type="noConversion"/>
  </si>
  <si>
    <t>永恒冰柱</t>
    <phoneticPr fontId="1" type="noConversion"/>
  </si>
  <si>
    <t>永恒冰柱</t>
    <phoneticPr fontId="1" type="noConversion"/>
  </si>
  <si>
    <t>光耀</t>
    <phoneticPr fontId="1" type="noConversion"/>
  </si>
  <si>
    <t>巫师之冠</t>
    <phoneticPr fontId="1" type="noConversion"/>
  </si>
  <si>
    <t>刷新珠</t>
    <phoneticPr fontId="1" type="noConversion"/>
  </si>
  <si>
    <t>林肯</t>
    <phoneticPr fontId="1" type="noConversion"/>
  </si>
  <si>
    <t>冰甲</t>
    <phoneticPr fontId="1" type="noConversion"/>
  </si>
  <si>
    <t>魔王刀锋</t>
    <phoneticPr fontId="1" type="noConversion"/>
  </si>
  <si>
    <t>深渊之刃</t>
    <phoneticPr fontId="1" type="noConversion"/>
  </si>
  <si>
    <t>分身斧</t>
    <phoneticPr fontId="1" type="noConversion"/>
  </si>
  <si>
    <t>长笛</t>
    <phoneticPr fontId="1" type="noConversion"/>
  </si>
  <si>
    <t>雷霆之怒</t>
    <phoneticPr fontId="1" type="noConversion"/>
  </si>
  <si>
    <t>大天使之剑</t>
    <phoneticPr fontId="1" type="noConversion"/>
  </si>
  <si>
    <t>鹰羽指环</t>
    <phoneticPr fontId="1" type="noConversion"/>
  </si>
  <si>
    <t>紫苑</t>
    <phoneticPr fontId="1" type="noConversion"/>
  </si>
  <si>
    <t>天堂</t>
    <phoneticPr fontId="1" type="noConversion"/>
  </si>
  <si>
    <t>分身斧</t>
    <phoneticPr fontId="1" type="noConversion"/>
  </si>
  <si>
    <t>极限球</t>
    <phoneticPr fontId="1" type="noConversion"/>
  </si>
  <si>
    <t>女王的浴衣</t>
    <phoneticPr fontId="1" type="noConversion"/>
  </si>
  <si>
    <t>强袭</t>
    <phoneticPr fontId="1" type="noConversion"/>
  </si>
  <si>
    <t>大天使之剑</t>
    <phoneticPr fontId="1" type="noConversion"/>
  </si>
  <si>
    <t>大天使之剑</t>
    <phoneticPr fontId="1" type="noConversion"/>
  </si>
  <si>
    <t>大天使之剑</t>
    <phoneticPr fontId="1" type="noConversion"/>
  </si>
  <si>
    <t>角鹰弓</t>
    <phoneticPr fontId="1" type="noConversion"/>
  </si>
  <si>
    <t>振奋石</t>
    <phoneticPr fontId="1" type="noConversion"/>
  </si>
  <si>
    <t>银月长矛</t>
    <phoneticPr fontId="1" type="noConversion"/>
  </si>
  <si>
    <t>银月长矛</t>
    <phoneticPr fontId="1" type="noConversion"/>
  </si>
  <si>
    <t>银月长矛</t>
    <phoneticPr fontId="1" type="noConversion"/>
  </si>
  <si>
    <t>恶魔之矢</t>
    <phoneticPr fontId="1" type="noConversion"/>
  </si>
  <si>
    <t>金箍棒</t>
    <phoneticPr fontId="1" type="noConversion"/>
  </si>
  <si>
    <t>群星之怒</t>
    <phoneticPr fontId="1" type="noConversion"/>
  </si>
  <si>
    <t>金箍棒</t>
    <phoneticPr fontId="1" type="noConversion"/>
  </si>
  <si>
    <t>地覆</t>
    <phoneticPr fontId="1" type="noConversion"/>
  </si>
  <si>
    <t>振奋石</t>
    <phoneticPr fontId="1" type="noConversion"/>
  </si>
  <si>
    <t>地覆</t>
    <phoneticPr fontId="1" type="noConversion"/>
  </si>
  <si>
    <t>橙装</t>
    <phoneticPr fontId="1" type="noConversion"/>
  </si>
  <si>
    <t>远古遗物</t>
    <phoneticPr fontId="1" type="noConversion"/>
  </si>
  <si>
    <t>法师抄本</t>
    <phoneticPr fontId="1" type="noConversion"/>
  </si>
  <si>
    <t>神圣种子</t>
    <phoneticPr fontId="1" type="noConversion"/>
  </si>
  <si>
    <t>麒麟弯刀</t>
    <phoneticPr fontId="1" type="noConversion"/>
  </si>
  <si>
    <t>大电锤</t>
    <phoneticPr fontId="1" type="noConversion"/>
  </si>
  <si>
    <t>林肯</t>
    <phoneticPr fontId="1" type="noConversion"/>
  </si>
  <si>
    <t>紫苑</t>
    <phoneticPr fontId="1" type="noConversion"/>
  </si>
  <si>
    <t>阴影之书</t>
    <phoneticPr fontId="1" type="noConversion"/>
  </si>
  <si>
    <t>虚无法杖</t>
    <phoneticPr fontId="1" type="noConversion"/>
  </si>
  <si>
    <t>大电锤</t>
    <phoneticPr fontId="1" type="noConversion"/>
  </si>
  <si>
    <t>http://d.longtugame.com/daotadata/index</t>
    <phoneticPr fontId="1" type="noConversion"/>
  </si>
  <si>
    <t>水晶之塔</t>
    <phoneticPr fontId="1" type="noConversion"/>
  </si>
  <si>
    <t>水晶球</t>
    <phoneticPr fontId="1" type="noConversion"/>
  </si>
  <si>
    <t>巫师之冠</t>
    <phoneticPr fontId="1" type="noConversion"/>
  </si>
  <si>
    <t>刷新珠</t>
    <phoneticPr fontId="1" type="noConversion"/>
  </si>
  <si>
    <t>林肯</t>
    <phoneticPr fontId="1" type="noConversion"/>
  </si>
  <si>
    <t>暗月卡牌</t>
    <phoneticPr fontId="1" type="noConversion"/>
  </si>
  <si>
    <t>水晶法杖</t>
    <phoneticPr fontId="1" type="noConversion"/>
  </si>
  <si>
    <t>紫苑</t>
    <phoneticPr fontId="1" type="noConversion"/>
  </si>
  <si>
    <t>女王的浴衣</t>
    <phoneticPr fontId="1" type="noConversion"/>
  </si>
  <si>
    <t>暗月卡牌</t>
    <phoneticPr fontId="1" type="noConversion"/>
  </si>
  <si>
    <t>翡翠之吻</t>
    <phoneticPr fontId="1" type="noConversion"/>
  </si>
  <si>
    <t>冰眼</t>
    <phoneticPr fontId="1" type="noConversion"/>
  </si>
  <si>
    <t>冰甲</t>
    <phoneticPr fontId="1" type="noConversion"/>
  </si>
  <si>
    <t>极限球</t>
    <phoneticPr fontId="1" type="noConversion"/>
  </si>
  <si>
    <t>龙心</t>
    <phoneticPr fontId="1" type="noConversion"/>
  </si>
  <si>
    <t>永恒冰柱</t>
    <phoneticPr fontId="1" type="noConversion"/>
  </si>
  <si>
    <t>羊刀</t>
    <phoneticPr fontId="1" type="noConversion"/>
  </si>
  <si>
    <t>虚灵</t>
    <phoneticPr fontId="1" type="noConversion"/>
  </si>
  <si>
    <t>毁灭护符</t>
    <phoneticPr fontId="1" type="noConversion"/>
  </si>
  <si>
    <t>虚无法杖</t>
    <phoneticPr fontId="1" type="noConversion"/>
  </si>
  <si>
    <t>长笛</t>
    <phoneticPr fontId="1" type="noConversion"/>
  </si>
  <si>
    <t>大炮</t>
    <phoneticPr fontId="1" type="noConversion"/>
  </si>
  <si>
    <t>魔龙之鳞</t>
    <phoneticPr fontId="1" type="noConversion"/>
  </si>
  <si>
    <t>强袭</t>
    <phoneticPr fontId="1" type="noConversion"/>
  </si>
  <si>
    <t>大电锤</t>
    <phoneticPr fontId="1" type="noConversion"/>
  </si>
  <si>
    <t>地覆</t>
    <phoneticPr fontId="1" type="noConversion"/>
  </si>
  <si>
    <t>光耀</t>
    <phoneticPr fontId="1" type="noConversion"/>
  </si>
  <si>
    <t>掠夺之斧</t>
    <phoneticPr fontId="1" type="noConversion"/>
  </si>
  <si>
    <t>圣堂</t>
    <phoneticPr fontId="1" type="noConversion"/>
  </si>
  <si>
    <t>圣堂</t>
    <phoneticPr fontId="1" type="noConversion"/>
  </si>
  <si>
    <t>隐袭</t>
    <phoneticPr fontId="1" type="noConversion"/>
  </si>
  <si>
    <t>折光</t>
    <phoneticPr fontId="1" type="noConversion"/>
  </si>
  <si>
    <t>灵能魔法</t>
    <phoneticPr fontId="1" type="noConversion"/>
  </si>
  <si>
    <t>灵能之刃</t>
    <phoneticPr fontId="1" type="noConversion"/>
  </si>
  <si>
    <t>敏捷</t>
    <phoneticPr fontId="1" type="noConversion"/>
  </si>
  <si>
    <t>1.机枪兵  圣堂</t>
    <phoneticPr fontId="1" type="noConversion"/>
  </si>
  <si>
    <t>蓝+1</t>
    <phoneticPr fontId="1" type="noConversion"/>
  </si>
  <si>
    <t>蓝+2</t>
    <phoneticPr fontId="1" type="noConversion"/>
  </si>
  <si>
    <t>紫</t>
    <phoneticPr fontId="1" type="noConversion"/>
  </si>
  <si>
    <t>紫+1</t>
    <phoneticPr fontId="1" type="noConversion"/>
  </si>
  <si>
    <t>紫+2</t>
    <phoneticPr fontId="1" type="noConversion"/>
  </si>
  <si>
    <t>紫+3</t>
    <phoneticPr fontId="1" type="noConversion"/>
  </si>
  <si>
    <r>
      <t>紫+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</si>
  <si>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橙</t>
    <phoneticPr fontId="1" type="noConversion"/>
  </si>
  <si>
    <t>补刀斧</t>
    <phoneticPr fontId="1" type="noConversion"/>
  </si>
  <si>
    <t>防御指环</t>
    <phoneticPr fontId="1" type="noConversion"/>
  </si>
  <si>
    <t>敏捷皮靴</t>
    <phoneticPr fontId="1" type="noConversion"/>
  </si>
  <si>
    <t>屌丝盾</t>
    <phoneticPr fontId="1" type="noConversion"/>
  </si>
  <si>
    <t>敏捷之刃</t>
    <phoneticPr fontId="1" type="noConversion"/>
  </si>
  <si>
    <t>支配</t>
    <phoneticPr fontId="1" type="noConversion"/>
  </si>
  <si>
    <t>吸血面具</t>
    <phoneticPr fontId="1" type="noConversion"/>
  </si>
  <si>
    <t>攻击利爪</t>
    <phoneticPr fontId="1" type="noConversion"/>
  </si>
  <si>
    <t>敏捷系带</t>
    <phoneticPr fontId="1" type="noConversion"/>
  </si>
  <si>
    <t>鞋</t>
    <phoneticPr fontId="1" type="noConversion"/>
  </si>
  <si>
    <t>洛萨</t>
    <phoneticPr fontId="1" type="noConversion"/>
  </si>
  <si>
    <t>散失</t>
    <phoneticPr fontId="1" type="noConversion"/>
  </si>
  <si>
    <t>勇气勋章</t>
    <phoneticPr fontId="1" type="noConversion"/>
  </si>
  <si>
    <t>圣殿指环</t>
    <phoneticPr fontId="1" type="noConversion"/>
  </si>
  <si>
    <t>相位鞋</t>
    <phoneticPr fontId="1" type="noConversion"/>
  </si>
  <si>
    <t>暗灭</t>
    <phoneticPr fontId="1" type="noConversion"/>
  </si>
  <si>
    <t>黑黄</t>
    <phoneticPr fontId="1" type="noConversion"/>
  </si>
  <si>
    <t>双刀</t>
    <phoneticPr fontId="1" type="noConversion"/>
  </si>
  <si>
    <t>大魔杖</t>
    <phoneticPr fontId="1" type="noConversion"/>
  </si>
  <si>
    <t>分身斧</t>
    <phoneticPr fontId="1" type="noConversion"/>
  </si>
  <si>
    <t>洛萨</t>
    <phoneticPr fontId="1" type="noConversion"/>
  </si>
  <si>
    <t>秘银锤</t>
    <phoneticPr fontId="1" type="noConversion"/>
  </si>
  <si>
    <t>支配</t>
    <phoneticPr fontId="1" type="noConversion"/>
  </si>
  <si>
    <t>古之耐歌</t>
    <phoneticPr fontId="1" type="noConversion"/>
  </si>
  <si>
    <t>敏捷假腿</t>
    <phoneticPr fontId="1" type="noConversion"/>
  </si>
  <si>
    <t>金箍棒</t>
    <phoneticPr fontId="1" type="noConversion"/>
  </si>
  <si>
    <t>强袭</t>
    <phoneticPr fontId="1" type="noConversion"/>
  </si>
  <si>
    <t>狂战斧</t>
    <phoneticPr fontId="1" type="noConversion"/>
  </si>
  <si>
    <t>大剑</t>
    <phoneticPr fontId="1" type="noConversion"/>
  </si>
  <si>
    <t>蝴蝶</t>
    <phoneticPr fontId="1" type="noConversion"/>
  </si>
  <si>
    <t>魔王刀锋</t>
    <phoneticPr fontId="1" type="noConversion"/>
  </si>
  <si>
    <t>碎骨锤</t>
    <phoneticPr fontId="1" type="noConversion"/>
  </si>
  <si>
    <t>暗灭</t>
    <phoneticPr fontId="1" type="noConversion"/>
  </si>
  <si>
    <t>飞鞋</t>
    <phoneticPr fontId="1" type="noConversion"/>
  </si>
  <si>
    <t>大炮</t>
    <phoneticPr fontId="1" type="noConversion"/>
  </si>
  <si>
    <t>祭品</t>
    <phoneticPr fontId="1" type="noConversion"/>
  </si>
  <si>
    <t>龙心</t>
    <phoneticPr fontId="1" type="noConversion"/>
  </si>
  <si>
    <t>天堂</t>
    <phoneticPr fontId="1" type="noConversion"/>
  </si>
  <si>
    <t>大电锤</t>
    <phoneticPr fontId="1" type="noConversion"/>
  </si>
  <si>
    <t>黑黄</t>
    <phoneticPr fontId="1" type="noConversion"/>
  </si>
  <si>
    <t>冲锋盾</t>
    <phoneticPr fontId="1" type="noConversion"/>
  </si>
  <si>
    <t>欺诈者之剑</t>
    <phoneticPr fontId="1" type="noConversion"/>
  </si>
  <si>
    <t>鹰羽指环</t>
    <phoneticPr fontId="1" type="noConversion"/>
  </si>
  <si>
    <t>深渊之刃</t>
    <phoneticPr fontId="1" type="noConversion"/>
  </si>
  <si>
    <t>女王的浴衣</t>
    <phoneticPr fontId="1" type="noConversion"/>
  </si>
  <si>
    <t>雷霆之怒</t>
    <phoneticPr fontId="1" type="noConversion"/>
  </si>
  <si>
    <t>大天使之剑</t>
    <phoneticPr fontId="1" type="noConversion"/>
  </si>
  <si>
    <t>角鹰弓</t>
    <phoneticPr fontId="1" type="noConversion"/>
  </si>
  <si>
    <t>撒旦</t>
    <phoneticPr fontId="1" type="noConversion"/>
  </si>
  <si>
    <t>刺杀一个不幸的敌人，对目标造成大量神圣伤害，并对周围的敌人造成一部分溅射伤害</t>
    <phoneticPr fontId="1" type="noConversion"/>
  </si>
  <si>
    <t>每当圣堂刺客杀死一个敌人后，她将释放折光技能来获得5层折光护盾。每层折光可以抵挡一次攻击，并为圣堂刺客回复80点能量。在遮光的保护下，圣堂刺客免疫所有控制效果。</t>
  </si>
  <si>
    <t>运用心灵异能制造一片魔法区域，控制区域内的敌人使其无法移动、闪避或进行物理攻击。</t>
  </si>
  <si>
    <t>圣堂刺客运用自己的心灵异能，发动神圣攻击并将伤害溅射至目标身后的区域。</t>
  </si>
  <si>
    <t>被动：地精热爱钻研工程技术，大幅度提高激光和导弹的释放速度。</t>
    <phoneticPr fontId="1" type="noConversion"/>
  </si>
  <si>
    <t>奋力发射一道耀眼的激光，造成巨量魔法伤害。</t>
  </si>
  <si>
    <t>注射兴奋剂，让机枪兵处于极度兴奋的状态，牺牲20%生命，在一定时间内大幅提升攻击和攻速。</t>
  </si>
  <si>
    <t>被动：机枪兵的子弹经过特殊制造，能够穿透敌人的护甲。</t>
    <phoneticPr fontId="1" type="noConversion"/>
  </si>
  <si>
    <t>被动：不断扩充机枪兵的武器弹药，提高攻击力。</t>
    <phoneticPr fontId="1" type="noConversion"/>
  </si>
  <si>
    <t>物理暴击</t>
    <phoneticPr fontId="1" type="noConversion"/>
  </si>
  <si>
    <t>穿透护甲</t>
    <phoneticPr fontId="1" type="noConversion"/>
  </si>
  <si>
    <t>→紫4</t>
    <phoneticPr fontId="1" type="noConversion"/>
  </si>
  <si>
    <t>→橙</t>
    <phoneticPr fontId="1" type="noConversion"/>
  </si>
  <si>
    <t>→？</t>
    <phoneticPr fontId="1" type="noConversion"/>
  </si>
  <si>
    <t>紫+4</t>
    <phoneticPr fontId="1" type="noConversion"/>
  </si>
  <si>
    <t>橙</t>
    <phoneticPr fontId="1" type="noConversion"/>
  </si>
  <si>
    <t>圣堂</t>
    <phoneticPr fontId="1" type="noConversion"/>
  </si>
  <si>
    <t>？</t>
    <phoneticPr fontId="1" type="noConversion"/>
  </si>
  <si>
    <t>橙装</t>
    <phoneticPr fontId="1" type="noConversion"/>
  </si>
  <si>
    <t>抵抗沉默</t>
    <phoneticPr fontId="1" type="noConversion"/>
  </si>
  <si>
    <t>技能等级</t>
    <phoneticPr fontId="1" type="noConversion"/>
  </si>
  <si>
    <r>
      <rPr>
        <sz val="11"/>
        <color theme="1"/>
        <rFont val="宋体"/>
        <family val="3"/>
        <charset val="134"/>
      </rPr>
      <t>命中</t>
    </r>
    <r>
      <rPr>
        <sz val="11"/>
        <color theme="1"/>
        <rFont val="Calibri"/>
        <family val="2"/>
      </rPr>
      <t xml:space="preserve"> </t>
    </r>
    <phoneticPr fontId="1" type="noConversion"/>
  </si>
  <si>
    <t>吸血等级</t>
  </si>
  <si>
    <t>吸血等级</t>
    <phoneticPr fontId="1" type="noConversion"/>
  </si>
  <si>
    <t>吸血等级</t>
    <phoneticPr fontId="1" type="noConversion"/>
  </si>
  <si>
    <t>?</t>
    <phoneticPr fontId="1" type="noConversion"/>
  </si>
  <si>
    <t>★★★★★</t>
  </si>
  <si>
    <t>1.补齐了一部分英雄的装备，官方现在有数据库了，大家都可以去直接查装备了。</t>
    <phoneticPr fontId="1" type="noConversion"/>
  </si>
  <si>
    <t>2.新英雄、新装备、新阶层的数据</t>
    <phoneticPr fontId="1" type="noConversion"/>
  </si>
  <si>
    <t>3.加入了英雄对比</t>
    <phoneticPr fontId="1" type="noConversion"/>
  </si>
  <si>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alibri"/>
        <family val="2"/>
      </rPr>
      <t>1</t>
    </r>
    <phoneticPr fontId="1" type="noConversion"/>
  </si>
  <si>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alibri"/>
        <family val="2"/>
      </rPr>
      <t>2</t>
    </r>
    <phoneticPr fontId="1" type="noConversion"/>
  </si>
  <si>
    <r>
      <rPr>
        <sz val="11"/>
        <rFont val="宋体"/>
        <family val="3"/>
        <charset val="134"/>
      </rPr>
      <t>英雄</t>
    </r>
    <r>
      <rPr>
        <sz val="11"/>
        <rFont val="Calibri"/>
        <family val="2"/>
      </rPr>
      <t>2</t>
    </r>
    <r>
      <rPr>
        <sz val="11"/>
        <rFont val="宋体"/>
        <family val="3"/>
        <charset val="134"/>
      </rPr>
      <t>名称</t>
    </r>
    <phoneticPr fontId="1" type="noConversion"/>
  </si>
  <si>
    <r>
      <rPr>
        <sz val="11"/>
        <rFont val="宋体"/>
        <family val="3"/>
        <charset val="134"/>
      </rPr>
      <t>英雄</t>
    </r>
    <r>
      <rPr>
        <sz val="11"/>
        <rFont val="Calibri"/>
        <family val="2"/>
      </rPr>
      <t>1</t>
    </r>
    <r>
      <rPr>
        <sz val="11"/>
        <rFont val="宋体"/>
        <family val="3"/>
        <charset val="134"/>
      </rPr>
      <t>名称</t>
    </r>
    <phoneticPr fontId="1" type="noConversion"/>
  </si>
  <si>
    <r>
      <rPr>
        <sz val="11"/>
        <rFont val="宋体"/>
        <family val="3"/>
        <charset val="134"/>
      </rPr>
      <t>装备</t>
    </r>
    <r>
      <rPr>
        <sz val="11"/>
        <rFont val="Calibri"/>
        <family val="2"/>
      </rPr>
      <t>1</t>
    </r>
    <r>
      <rPr>
        <sz val="11"/>
        <rFont val="宋体"/>
        <family val="3"/>
        <charset val="134"/>
      </rPr>
      <t>穿戴</t>
    </r>
    <phoneticPr fontId="1" type="noConversion"/>
  </si>
  <si>
    <r>
      <rPr>
        <sz val="11"/>
        <rFont val="宋体"/>
        <family val="3"/>
        <charset val="134"/>
      </rPr>
      <t>装备</t>
    </r>
    <r>
      <rPr>
        <sz val="11"/>
        <rFont val="Calibri"/>
        <family val="2"/>
      </rPr>
      <t>2</t>
    </r>
    <r>
      <rPr>
        <sz val="11"/>
        <rFont val="宋体"/>
        <family val="3"/>
        <charset val="134"/>
      </rPr>
      <t>穿戴</t>
    </r>
    <phoneticPr fontId="1" type="noConversion"/>
  </si>
  <si>
    <t>属性比较</t>
    <phoneticPr fontId="32" type="noConversion"/>
  </si>
  <si>
    <t>变化</t>
    <phoneticPr fontId="1" type="noConversion"/>
  </si>
  <si>
    <t>—</t>
    <phoneticPr fontId="32" type="noConversion"/>
  </si>
  <si>
    <t>属性比较</t>
    <phoneticPr fontId="1" type="noConversion"/>
  </si>
  <si>
    <t>→</t>
    <phoneticPr fontId="1" type="noConversion"/>
  </si>
  <si>
    <t>紫+4</t>
  </si>
  <si>
    <t>☆☆☆☆☆</t>
  </si>
  <si>
    <t>忽视魔抗</t>
    <phoneticPr fontId="1" type="noConversion"/>
  </si>
  <si>
    <t>吸血等级</t>
    <phoneticPr fontId="1" type="noConversion"/>
  </si>
  <si>
    <r>
      <rPr>
        <sz val="11"/>
        <color theme="1"/>
        <rFont val="宋体"/>
        <family val="3"/>
        <charset val="134"/>
      </rPr>
      <t>命中</t>
    </r>
    <r>
      <rPr>
        <sz val="11"/>
        <color theme="1"/>
        <rFont val="Calibri"/>
        <family val="2"/>
      </rPr>
      <t xml:space="preserve"> </t>
    </r>
    <phoneticPr fontId="1" type="noConversion"/>
  </si>
  <si>
    <t>闪避</t>
    <phoneticPr fontId="1" type="noConversion"/>
  </si>
  <si>
    <t xml:space="preserve">                ↗</t>
    <phoneticPr fontId="1" type="noConversion"/>
  </si>
  <si>
    <t xml:space="preserve">↖                </t>
    <phoneticPr fontId="1" type="noConversion"/>
  </si>
  <si>
    <t>4.对不起，不再支持OFFICE 2003一下版本了，格式改回xlsm，请用高版本OFFICE打开。</t>
    <phoneticPr fontId="1" type="noConversion"/>
  </si>
  <si>
    <t>更新日志</t>
    <phoneticPr fontId="1" type="noConversion"/>
  </si>
  <si>
    <t>凤凰</t>
    <phoneticPr fontId="1" type="noConversion"/>
  </si>
  <si>
    <t>凤凰</t>
    <phoneticPr fontId="32" type="noConversion"/>
  </si>
  <si>
    <t>凤凰</t>
    <phoneticPr fontId="1" type="noConversion"/>
  </si>
  <si>
    <t>蓝杖</t>
    <phoneticPr fontId="1" type="noConversion"/>
  </si>
  <si>
    <t>骨灰盒</t>
    <phoneticPr fontId="1" type="noConversion"/>
  </si>
  <si>
    <t>魔抗头巾</t>
    <phoneticPr fontId="1" type="noConversion"/>
  </si>
  <si>
    <t>力量腰带</t>
    <phoneticPr fontId="1" type="noConversion"/>
  </si>
  <si>
    <t>力量护腕</t>
    <phoneticPr fontId="1" type="noConversion"/>
  </si>
  <si>
    <t>力量假腿</t>
    <phoneticPr fontId="1" type="noConversion"/>
  </si>
  <si>
    <t>推推棒</t>
    <phoneticPr fontId="1" type="noConversion"/>
  </si>
  <si>
    <t>阿托斯</t>
    <phoneticPr fontId="1" type="noConversion"/>
  </si>
  <si>
    <t>小人书</t>
    <phoneticPr fontId="1" type="noConversion"/>
  </si>
  <si>
    <t>锁甲</t>
    <phoneticPr fontId="1" type="noConversion"/>
  </si>
  <si>
    <t>冲锋盾</t>
    <phoneticPr fontId="1" type="noConversion"/>
  </si>
  <si>
    <t>长笛</t>
    <phoneticPr fontId="1" type="noConversion"/>
  </si>
  <si>
    <t>振魂玫瑰</t>
    <phoneticPr fontId="1" type="noConversion"/>
  </si>
  <si>
    <t>力量之斧</t>
    <phoneticPr fontId="1" type="noConversion"/>
  </si>
  <si>
    <t>林肯</t>
    <phoneticPr fontId="1" type="noConversion"/>
  </si>
  <si>
    <t>水晶法杖</t>
    <phoneticPr fontId="1" type="noConversion"/>
  </si>
  <si>
    <t>红杖</t>
    <phoneticPr fontId="1" type="noConversion"/>
  </si>
  <si>
    <t>生命之球</t>
    <phoneticPr fontId="1" type="noConversion"/>
  </si>
  <si>
    <t>冰甲</t>
    <phoneticPr fontId="1" type="noConversion"/>
  </si>
  <si>
    <t>古之耐歌</t>
    <phoneticPr fontId="1" type="noConversion"/>
  </si>
  <si>
    <t>飞鞋</t>
    <phoneticPr fontId="1" type="noConversion"/>
  </si>
  <si>
    <t>龙心</t>
    <phoneticPr fontId="1" type="noConversion"/>
  </si>
  <si>
    <t>红杖3阶</t>
    <phoneticPr fontId="1" type="noConversion"/>
  </si>
  <si>
    <t>黑黄</t>
    <phoneticPr fontId="1" type="noConversion"/>
  </si>
  <si>
    <t>羊刀</t>
    <phoneticPr fontId="1" type="noConversion"/>
  </si>
  <si>
    <t>极限球</t>
    <phoneticPr fontId="1" type="noConversion"/>
  </si>
  <si>
    <t>无尽长夜法杖</t>
    <phoneticPr fontId="1" type="noConversion"/>
  </si>
  <si>
    <t>水晶球</t>
    <phoneticPr fontId="1" type="noConversion"/>
  </si>
  <si>
    <t>女王的浴衣</t>
    <phoneticPr fontId="1" type="noConversion"/>
  </si>
  <si>
    <t>冰眼</t>
    <phoneticPr fontId="1" type="noConversion"/>
  </si>
  <si>
    <t>紫苑</t>
    <phoneticPr fontId="1" type="noConversion"/>
  </si>
  <si>
    <t>翡翠之吻</t>
    <phoneticPr fontId="1" type="noConversion"/>
  </si>
  <si>
    <t>巫师之冠</t>
    <phoneticPr fontId="1" type="noConversion"/>
  </si>
  <si>
    <t>永恒冰柱</t>
    <phoneticPr fontId="1" type="noConversion"/>
  </si>
  <si>
    <t>烈日炎烤</t>
  </si>
  <si>
    <t>超级新星</t>
  </si>
  <si>
    <t>凤凰冲击</t>
  </si>
  <si>
    <t>烈火精灵</t>
  </si>
  <si>
    <t>凤凰将自己的鲜血化作火焰攻击前方敌人。持续减少自身血量并对敌人造成持续魔法伤害。</t>
  </si>
  <si>
    <t>当凤凰血量为0时，会变做一团燃烧的火球并持续5秒。如果火球在持续期间内受到一定次数的的伤害则凤凰会死亡，否则会涅槃重生并震晕周围敌人。（一场战斗最多可重生3次，每次重生期间火球可承受的最大伤害次数依次为4/3/2）。</t>
  </si>
  <si>
    <t>凤凰飞掠战场，对前方敌人造成魔法伤害。</t>
  </si>
  <si>
    <t>凤凰召唤4只火鸟加持自身，12秒内提升自身攻击力并且普通攻击可造成范围魔法伤害。</t>
  </si>
  <si>
    <t>凤凰</t>
    <phoneticPr fontId="1" type="noConversion"/>
  </si>
  <si>
    <t>3.0 版本</t>
    <phoneticPr fontId="1" type="noConversion"/>
  </si>
  <si>
    <t>橙</t>
  </si>
  <si>
    <t>☆☆☆☆</t>
  </si>
  <si>
    <t>禁卫军胸甲</t>
  </si>
  <si>
    <t>禁卫军胸甲</t>
    <phoneticPr fontId="1" type="noConversion"/>
  </si>
  <si>
    <t>☆☆☆</t>
  </si>
  <si>
    <t>蓝宝石法杖</t>
    <phoneticPr fontId="1" type="noConversion"/>
  </si>
  <si>
    <t>3.2 版本</t>
    <phoneticPr fontId="1" type="noConversion"/>
  </si>
  <si>
    <t>1.补齐了装备附魔数据</t>
    <phoneticPr fontId="1" type="noConversion"/>
  </si>
</sst>
</file>

<file path=xl/styles.xml><?xml version="1.0" encoding="utf-8"?>
<styleSheet xmlns="http://schemas.openxmlformats.org/spreadsheetml/2006/main">
  <numFmts count="7">
    <numFmt numFmtId="176" formatCode="0.00_ "/>
    <numFmt numFmtId="177" formatCode="0_);[Red]\(0\)"/>
    <numFmt numFmtId="178" formatCode="0;_ࠀ"/>
    <numFmt numFmtId="179" formatCode="0.0_ "/>
    <numFmt numFmtId="180" formatCode="General&quot;%&quot;"/>
    <numFmt numFmtId="181" formatCode="&quot;-&quot;General&quot;%&quot;"/>
    <numFmt numFmtId="182" formatCode="0_ "/>
  </numFmts>
  <fonts count="36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indexed="8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sz val="11"/>
      <color theme="0"/>
      <name val="宋体"/>
      <family val="3"/>
      <charset val="134"/>
      <scheme val="minor"/>
    </font>
    <font>
      <u/>
      <sz val="9.9"/>
      <color theme="1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70C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sz val="11"/>
      <color rgb="FF00B050"/>
      <name val="Calibri"/>
      <family val="2"/>
    </font>
    <font>
      <sz val="11"/>
      <color rgb="FF0070C0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1"/>
      <name val="宋体"/>
      <family val="3"/>
      <charset val="134"/>
    </font>
    <font>
      <sz val="14"/>
      <color rgb="FFFF0000"/>
      <name val="宋体"/>
      <family val="3"/>
      <charset val="134"/>
      <scheme val="minor"/>
    </font>
    <font>
      <b/>
      <sz val="12"/>
      <color theme="1"/>
      <name val="Calibri"/>
      <family val="2"/>
    </font>
    <font>
      <b/>
      <sz val="11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0"/>
      <color theme="1"/>
      <name val="Calibri"/>
      <family val="2"/>
    </font>
    <font>
      <b/>
      <sz val="11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Calibri"/>
      <family val="2"/>
    </font>
    <font>
      <sz val="20"/>
      <color theme="1"/>
      <name val="宋体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E18A09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top"/>
      <protection locked="0"/>
    </xf>
  </cellStyleXfs>
  <cellXfs count="25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1" fillId="0" borderId="0" xfId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179" fontId="16" fillId="0" borderId="1" xfId="0" applyNumberFormat="1" applyFont="1" applyBorder="1" applyAlignment="1">
      <alignment horizontal="distributed" vertical="center"/>
    </xf>
    <xf numFmtId="0" fontId="16" fillId="10" borderId="1" xfId="0" applyFont="1" applyFill="1" applyBorder="1" applyAlignment="1">
      <alignment horizontal="center" vertical="center"/>
    </xf>
    <xf numFmtId="0" fontId="16" fillId="11" borderId="1" xfId="0" applyNumberFormat="1" applyFont="1" applyFill="1" applyBorder="1" applyAlignment="1">
      <alignment horizontal="center" vertical="center"/>
    </xf>
    <xf numFmtId="178" fontId="16" fillId="0" borderId="1" xfId="0" applyNumberFormat="1" applyFont="1" applyBorder="1" applyAlignment="1">
      <alignment horizontal="center" vertical="center"/>
    </xf>
    <xf numFmtId="180" fontId="16" fillId="0" borderId="1" xfId="0" applyNumberFormat="1" applyFont="1" applyBorder="1" applyAlignment="1">
      <alignment horizontal="distributed" vertical="center"/>
    </xf>
    <xf numFmtId="181" fontId="16" fillId="0" borderId="1" xfId="0" applyNumberFormat="1" applyFont="1" applyBorder="1" applyAlignment="1">
      <alignment horizontal="distributed" vertical="center"/>
    </xf>
    <xf numFmtId="0" fontId="17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6" fillId="11" borderId="1" xfId="0" applyFont="1" applyFill="1" applyBorder="1" applyAlignment="1" applyProtection="1">
      <alignment horizontal="center" vertical="center"/>
      <protection locked="0"/>
    </xf>
    <xf numFmtId="0" fontId="12" fillId="2" borderId="0" xfId="0" applyFont="1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NumberFormat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 wrapText="1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16" fillId="12" borderId="1" xfId="0" applyFont="1" applyFill="1" applyBorder="1" applyAlignment="1" applyProtection="1">
      <alignment horizontal="center" vertical="center"/>
      <protection locked="0"/>
    </xf>
    <xf numFmtId="0" fontId="16" fillId="0" borderId="0" xfId="0" applyFont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horizontal="center" vertical="center"/>
    </xf>
    <xf numFmtId="0" fontId="20" fillId="4" borderId="0" xfId="0" applyFont="1" applyFill="1" applyBorder="1" applyAlignment="1">
      <alignment horizontal="center" vertical="center"/>
    </xf>
    <xf numFmtId="0" fontId="20" fillId="5" borderId="0" xfId="0" applyFont="1" applyFill="1" applyBorder="1" applyAlignment="1">
      <alignment horizontal="center" vertical="center"/>
    </xf>
    <xf numFmtId="0" fontId="20" fillId="6" borderId="0" xfId="0" applyFont="1" applyFill="1" applyBorder="1" applyAlignment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20" fillId="7" borderId="0" xfId="0" applyFont="1" applyFill="1" applyBorder="1" applyAlignment="1" applyProtection="1">
      <alignment horizontal="center" vertical="center"/>
    </xf>
    <xf numFmtId="0" fontId="20" fillId="3" borderId="0" xfId="0" applyFont="1" applyFill="1" applyBorder="1" applyAlignment="1" applyProtection="1">
      <alignment horizontal="center" vertical="center"/>
    </xf>
    <xf numFmtId="0" fontId="20" fillId="4" borderId="0" xfId="0" applyFont="1" applyFill="1" applyBorder="1" applyAlignment="1" applyProtection="1">
      <alignment horizontal="center" vertical="center"/>
    </xf>
    <xf numFmtId="0" fontId="20" fillId="5" borderId="0" xfId="0" applyFont="1" applyFill="1" applyBorder="1" applyAlignment="1" applyProtection="1">
      <alignment horizontal="center" vertical="center"/>
    </xf>
    <xf numFmtId="0" fontId="16" fillId="0" borderId="0" xfId="0" applyFont="1" applyBorder="1" applyAlignment="1" applyProtection="1">
      <alignment horizontal="center" vertical="center"/>
    </xf>
    <xf numFmtId="0" fontId="20" fillId="6" borderId="0" xfId="0" applyFont="1" applyFill="1" applyBorder="1" applyAlignment="1" applyProtection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0" fontId="13" fillId="0" borderId="0" xfId="0" applyFont="1" applyBorder="1" applyAlignment="1">
      <alignment horizontal="center" vertical="center"/>
    </xf>
    <xf numFmtId="0" fontId="0" fillId="0" borderId="0" xfId="0" applyAlignment="1" applyProtection="1">
      <alignment horizontal="right" vertical="center"/>
      <protection hidden="1"/>
    </xf>
    <xf numFmtId="0" fontId="16" fillId="11" borderId="1" xfId="0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6" fillId="0" borderId="0" xfId="0" applyFont="1" applyBorder="1" applyAlignment="1" applyProtection="1">
      <alignment horizontal="left" vertical="center"/>
    </xf>
    <xf numFmtId="0" fontId="22" fillId="1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6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0" fillId="0" borderId="1" xfId="0" applyBorder="1" applyAlignment="1">
      <alignment horizontal="center"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0" fillId="0" borderId="0" xfId="0" applyFont="1">
      <alignment vertical="center"/>
    </xf>
    <xf numFmtId="0" fontId="0" fillId="0" borderId="0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76" fontId="0" fillId="6" borderId="1" xfId="0" applyNumberFormat="1" applyFont="1" applyFill="1" applyBorder="1" applyAlignment="1">
      <alignment horizontal="center" vertical="center"/>
    </xf>
    <xf numFmtId="0" fontId="0" fillId="0" borderId="0" xfId="0" applyFont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1" xfId="0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0" fillId="0" borderId="1" xfId="0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0" xfId="0" applyFont="1" applyBorder="1" applyAlignment="1" applyProtection="1">
      <alignment horizontal="center" vertical="center"/>
      <protection hidden="1"/>
    </xf>
    <xf numFmtId="0" fontId="28" fillId="0" borderId="0" xfId="0" applyFont="1">
      <alignment vertical="center"/>
    </xf>
    <xf numFmtId="0" fontId="26" fillId="2" borderId="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7" fillId="5" borderId="1" xfId="0" applyFont="1" applyFill="1" applyBorder="1" applyAlignment="1">
      <alignment horizontal="center" vertical="center"/>
    </xf>
    <xf numFmtId="0" fontId="27" fillId="13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27" fillId="13" borderId="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30" fillId="0" borderId="1" xfId="0" applyFont="1" applyBorder="1" applyAlignment="1">
      <alignment horizontal="center" vertical="center"/>
    </xf>
    <xf numFmtId="182" fontId="16" fillId="0" borderId="1" xfId="0" applyNumberFormat="1" applyFont="1" applyBorder="1" applyAlignment="1">
      <alignment horizontal="distributed" vertical="center"/>
    </xf>
    <xf numFmtId="0" fontId="29" fillId="10" borderId="1" xfId="0" applyFont="1" applyFill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 wrapText="1"/>
      <protection hidden="1"/>
    </xf>
    <xf numFmtId="0" fontId="26" fillId="6" borderId="1" xfId="0" applyFont="1" applyFill="1" applyBorder="1" applyAlignment="1">
      <alignment horizontal="center" vertical="center"/>
    </xf>
    <xf numFmtId="0" fontId="0" fillId="6" borderId="1" xfId="0" applyNumberForma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center" vertical="center"/>
      <protection hidden="1"/>
    </xf>
    <xf numFmtId="0" fontId="16" fillId="11" borderId="1" xfId="0" applyFont="1" applyFill="1" applyBorder="1" applyAlignment="1">
      <alignment horizontal="center" vertical="center"/>
    </xf>
    <xf numFmtId="0" fontId="0" fillId="0" borderId="0" xfId="0" applyProtection="1">
      <alignment vertical="center"/>
    </xf>
    <xf numFmtId="0" fontId="16" fillId="14" borderId="1" xfId="0" applyFont="1" applyFill="1" applyBorder="1" applyAlignment="1" applyProtection="1">
      <alignment horizontal="center" vertical="center"/>
    </xf>
    <xf numFmtId="0" fontId="16" fillId="10" borderId="1" xfId="0" applyFont="1" applyFill="1" applyBorder="1" applyAlignment="1" applyProtection="1">
      <alignment horizontal="center" vertical="center"/>
    </xf>
    <xf numFmtId="0" fontId="22" fillId="11" borderId="1" xfId="0" applyFont="1" applyFill="1" applyBorder="1" applyAlignment="1" applyProtection="1">
      <alignment horizontal="center" vertical="center"/>
    </xf>
    <xf numFmtId="0" fontId="34" fillId="14" borderId="1" xfId="0" applyFont="1" applyFill="1" applyBorder="1" applyAlignment="1" applyProtection="1">
      <alignment horizontal="center" vertical="center"/>
    </xf>
    <xf numFmtId="0" fontId="34" fillId="10" borderId="1" xfId="0" applyFont="1" applyFill="1" applyBorder="1" applyAlignment="1" applyProtection="1">
      <alignment horizontal="center" vertical="center"/>
    </xf>
    <xf numFmtId="0" fontId="16" fillId="0" borderId="1" xfId="0" applyFont="1" applyBorder="1" applyAlignment="1" applyProtection="1">
      <alignment horizontal="center" vertical="center"/>
    </xf>
    <xf numFmtId="0" fontId="22" fillId="0" borderId="1" xfId="0" applyFont="1" applyBorder="1" applyAlignment="1" applyProtection="1">
      <alignment horizontal="center" vertical="center"/>
    </xf>
    <xf numFmtId="0" fontId="27" fillId="13" borderId="0" xfId="0" applyFont="1" applyFill="1" applyBorder="1" applyAlignment="1" applyProtection="1">
      <alignment horizontal="center" vertical="center"/>
    </xf>
    <xf numFmtId="0" fontId="17" fillId="0" borderId="1" xfId="0" applyFont="1" applyBorder="1" applyAlignment="1" applyProtection="1">
      <alignment horizontal="center" vertical="center"/>
    </xf>
    <xf numFmtId="0" fontId="18" fillId="0" borderId="1" xfId="0" applyFont="1" applyBorder="1" applyAlignment="1" applyProtection="1">
      <alignment horizontal="center" vertical="center"/>
    </xf>
    <xf numFmtId="0" fontId="19" fillId="0" borderId="1" xfId="0" applyFont="1" applyBorder="1" applyAlignment="1" applyProtection="1">
      <alignment horizontal="center" vertical="center"/>
    </xf>
    <xf numFmtId="0" fontId="20" fillId="8" borderId="1" xfId="0" applyFont="1" applyFill="1" applyBorder="1" applyAlignment="1" applyProtection="1">
      <alignment horizontal="center" vertical="center"/>
    </xf>
    <xf numFmtId="179" fontId="24" fillId="0" borderId="1" xfId="0" applyNumberFormat="1" applyFont="1" applyBorder="1" applyAlignment="1" applyProtection="1">
      <alignment horizontal="center" vertical="center"/>
    </xf>
    <xf numFmtId="0" fontId="20" fillId="4" borderId="1" xfId="0" applyFont="1" applyFill="1" applyBorder="1" applyAlignment="1" applyProtection="1">
      <alignment horizontal="center" vertical="center"/>
    </xf>
    <xf numFmtId="0" fontId="20" fillId="3" borderId="1" xfId="0" applyFont="1" applyFill="1" applyBorder="1" applyAlignment="1" applyProtection="1">
      <alignment horizontal="center" vertical="center"/>
    </xf>
    <xf numFmtId="0" fontId="16" fillId="9" borderId="1" xfId="0" applyFont="1" applyFill="1" applyBorder="1" applyAlignment="1" applyProtection="1">
      <alignment horizontal="center" vertical="center"/>
    </xf>
    <xf numFmtId="179" fontId="16" fillId="0" borderId="1" xfId="0" applyNumberFormat="1" applyFont="1" applyBorder="1" applyAlignment="1" applyProtection="1">
      <alignment horizontal="center" vertical="center"/>
    </xf>
    <xf numFmtId="0" fontId="30" fillId="0" borderId="1" xfId="0" applyFont="1" applyBorder="1" applyAlignment="1" applyProtection="1">
      <alignment horizontal="center" vertical="center"/>
    </xf>
    <xf numFmtId="179" fontId="16" fillId="0" borderId="1" xfId="0" applyNumberFormat="1" applyFont="1" applyBorder="1" applyAlignment="1" applyProtection="1">
      <alignment horizontal="distributed" vertical="center"/>
    </xf>
    <xf numFmtId="182" fontId="16" fillId="0" borderId="1" xfId="0" applyNumberFormat="1" applyFont="1" applyBorder="1" applyAlignment="1" applyProtection="1">
      <alignment horizontal="distributed" vertical="center"/>
    </xf>
    <xf numFmtId="0" fontId="16" fillId="11" borderId="1" xfId="0" applyFont="1" applyFill="1" applyBorder="1" applyAlignment="1" applyProtection="1">
      <alignment horizontal="center" vertical="center"/>
    </xf>
    <xf numFmtId="178" fontId="16" fillId="0" borderId="1" xfId="0" applyNumberFormat="1" applyFont="1" applyBorder="1" applyAlignment="1" applyProtection="1">
      <alignment horizontal="center" vertical="center"/>
    </xf>
    <xf numFmtId="0" fontId="16" fillId="11" borderId="1" xfId="0" applyNumberFormat="1" applyFont="1" applyFill="1" applyBorder="1" applyAlignment="1" applyProtection="1">
      <alignment horizontal="center" vertical="center"/>
    </xf>
    <xf numFmtId="180" fontId="16" fillId="0" borderId="1" xfId="0" applyNumberFormat="1" applyFont="1" applyBorder="1" applyAlignment="1" applyProtection="1">
      <alignment horizontal="distributed" vertical="center"/>
    </xf>
    <xf numFmtId="181" fontId="16" fillId="0" borderId="1" xfId="0" applyNumberFormat="1" applyFont="1" applyBorder="1" applyAlignment="1" applyProtection="1">
      <alignment horizontal="distributed" vertical="center"/>
    </xf>
    <xf numFmtId="0" fontId="29" fillId="11" borderId="1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27" fillId="5" borderId="0" xfId="0" applyFont="1" applyFill="1" applyBorder="1" applyAlignment="1" applyProtection="1">
      <alignment horizontal="center" vertical="center"/>
    </xf>
    <xf numFmtId="0" fontId="19" fillId="0" borderId="0" xfId="0" applyFont="1" applyBorder="1" applyAlignment="1" applyProtection="1">
      <alignment horizontal="center" vertical="center"/>
    </xf>
    <xf numFmtId="0" fontId="16" fillId="1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26" fillId="0" borderId="2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6" fillId="12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16" fillId="12" borderId="1" xfId="0" applyFont="1" applyFill="1" applyBorder="1" applyAlignment="1" applyProtection="1">
      <alignment horizontal="center" vertical="center"/>
      <protection locked="0"/>
    </xf>
    <xf numFmtId="0" fontId="16" fillId="12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16" fillId="11" borderId="1" xfId="0" applyFont="1" applyFill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6" fillId="12" borderId="8" xfId="0" applyFont="1" applyFill="1" applyBorder="1" applyAlignment="1" applyProtection="1">
      <alignment horizontal="center" vertical="center"/>
      <protection locked="0"/>
    </xf>
    <xf numFmtId="0" fontId="16" fillId="12" borderId="9" xfId="0" applyFont="1" applyFill="1" applyBorder="1" applyAlignment="1" applyProtection="1">
      <alignment horizontal="center" vertical="center"/>
      <protection locked="0"/>
    </xf>
    <xf numFmtId="0" fontId="16" fillId="0" borderId="8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11" borderId="12" xfId="0" applyFont="1" applyFill="1" applyBorder="1" applyAlignment="1">
      <alignment horizontal="center" vertical="center"/>
    </xf>
    <xf numFmtId="0" fontId="16" fillId="11" borderId="13" xfId="0" applyFont="1" applyFill="1" applyBorder="1" applyAlignment="1">
      <alignment horizontal="center" vertical="center"/>
    </xf>
    <xf numFmtId="0" fontId="16" fillId="11" borderId="14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left" vertical="center" wrapText="1"/>
    </xf>
    <xf numFmtId="179" fontId="24" fillId="0" borderId="1" xfId="0" applyNumberFormat="1" applyFont="1" applyBorder="1" applyAlignment="1">
      <alignment horizontal="distributed" vertical="center"/>
    </xf>
    <xf numFmtId="0" fontId="16" fillId="0" borderId="1" xfId="0" applyFont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20" fillId="4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17" fillId="0" borderId="10" xfId="0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/>
    </xf>
    <xf numFmtId="0" fontId="34" fillId="10" borderId="1" xfId="0" applyFont="1" applyFill="1" applyBorder="1" applyAlignment="1" applyProtection="1">
      <alignment horizontal="center" vertical="center"/>
    </xf>
    <xf numFmtId="0" fontId="17" fillId="0" borderId="10" xfId="0" applyFont="1" applyBorder="1" applyAlignment="1" applyProtection="1">
      <alignment horizontal="left" vertical="center"/>
    </xf>
    <xf numFmtId="0" fontId="17" fillId="0" borderId="0" xfId="0" applyFont="1" applyBorder="1" applyAlignment="1" applyProtection="1">
      <alignment horizontal="left" vertical="center" wrapText="1"/>
    </xf>
    <xf numFmtId="0" fontId="16" fillId="0" borderId="0" xfId="0" applyFont="1" applyBorder="1" applyAlignment="1" applyProtection="1">
      <alignment horizontal="center" vertical="center"/>
    </xf>
    <xf numFmtId="0" fontId="16" fillId="12" borderId="1" xfId="0" applyFont="1" applyFill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</xf>
    <xf numFmtId="0" fontId="21" fillId="0" borderId="1" xfId="0" applyFont="1" applyBorder="1" applyAlignment="1" applyProtection="1">
      <alignment horizontal="center" vertical="center"/>
    </xf>
    <xf numFmtId="0" fontId="22" fillId="11" borderId="1" xfId="0" applyFont="1" applyFill="1" applyBorder="1" applyAlignment="1" applyProtection="1">
      <alignment horizontal="center" vertical="center"/>
    </xf>
    <xf numFmtId="0" fontId="21" fillId="0" borderId="0" xfId="0" applyFont="1" applyAlignment="1" applyProtection="1">
      <alignment horizontal="center" vertical="center"/>
    </xf>
    <xf numFmtId="0" fontId="34" fillId="14" borderId="1" xfId="0" applyFont="1" applyFill="1" applyBorder="1" applyAlignment="1" applyProtection="1">
      <alignment horizontal="center" vertical="center"/>
    </xf>
    <xf numFmtId="0" fontId="16" fillId="11" borderId="1" xfId="0" applyFont="1" applyFill="1" applyBorder="1" applyAlignment="1" applyProtection="1">
      <alignment horizontal="center" vertical="center"/>
    </xf>
    <xf numFmtId="0" fontId="17" fillId="0" borderId="0" xfId="0" applyFont="1" applyAlignment="1" applyProtection="1">
      <alignment horizontal="left" vertical="center" wrapText="1"/>
    </xf>
    <xf numFmtId="0" fontId="25" fillId="0" borderId="11" xfId="0" applyFont="1" applyBorder="1" applyAlignment="1" applyProtection="1">
      <alignment horizontal="center" vertical="center"/>
    </xf>
    <xf numFmtId="0" fontId="21" fillId="0" borderId="11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15" fillId="0" borderId="0" xfId="0" applyFont="1" applyAlignment="1" applyProtection="1">
      <alignment horizontal="center" vertical="center"/>
      <protection hidden="1"/>
    </xf>
    <xf numFmtId="0" fontId="26" fillId="0" borderId="20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5" fillId="0" borderId="0" xfId="0" applyFont="1" applyAlignment="1">
      <alignment horizontal="center" vertical="center" wrapText="1"/>
    </xf>
    <xf numFmtId="0" fontId="10" fillId="13" borderId="0" xfId="0" applyFont="1" applyFill="1" applyBorder="1" applyAlignment="1">
      <alignment horizontal="center" vertical="center"/>
    </xf>
    <xf numFmtId="0" fontId="10" fillId="13" borderId="0" xfId="0" applyFont="1" applyFill="1" applyBorder="1" applyAlignment="1" applyProtection="1">
      <alignment horizontal="center" vertical="center"/>
    </xf>
  </cellXfs>
  <cellStyles count="2">
    <cellStyle name="常规" xfId="0" builtinId="0"/>
    <cellStyle name="超链接" xfId="1" builtinId="8"/>
  </cellStyles>
  <dxfs count="40">
    <dxf>
      <fill>
        <patternFill>
          <bgColor rgb="FF00B05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E18A09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b/>
        <i val="0"/>
        <color rgb="FFE18A09"/>
      </font>
      <border>
        <left style="thin">
          <color rgb="FFE18A09"/>
        </left>
        <right style="thin">
          <color rgb="FFE18A09"/>
        </right>
        <top style="thin">
          <color rgb="FFE18A09"/>
        </top>
        <bottom style="thin">
          <color rgb="FFE18A09"/>
        </bottom>
        <vertical/>
        <horizontal/>
      </border>
    </dxf>
    <dxf>
      <fill>
        <patternFill>
          <bgColor rgb="FFFFC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u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E18A0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E18A09"/>
      </font>
      <border>
        <left style="thin">
          <color rgb="FFE18A09"/>
        </left>
        <right style="thin">
          <color rgb="FFE18A09"/>
        </right>
        <top style="thin">
          <color rgb="FFE18A09"/>
        </top>
        <bottom style="thin">
          <color rgb="FFE18A09"/>
        </bottom>
        <vertical/>
        <horizontal/>
      </border>
    </dxf>
    <dxf>
      <fill>
        <patternFill>
          <bgColor rgb="FFFFC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E18A09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0" tint="-0.24994659260841701"/>
        </patternFill>
      </fill>
    </dxf>
  </dxfs>
  <tableStyles count="0" defaultTableStyle="TableStyleMedium9" defaultPivotStyle="PivotStyleLight16"/>
  <colors>
    <mruColors>
      <color rgb="FFFF8A09"/>
      <color rgb="FFEAB200"/>
      <color rgb="FFB88C00"/>
      <color rgb="FFE18A0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d.longtugame.com/daotadata/index" TargetMode="External"/><Relationship Id="rId3" Type="http://schemas.openxmlformats.org/officeDocument/2006/relationships/hyperlink" Target="http://www.smzdwan.com/Home/ZoneSearch/dtcq_search/find/wj/" TargetMode="External"/><Relationship Id="rId7" Type="http://schemas.openxmlformats.org/officeDocument/2006/relationships/hyperlink" Target="http://www.18183.com/dtcq/gonglue/yxgl/llyx/list_4959_6.html" TargetMode="External"/><Relationship Id="rId2" Type="http://schemas.openxmlformats.org/officeDocument/2006/relationships/hyperlink" Target="http://www.youba.com/wangyou/dtcq/" TargetMode="External"/><Relationship Id="rId1" Type="http://schemas.openxmlformats.org/officeDocument/2006/relationships/hyperlink" Target="http://www.smzdwan.com/dtcq/" TargetMode="External"/><Relationship Id="rId6" Type="http://schemas.openxmlformats.org/officeDocument/2006/relationships/hyperlink" Target="http://dtcq.pipaw.com/yxsj/" TargetMode="External"/><Relationship Id="rId5" Type="http://schemas.openxmlformats.org/officeDocument/2006/relationships/hyperlink" Target="http://game.21cn.com/dtcq/yxgl/list2.shtml" TargetMode="External"/><Relationship Id="rId4" Type="http://schemas.openxmlformats.org/officeDocument/2006/relationships/hyperlink" Target="http://db.18183.com/dtcq/yx?s2=1" TargetMode="External"/><Relationship Id="rId9" Type="http://schemas.openxmlformats.org/officeDocument/2006/relationships/hyperlink" Target="http://www.joyme.com/wiki/dtcq/59540.shtml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8A09"/>
  </sheetPr>
  <dimension ref="A1:AF173"/>
  <sheetViews>
    <sheetView tabSelected="1" workbookViewId="0">
      <selection activeCell="C4" sqref="C4:D4"/>
    </sheetView>
  </sheetViews>
  <sheetFormatPr defaultRowHeight="16.5" customHeight="1"/>
  <cols>
    <col min="1" max="1" width="2.25" style="35" customWidth="1"/>
    <col min="2" max="17" width="10" style="35" customWidth="1"/>
    <col min="18" max="20" width="9" style="35"/>
    <col min="21" max="25" width="11.625" style="77" hidden="1" customWidth="1"/>
    <col min="26" max="32" width="9" style="35" hidden="1" customWidth="1"/>
    <col min="33" max="16384" width="9" style="35"/>
  </cols>
  <sheetData>
    <row r="1" spans="1:32" ht="16.5" customHeight="1">
      <c r="B1" s="199" t="s">
        <v>1105</v>
      </c>
      <c r="C1" s="199"/>
      <c r="D1" s="199"/>
      <c r="E1" s="199"/>
      <c r="F1" s="199"/>
      <c r="G1" s="199"/>
      <c r="H1" s="199"/>
      <c r="J1" s="196" t="s">
        <v>1106</v>
      </c>
      <c r="K1" s="196"/>
      <c r="L1" s="196"/>
      <c r="M1" s="196"/>
      <c r="N1" s="196"/>
      <c r="O1" s="196"/>
      <c r="P1" s="196"/>
      <c r="Q1" s="58"/>
      <c r="U1" s="198" t="s">
        <v>1107</v>
      </c>
      <c r="V1" s="198"/>
      <c r="W1" s="198"/>
      <c r="X1" s="198"/>
      <c r="Y1" s="198"/>
      <c r="AA1" s="35" t="str">
        <f>IF(HLOOKUP(中介表格1!$AF$111,中介表格1!$V$57:$AA$63,2,0)=0,"",HLOOKUP(中介表格1!$AF$111,中介表格1!$V$57:$AA$63,2,0))</f>
        <v>无</v>
      </c>
      <c r="AB1" s="35" t="str">
        <f>IF(HLOOKUP(中介表格1!$AF$112,中介表格1!$V$57:$AA$63,2,0)=0,"",HLOOKUP(中介表格1!$AF$112,中介表格1!$V$57:$AA$63,2,0))</f>
        <v>无</v>
      </c>
      <c r="AC1" s="35" t="str">
        <f>IF(HLOOKUP(中介表格1!$AF$113,中介表格1!$V$57:$AA$63,2,0)=0,"",HLOOKUP(中介表格1!$AF$113,中介表格1!$V$57:$AA$63,2,0))</f>
        <v>无</v>
      </c>
      <c r="AD1" s="35" t="str">
        <f>IF(HLOOKUP(中介表格1!$AF$114,中介表格1!$V$57:$AA$63,2,0)=0,"",HLOOKUP(中介表格1!$AF$114,中介表格1!$V$57:$AA$63,2,0))</f>
        <v>无</v>
      </c>
      <c r="AE1" s="35" t="str">
        <f>IF(HLOOKUP(中介表格1!$AF$115,中介表格1!$V$57:$AA$63,2,0)=0,"",HLOOKUP(中介表格1!$AF$115,中介表格1!$V$57:$AA$63,2,0))</f>
        <v>无</v>
      </c>
      <c r="AF1" s="35" t="str">
        <f>IF(HLOOKUP(中介表格1!$AF$116,中介表格1!$V$57:$AA$63,2,0)=0,"",HLOOKUP(中介表格1!$AF$116,中介表格1!$V$57:$AA$63,2,0))</f>
        <v>无</v>
      </c>
    </row>
    <row r="2" spans="1:32" ht="16.5" customHeight="1">
      <c r="B2" s="47" t="s">
        <v>1108</v>
      </c>
      <c r="C2" s="200" t="s">
        <v>175</v>
      </c>
      <c r="D2" s="201"/>
      <c r="F2" s="76" t="s">
        <v>1109</v>
      </c>
      <c r="G2" s="202" t="str">
        <f>VLOOKUP(C2,英雄成长!$A:$B,2,0)</f>
        <v>敏捷</v>
      </c>
      <c r="H2" s="203"/>
      <c r="J2" s="154" t="str">
        <f>中介表格1!W42</f>
        <v>白</v>
      </c>
      <c r="K2" s="142" t="str">
        <f>中介表格1!X42</f>
        <v>树枝</v>
      </c>
      <c r="L2" s="142" t="str">
        <f>中介表格1!Y42</f>
        <v>敏捷丝袜</v>
      </c>
      <c r="M2" s="142" t="str">
        <f>中介表格1!Z42</f>
        <v>贵族头环</v>
      </c>
      <c r="N2" s="142" t="str">
        <f>中介表格1!AA42</f>
        <v>补刀斧</v>
      </c>
      <c r="O2" s="142" t="str">
        <f>中介表格1!AB42</f>
        <v>小圆盾</v>
      </c>
      <c r="P2" s="142" t="str">
        <f>中介表格1!AC42</f>
        <v>防御指环</v>
      </c>
      <c r="Q2" s="77"/>
      <c r="R2" s="77"/>
      <c r="U2" s="59" t="s">
        <v>1110</v>
      </c>
      <c r="V2" s="60" t="s">
        <v>1111</v>
      </c>
      <c r="W2" s="61" t="s">
        <v>1112</v>
      </c>
      <c r="X2" s="62" t="s">
        <v>1113</v>
      </c>
      <c r="Y2" s="130" t="s">
        <v>1870</v>
      </c>
      <c r="AA2" s="35" t="str">
        <f>IF(HLOOKUP(中介表格1!$AF$111,中介表格1!$V$57:$AA$63,3,0)=0,"",HLOOKUP(中介表格1!$AF$111,中介表格1!$V$57:$AA$63,3,0))</f>
        <v>☆</v>
      </c>
      <c r="AB2" s="35" t="str">
        <f>IF(HLOOKUP(中介表格1!$AF$112,中介表格1!$V$57:$AA$63,3,0)=0,"",HLOOKUP(中介表格1!$AF$112,中介表格1!$V$57:$AA$63,3,0))</f>
        <v>☆</v>
      </c>
      <c r="AC2" s="35" t="str">
        <f>IF(HLOOKUP(中介表格1!$AF$113,中介表格1!$V$57:$AA$63,3,0)=0,"",HLOOKUP(中介表格1!$AF$113,中介表格1!$V$57:$AA$63,3,0))</f>
        <v>☆</v>
      </c>
      <c r="AD2" s="35" t="str">
        <f>IF(HLOOKUP(中介表格1!$AF$114,中介表格1!$V$57:$AA$63,3,0)=0,"",HLOOKUP(中介表格1!$AF$114,中介表格1!$V$57:$AA$63,3,0))</f>
        <v>☆</v>
      </c>
      <c r="AE2" s="35" t="str">
        <f>IF(HLOOKUP(中介表格1!$AF$115,中介表格1!$V$57:$AA$63,3,0)=0,"",HLOOKUP(中介表格1!$AF$115,中介表格1!$V$57:$AA$63,3,0))</f>
        <v>☆</v>
      </c>
      <c r="AF2" s="35" t="str">
        <f>IF(HLOOKUP(中介表格1!$AF$116,中介表格1!$V$57:$AA$63,3,0)=0,"",HLOOKUP(中介表格1!$AF$116,中介表格1!$V$57:$AA$63,3,0))</f>
        <v/>
      </c>
    </row>
    <row r="3" spans="1:32" ht="16.5" customHeight="1">
      <c r="B3" s="76" t="s">
        <v>1114</v>
      </c>
      <c r="C3" s="200" t="s">
        <v>2103</v>
      </c>
      <c r="D3" s="201"/>
      <c r="F3" s="80" t="s">
        <v>1262</v>
      </c>
      <c r="G3" s="202" t="str">
        <f>VLOOKUP(单英雄!$C$2,英雄初始!$A:$L,2,0)</f>
        <v>前排</v>
      </c>
      <c r="H3" s="203"/>
      <c r="J3" s="154" t="str">
        <f>中介表格1!W43</f>
        <v>绿</v>
      </c>
      <c r="K3" s="142" t="str">
        <f>中介表格1!X43</f>
        <v>敏捷皮靴</v>
      </c>
      <c r="L3" s="142" t="str">
        <f>中介表格1!Y43</f>
        <v>屌丝盾</v>
      </c>
      <c r="M3" s="142" t="str">
        <f>中介表格1!Z43</f>
        <v>敏捷系带</v>
      </c>
      <c r="N3" s="142" t="str">
        <f>中介表格1!AA43</f>
        <v>圣殿指环</v>
      </c>
      <c r="O3" s="142" t="str">
        <f>中介表格1!AB43</f>
        <v>小魔棒</v>
      </c>
      <c r="P3" s="142" t="str">
        <f>中介表格1!AC43</f>
        <v>鞋</v>
      </c>
      <c r="Q3" s="77"/>
      <c r="R3" s="77"/>
      <c r="U3" s="59" t="s">
        <v>1117</v>
      </c>
      <c r="V3" s="60" t="s">
        <v>1118</v>
      </c>
      <c r="W3" s="61" t="s">
        <v>1119</v>
      </c>
      <c r="X3" s="62" t="s">
        <v>1120</v>
      </c>
      <c r="Y3" s="130" t="s">
        <v>1871</v>
      </c>
      <c r="AA3" s="35" t="str">
        <f>IF(HLOOKUP(中介表格1!$AF$111,中介表格1!$V$57:$AA$63,4,0)=0,"",HLOOKUP(中介表格1!$AF$111,中介表格1!$V$57:$AA$63,4,0))</f>
        <v>☆☆</v>
      </c>
      <c r="AB3" s="35" t="str">
        <f>IF(HLOOKUP(中介表格1!$AF$112,中介表格1!$V$57:$AA$63,4,0)=0,"",HLOOKUP(中介表格1!$AF$112,中介表格1!$V$57:$AA$63,4,0))</f>
        <v>☆☆</v>
      </c>
      <c r="AC3" s="35" t="str">
        <f>IF(HLOOKUP(中介表格1!$AF$113,中介表格1!$V$57:$AA$63,4,0)=0,"",HLOOKUP(中介表格1!$AF$113,中介表格1!$V$57:$AA$63,4,0))</f>
        <v>☆☆</v>
      </c>
      <c r="AD3" s="35" t="str">
        <f>IF(HLOOKUP(中介表格1!$AF$114,中介表格1!$V$57:$AA$63,4,0)=0,"",HLOOKUP(中介表格1!$AF$114,中介表格1!$V$57:$AA$63,4,0))</f>
        <v>☆☆</v>
      </c>
      <c r="AE3" s="35" t="str">
        <f>IF(HLOOKUP(中介表格1!$AF$115,中介表格1!$V$57:$AA$63,4,0)=0,"",HLOOKUP(中介表格1!$AF$115,中介表格1!$V$57:$AA$63,4,0))</f>
        <v>☆☆</v>
      </c>
      <c r="AF3" s="35" t="str">
        <f>IF(HLOOKUP(中介表格1!$AF$116,中介表格1!$V$57:$AA$63,4,0)=0,"",HLOOKUP(中介表格1!$AF$116,中介表格1!$V$57:$AA$63,4,0))</f>
        <v/>
      </c>
    </row>
    <row r="4" spans="1:32" ht="16.5" customHeight="1">
      <c r="B4" s="76" t="s">
        <v>1121</v>
      </c>
      <c r="C4" s="200">
        <v>90</v>
      </c>
      <c r="D4" s="201"/>
      <c r="F4" s="204" t="s">
        <v>1115</v>
      </c>
      <c r="G4" s="44" t="s">
        <v>1116</v>
      </c>
      <c r="H4" s="36">
        <f>中介表格1!$D$25</f>
        <v>6.3</v>
      </c>
      <c r="J4" s="154" t="str">
        <f>中介表格1!W44</f>
        <v>绿+1</v>
      </c>
      <c r="K4" s="142" t="str">
        <f>中介表格1!X44</f>
        <v>敏捷之刃</v>
      </c>
      <c r="L4" s="142" t="str">
        <f>中介表格1!Y44</f>
        <v>大魔杖</v>
      </c>
      <c r="M4" s="142" t="str">
        <f>中介表格1!Z44</f>
        <v>吸血面具</v>
      </c>
      <c r="N4" s="142" t="str">
        <f>中介表格1!AA44</f>
        <v>天鹰之戒</v>
      </c>
      <c r="O4" s="142" t="str">
        <f>中介表格1!AB44</f>
        <v>敏捷系带</v>
      </c>
      <c r="P4" s="142" t="str">
        <f>中介表格1!AC44</f>
        <v>鞋</v>
      </c>
      <c r="Q4" s="77"/>
      <c r="R4" s="77"/>
      <c r="U4" s="59" t="s">
        <v>1123</v>
      </c>
      <c r="V4" s="60" t="s">
        <v>1124</v>
      </c>
      <c r="W4" s="61" t="s">
        <v>1125</v>
      </c>
      <c r="X4" s="62" t="s">
        <v>1126</v>
      </c>
      <c r="Y4" s="130" t="s">
        <v>1872</v>
      </c>
      <c r="AA4" s="35" t="str">
        <f>IF(HLOOKUP(中介表格1!$AF$111,中介表格1!$V$57:$AA$63,5,0)=0,"",HLOOKUP(中介表格1!$AF$111,中介表格1!$V$57:$AA$63,5,0))</f>
        <v>☆☆☆</v>
      </c>
      <c r="AB4" s="35" t="str">
        <f>IF(HLOOKUP(中介表格1!$AF$112,中介表格1!$V$57:$AA$63,5,0)=0,"",HLOOKUP(中介表格1!$AF$112,中介表格1!$V$57:$AA$63,5,0))</f>
        <v>☆☆☆</v>
      </c>
      <c r="AC4" s="35" t="str">
        <f>IF(HLOOKUP(中介表格1!$AF$113,中介表格1!$V$57:$AA$63,5,0)=0,"",HLOOKUP(中介表格1!$AF$113,中介表格1!$V$57:$AA$63,5,0))</f>
        <v>☆☆☆</v>
      </c>
      <c r="AD4" s="35" t="str">
        <f>IF(HLOOKUP(中介表格1!$AF$114,中介表格1!$V$57:$AA$63,5,0)=0,"",HLOOKUP(中介表格1!$AF$114,中介表格1!$V$57:$AA$63,5,0))</f>
        <v>☆☆☆</v>
      </c>
      <c r="AE4" s="35" t="str">
        <f>IF(HLOOKUP(中介表格1!$AF$115,中介表格1!$V$57:$AA$63,5,0)=0,"",HLOOKUP(中介表格1!$AF$115,中介表格1!$V$57:$AA$63,5,0))</f>
        <v>☆☆☆</v>
      </c>
      <c r="AF4" s="35" t="str">
        <f>IF(HLOOKUP(中介表格1!$AF$116,中介表格1!$V$57:$AA$63,5,0)=0,"",HLOOKUP(中介表格1!$AF$116,中介表格1!$V$57:$AA$63,5,0))</f>
        <v/>
      </c>
    </row>
    <row r="5" spans="1:32" ht="16.5" customHeight="1">
      <c r="B5" s="76" t="s">
        <v>1127</v>
      </c>
      <c r="C5" s="200" t="s">
        <v>2175</v>
      </c>
      <c r="D5" s="201"/>
      <c r="F5" s="205"/>
      <c r="G5" s="45" t="s">
        <v>1122</v>
      </c>
      <c r="H5" s="36">
        <f>中介表格1!$D$26</f>
        <v>9.6</v>
      </c>
      <c r="J5" s="154" t="str">
        <f>中介表格1!W45</f>
        <v>蓝</v>
      </c>
      <c r="K5" s="142" t="str">
        <f>中介表格1!X45</f>
        <v>散华</v>
      </c>
      <c r="L5" s="142" t="str">
        <f>中介表格1!Y45</f>
        <v>蓝杖</v>
      </c>
      <c r="M5" s="142" t="str">
        <f>中介表格1!Z45</f>
        <v>秘银锤</v>
      </c>
      <c r="N5" s="142" t="str">
        <f>中介表格1!AA45</f>
        <v>冲锋盾</v>
      </c>
      <c r="O5" s="142" t="str">
        <f>中介表格1!AB45</f>
        <v>圣殿指环</v>
      </c>
      <c r="P5" s="142" t="str">
        <f>中介表格1!AC45</f>
        <v>相位鞋</v>
      </c>
      <c r="Q5" s="77"/>
      <c r="R5" s="77"/>
      <c r="U5" s="59" t="s">
        <v>1129</v>
      </c>
      <c r="V5" s="60" t="s">
        <v>1130</v>
      </c>
      <c r="W5" s="61" t="s">
        <v>1131</v>
      </c>
      <c r="X5" s="62" t="s">
        <v>1132</v>
      </c>
      <c r="Y5" s="130" t="s">
        <v>1875</v>
      </c>
      <c r="AA5" s="35" t="str">
        <f>IF(HLOOKUP(中介表格1!$AF$111,中介表格1!$V$57:$AA$63,6,0)=0,"",HLOOKUP(中介表格1!$AF$111,中介表格1!$V$57:$AA$63,6,0))</f>
        <v>☆☆☆☆</v>
      </c>
      <c r="AB5" s="35" t="str">
        <f>IF(HLOOKUP(中介表格1!$AF$112,中介表格1!$V$57:$AA$63,6,0)=0,"",HLOOKUP(中介表格1!$AF$112,中介表格1!$V$57:$AA$63,6,0))</f>
        <v>☆☆☆☆</v>
      </c>
      <c r="AC5" s="35" t="str">
        <f>IF(HLOOKUP(中介表格1!$AF$113,中介表格1!$V$57:$AA$63,6,0)=0,"",HLOOKUP(中介表格1!$AF$113,中介表格1!$V$57:$AA$63,6,0))</f>
        <v>☆☆☆☆</v>
      </c>
      <c r="AD5" s="35" t="str">
        <f>IF(HLOOKUP(中介表格1!$AF$114,中介表格1!$V$57:$AA$63,6,0)=0,"",HLOOKUP(中介表格1!$AF$114,中介表格1!$V$57:$AA$63,6,0))</f>
        <v>☆☆☆☆</v>
      </c>
      <c r="AE5" s="35" t="str">
        <f>IF(HLOOKUP(中介表格1!$AF$115,中介表格1!$V$57:$AA$63,6,0)=0,"",HLOOKUP(中介表格1!$AF$115,中介表格1!$V$57:$AA$63,6,0))</f>
        <v>☆☆☆☆</v>
      </c>
      <c r="AF5" s="35" t="str">
        <f>IF(HLOOKUP(中介表格1!$AF$116,中介表格1!$V$57:$AA$63,6,0)=0,"",HLOOKUP(中介表格1!$AF$116,中介表格1!$V$57:$AA$63,6,0))</f>
        <v/>
      </c>
    </row>
    <row r="6" spans="1:32" ht="16.5" customHeight="1">
      <c r="F6" s="206"/>
      <c r="G6" s="46" t="s">
        <v>1128</v>
      </c>
      <c r="H6" s="36">
        <f>中介表格1!$D$27</f>
        <v>4.2</v>
      </c>
      <c r="J6" s="154" t="str">
        <f>中介表格1!W46</f>
        <v>蓝+1</v>
      </c>
      <c r="K6" s="142" t="str">
        <f>中介表格1!X46</f>
        <v>双刀</v>
      </c>
      <c r="L6" s="142" t="str">
        <f>中介表格1!Y46</f>
        <v>黑黄</v>
      </c>
      <c r="M6" s="142" t="str">
        <f>中介表格1!Z46</f>
        <v>支配</v>
      </c>
      <c r="N6" s="142" t="str">
        <f>中介表格1!AA46</f>
        <v>古之耐歌</v>
      </c>
      <c r="O6" s="142" t="str">
        <f>中介表格1!AB46</f>
        <v>敏捷系带</v>
      </c>
      <c r="P6" s="142" t="str">
        <f>中介表格1!AC46</f>
        <v>相位鞋</v>
      </c>
      <c r="Q6" s="77"/>
      <c r="R6" s="77"/>
      <c r="U6" s="59" t="s">
        <v>1133</v>
      </c>
      <c r="V6" s="60" t="s">
        <v>1134</v>
      </c>
      <c r="W6" s="61" t="s">
        <v>1135</v>
      </c>
      <c r="X6" s="62" t="s">
        <v>1136</v>
      </c>
      <c r="Y6" s="130" t="s">
        <v>1879</v>
      </c>
      <c r="AA6" s="35" t="str">
        <f>IF(HLOOKUP(中介表格1!$AF$111,中介表格1!$V$57:$AA$63,7,0)=0,"",HLOOKUP(中介表格1!$AF$111,中介表格1!$V$57:$AA$63,7,0))</f>
        <v>☆☆☆☆☆</v>
      </c>
      <c r="AB6" s="35" t="str">
        <f>IF(HLOOKUP(中介表格1!$AF$112,中介表格1!$V$57:$AA$63,7,0)=0,"",HLOOKUP(中介表格1!$AF$112,中介表格1!$V$57:$AA$63,7,0))</f>
        <v>☆☆☆☆☆</v>
      </c>
      <c r="AC6" s="35" t="str">
        <f>IF(HLOOKUP(中介表格1!$AF$113,中介表格1!$V$57:$AA$63,7,0)=0,"",HLOOKUP(中介表格1!$AF$113,中介表格1!$V$57:$AA$63,7,0))</f>
        <v>☆☆☆☆☆</v>
      </c>
      <c r="AD6" s="35" t="str">
        <f>IF(HLOOKUP(中介表格1!$AF$114,中介表格1!$V$57:$AA$63,7,0)=0,"",HLOOKUP(中介表格1!$AF$114,中介表格1!$V$57:$AA$63,7,0))</f>
        <v>☆☆☆☆☆</v>
      </c>
      <c r="AE6" s="35" t="str">
        <f>IF(HLOOKUP(中介表格1!$AF$115,中介表格1!$V$57:$AA$63,7,0)=0,"",HLOOKUP(中介表格1!$AF$115,中介表格1!$V$57:$AA$63,7,0))</f>
        <v>☆☆☆☆☆</v>
      </c>
      <c r="AF6" s="35" t="str">
        <f>IF(HLOOKUP(中介表格1!$AF$116,中介表格1!$V$57:$AA$63,7,0)=0,"",HLOOKUP(中介表格1!$AF$116,中介表格1!$V$57:$AA$63,7,0))</f>
        <v/>
      </c>
    </row>
    <row r="7" spans="1:32" ht="16.5" customHeight="1">
      <c r="B7" s="210" t="str">
        <f>中介表格1!$G$5</f>
        <v/>
      </c>
      <c r="C7" s="210"/>
      <c r="D7" s="210"/>
      <c r="F7" s="210" t="str">
        <f>中介表格1!$E$24</f>
        <v/>
      </c>
      <c r="G7" s="210"/>
      <c r="H7" s="210"/>
      <c r="J7" s="154" t="str">
        <f>中介表格1!W47</f>
        <v>蓝+2</v>
      </c>
      <c r="K7" s="142" t="str">
        <f>中介表格1!X47</f>
        <v>分身斧</v>
      </c>
      <c r="L7" s="142" t="str">
        <f>中介表格1!Y47</f>
        <v>洛萨</v>
      </c>
      <c r="M7" s="142" t="str">
        <f>中介表格1!Z47</f>
        <v>暗灭</v>
      </c>
      <c r="N7" s="142" t="str">
        <f>中介表格1!AA47</f>
        <v>散华</v>
      </c>
      <c r="O7" s="142" t="str">
        <f>中介表格1!AB47</f>
        <v>吸血面具</v>
      </c>
      <c r="P7" s="142" t="str">
        <f>中介表格1!AC47</f>
        <v>敏捷假腿</v>
      </c>
      <c r="Q7" s="77"/>
      <c r="R7" s="77"/>
      <c r="U7" s="59" t="s">
        <v>1137</v>
      </c>
      <c r="V7" s="60" t="s">
        <v>1138</v>
      </c>
      <c r="W7" s="61" t="s">
        <v>1139</v>
      </c>
      <c r="X7" s="62" t="s">
        <v>1140</v>
      </c>
      <c r="Y7" s="130" t="s">
        <v>1880</v>
      </c>
    </row>
    <row r="8" spans="1:32" ht="16.5" customHeight="1">
      <c r="A8" s="77"/>
      <c r="B8" s="210"/>
      <c r="C8" s="210"/>
      <c r="D8" s="210"/>
      <c r="F8" s="210"/>
      <c r="G8" s="210"/>
      <c r="H8" s="210"/>
      <c r="J8" s="154" t="str">
        <f>中介表格1!W48</f>
        <v>紫</v>
      </c>
      <c r="K8" s="142" t="str">
        <f>中介表格1!X48</f>
        <v>金箍棒</v>
      </c>
      <c r="L8" s="142" t="str">
        <f>中介表格1!Y48</f>
        <v>狂战斧</v>
      </c>
      <c r="M8" s="142" t="str">
        <f>中介表格1!Z48</f>
        <v>疯脸</v>
      </c>
      <c r="N8" s="142" t="str">
        <f>中介表格1!AA48</f>
        <v>冲锋盾</v>
      </c>
      <c r="O8" s="142" t="str">
        <f>中介表格1!AB48</f>
        <v>敏捷系带</v>
      </c>
      <c r="P8" s="142" t="str">
        <f>中介表格1!AC48</f>
        <v>敏捷假腿</v>
      </c>
      <c r="Q8" s="77"/>
      <c r="R8" s="77"/>
      <c r="U8" s="59" t="s">
        <v>1141</v>
      </c>
      <c r="V8" s="60" t="s">
        <v>1142</v>
      </c>
      <c r="W8" s="61" t="s">
        <v>1143</v>
      </c>
      <c r="X8" s="62" t="s">
        <v>1144</v>
      </c>
      <c r="Y8" s="130" t="s">
        <v>1971</v>
      </c>
    </row>
    <row r="9" spans="1:32" ht="16.5" customHeight="1">
      <c r="A9" s="77"/>
      <c r="B9" s="111"/>
      <c r="C9" s="111"/>
      <c r="D9" s="111"/>
      <c r="E9" s="111"/>
      <c r="F9" s="111"/>
      <c r="G9" s="111"/>
      <c r="H9" s="111"/>
      <c r="I9" s="111"/>
      <c r="J9" s="154" t="str">
        <f>中介表格1!W49</f>
        <v>紫+1</v>
      </c>
      <c r="K9" s="142" t="str">
        <f>中介表格1!X49</f>
        <v>蝴蝶</v>
      </c>
      <c r="L9" s="142" t="str">
        <f>中介表格1!Y49</f>
        <v>强袭</v>
      </c>
      <c r="M9" s="142" t="str">
        <f>中介表格1!Z49</f>
        <v>碎骨锤</v>
      </c>
      <c r="N9" s="142" t="str">
        <f>中介表格1!AA49</f>
        <v>大剑</v>
      </c>
      <c r="O9" s="142" t="str">
        <f>中介表格1!AB49</f>
        <v>支配</v>
      </c>
      <c r="P9" s="142" t="str">
        <f>中介表格1!AC49</f>
        <v>飞鞋</v>
      </c>
      <c r="Q9" s="77"/>
      <c r="R9" s="77"/>
      <c r="U9" s="59" t="s">
        <v>1146</v>
      </c>
      <c r="V9" s="60" t="s">
        <v>1147</v>
      </c>
      <c r="W9" s="61" t="s">
        <v>1148</v>
      </c>
      <c r="X9" s="62" t="s">
        <v>1149</v>
      </c>
      <c r="Y9" s="130" t="s">
        <v>1882</v>
      </c>
    </row>
    <row r="10" spans="1:32" ht="16.5" customHeight="1">
      <c r="A10" s="77"/>
      <c r="B10" s="214" t="s">
        <v>1173</v>
      </c>
      <c r="C10" s="215"/>
      <c r="D10" s="215"/>
      <c r="E10" s="215"/>
      <c r="F10" s="215"/>
      <c r="G10" s="215"/>
      <c r="H10" s="215"/>
      <c r="I10" s="111"/>
      <c r="J10" s="154" t="str">
        <f>中介表格1!W50</f>
        <v>紫+2</v>
      </c>
      <c r="K10" s="142" t="str">
        <f>中介表格1!X50</f>
        <v>撒旦</v>
      </c>
      <c r="L10" s="142" t="str">
        <f>中介表格1!Y50</f>
        <v>刷新珠</v>
      </c>
      <c r="M10" s="142" t="str">
        <f>中介表格1!Z50</f>
        <v>分身斧</v>
      </c>
      <c r="N10" s="142" t="str">
        <f>中介表格1!AA50</f>
        <v>蓝杖</v>
      </c>
      <c r="O10" s="142" t="str">
        <f>中介表格1!AB50</f>
        <v>敏捷系带</v>
      </c>
      <c r="P10" s="142" t="str">
        <f>中介表格1!AC50</f>
        <v>飞鞋</v>
      </c>
      <c r="Q10" s="77"/>
      <c r="R10" s="77"/>
      <c r="U10" s="59" t="s">
        <v>1150</v>
      </c>
      <c r="V10" s="60" t="s">
        <v>1151</v>
      </c>
      <c r="W10" s="61" t="s">
        <v>1152</v>
      </c>
      <c r="X10" s="62" t="s">
        <v>1153</v>
      </c>
      <c r="Y10" s="130" t="s">
        <v>1863</v>
      </c>
    </row>
    <row r="11" spans="1:32" ht="16.5" customHeight="1">
      <c r="A11" s="77"/>
      <c r="B11" s="195" t="s">
        <v>1173</v>
      </c>
      <c r="C11" s="142" t="str">
        <f>中介表格1!AG119</f>
        <v>地覆</v>
      </c>
      <c r="D11" s="142" t="str">
        <f>中介表格1!AG120</f>
        <v>麒麟弯刀</v>
      </c>
      <c r="E11" s="142" t="str">
        <f>中介表格1!AG121</f>
        <v>振奋石</v>
      </c>
      <c r="F11" s="142" t="str">
        <f>中介表格1!AG122</f>
        <v>角鹰弓</v>
      </c>
      <c r="G11" s="142" t="str">
        <f>中介表格1!AG123</f>
        <v>疾行鞋</v>
      </c>
      <c r="H11" s="142" t="str">
        <f>中介表格1!AG124</f>
        <v>?</v>
      </c>
      <c r="J11" s="154" t="str">
        <f>中介表格1!W51</f>
        <v>紫+3</v>
      </c>
      <c r="K11" s="142" t="str">
        <f>中介表格1!X51</f>
        <v>深渊之刃</v>
      </c>
      <c r="L11" s="142" t="str">
        <f>中介表格1!Y51</f>
        <v>龙心</v>
      </c>
      <c r="M11" s="142" t="str">
        <f>中介表格1!Z51</f>
        <v>狂战斧</v>
      </c>
      <c r="N11" s="142" t="str">
        <f>中介表格1!AA51</f>
        <v>黑黄</v>
      </c>
      <c r="O11" s="142" t="str">
        <f>中介表格1!AB51</f>
        <v>冲锋盾</v>
      </c>
      <c r="P11" s="142" t="str">
        <f>中介表格1!AC51</f>
        <v>飞鞋</v>
      </c>
      <c r="Q11" s="77"/>
      <c r="R11" s="77"/>
      <c r="U11" s="59" t="s">
        <v>1154</v>
      </c>
      <c r="V11" s="60" t="s">
        <v>1155</v>
      </c>
      <c r="W11" s="61" t="s">
        <v>1156</v>
      </c>
      <c r="X11" s="62" t="s">
        <v>1157</v>
      </c>
      <c r="Y11" s="130" t="s">
        <v>1885</v>
      </c>
    </row>
    <row r="12" spans="1:32" ht="16.5" customHeight="1">
      <c r="A12" s="77"/>
      <c r="B12" s="195"/>
      <c r="C12" s="192" t="s">
        <v>1348</v>
      </c>
      <c r="D12" s="185" t="s">
        <v>1348</v>
      </c>
      <c r="E12" s="185" t="s">
        <v>1348</v>
      </c>
      <c r="F12" s="57" t="s">
        <v>1348</v>
      </c>
      <c r="G12" s="57" t="s">
        <v>1348</v>
      </c>
      <c r="H12" s="193" t="s">
        <v>1796</v>
      </c>
      <c r="J12" s="154" t="str">
        <f>中介表格1!W52</f>
        <v>紫+4</v>
      </c>
      <c r="K12" s="142" t="str">
        <f>中介表格1!X52</f>
        <v>十字军巨盾</v>
      </c>
      <c r="L12" s="142" t="str">
        <f>中介表格1!Y52</f>
        <v>鹰羽指环</v>
      </c>
      <c r="M12" s="142" t="str">
        <f>中介表格1!Z52</f>
        <v>林肯</v>
      </c>
      <c r="N12" s="142" t="str">
        <f>中介表格1!AA52</f>
        <v>神圣种子</v>
      </c>
      <c r="O12" s="142" t="str">
        <f>中介表格1!AB52</f>
        <v>极限球</v>
      </c>
      <c r="P12" s="142" t="str">
        <f>中介表格1!AC52</f>
        <v>疾行鞋</v>
      </c>
      <c r="Q12" s="111"/>
      <c r="U12" s="59" t="s">
        <v>1165</v>
      </c>
      <c r="V12" s="60" t="s">
        <v>1166</v>
      </c>
      <c r="W12" s="61" t="s">
        <v>1167</v>
      </c>
      <c r="X12" s="62" t="s">
        <v>1168</v>
      </c>
      <c r="Y12" s="130" t="s">
        <v>1897</v>
      </c>
    </row>
    <row r="13" spans="1:32" ht="16.5" customHeight="1">
      <c r="A13" s="77"/>
      <c r="B13" s="154" t="s">
        <v>1182</v>
      </c>
      <c r="C13" s="57" t="s">
        <v>2119</v>
      </c>
      <c r="D13" s="57" t="s">
        <v>2119</v>
      </c>
      <c r="E13" s="57" t="s">
        <v>2119</v>
      </c>
      <c r="F13" s="57" t="s">
        <v>2119</v>
      </c>
      <c r="G13" s="57" t="s">
        <v>2119</v>
      </c>
      <c r="H13" s="57" t="s">
        <v>1797</v>
      </c>
      <c r="J13" s="154" t="str">
        <f>中介表格1!W53</f>
        <v>橙</v>
      </c>
      <c r="K13" s="142" t="str">
        <f>中介表格1!X53</f>
        <v>地覆</v>
      </c>
      <c r="L13" s="142" t="str">
        <f>中介表格1!Y53</f>
        <v>麒麟弯刀</v>
      </c>
      <c r="M13" s="142" t="str">
        <f>中介表格1!Z53</f>
        <v>振奋石</v>
      </c>
      <c r="N13" s="142" t="str">
        <f>中介表格1!AA53</f>
        <v>角鹰弓</v>
      </c>
      <c r="O13" s="142" t="str">
        <f>中介表格1!AB53</f>
        <v>疾行鞋</v>
      </c>
      <c r="P13" s="142" t="str">
        <f>中介表格1!AC53</f>
        <v>?</v>
      </c>
      <c r="Q13" s="111"/>
      <c r="U13" s="59" t="s">
        <v>1169</v>
      </c>
      <c r="V13" s="60" t="s">
        <v>1170</v>
      </c>
      <c r="W13" s="61" t="s">
        <v>1171</v>
      </c>
      <c r="X13" s="62" t="s">
        <v>1172</v>
      </c>
      <c r="Y13" s="130" t="s">
        <v>1912</v>
      </c>
    </row>
    <row r="14" spans="1:32" ht="16.5" customHeight="1">
      <c r="A14" s="77"/>
      <c r="B14" s="213" t="str">
        <f>中介表格1!$V$70</f>
        <v/>
      </c>
      <c r="C14" s="213"/>
      <c r="D14" s="213"/>
      <c r="E14" s="213"/>
      <c r="F14" s="213"/>
      <c r="G14" s="213"/>
      <c r="H14" s="213"/>
      <c r="J14" s="77"/>
      <c r="K14" s="77"/>
      <c r="L14" s="77"/>
      <c r="M14" s="77"/>
      <c r="N14" s="77"/>
      <c r="O14" s="77"/>
      <c r="P14" s="77"/>
      <c r="Q14" s="77"/>
      <c r="U14" s="59" t="s">
        <v>1174</v>
      </c>
      <c r="V14" s="60" t="s">
        <v>1175</v>
      </c>
      <c r="W14" s="61" t="s">
        <v>1176</v>
      </c>
      <c r="X14" s="62" t="s">
        <v>1177</v>
      </c>
      <c r="Y14" s="130" t="s">
        <v>1925</v>
      </c>
    </row>
    <row r="15" spans="1:32" ht="16.5" customHeight="1">
      <c r="A15" s="77"/>
      <c r="B15" s="207" t="str">
        <f>中介表格1!$V$71</f>
        <v/>
      </c>
      <c r="C15" s="207"/>
      <c r="D15" s="207"/>
      <c r="E15" s="207"/>
      <c r="F15" s="207"/>
      <c r="G15" s="207"/>
      <c r="H15" s="207"/>
      <c r="U15" s="59" t="s">
        <v>1178</v>
      </c>
      <c r="V15" s="60" t="s">
        <v>1179</v>
      </c>
      <c r="W15" s="61" t="s">
        <v>1180</v>
      </c>
      <c r="X15" s="62" t="s">
        <v>1181</v>
      </c>
      <c r="Y15" s="130" t="s">
        <v>1993</v>
      </c>
    </row>
    <row r="16" spans="1:32" ht="16.5" customHeight="1">
      <c r="A16" s="77"/>
      <c r="B16" s="207"/>
      <c r="C16" s="207"/>
      <c r="D16" s="207"/>
      <c r="E16" s="207"/>
      <c r="F16" s="207"/>
      <c r="G16" s="207"/>
      <c r="H16" s="207"/>
      <c r="U16" s="59" t="s">
        <v>1183</v>
      </c>
      <c r="V16" s="60" t="s">
        <v>1184</v>
      </c>
      <c r="W16" s="61" t="s">
        <v>1185</v>
      </c>
      <c r="X16" s="62" t="s">
        <v>1186</v>
      </c>
      <c r="Y16" s="130" t="s">
        <v>1976</v>
      </c>
    </row>
    <row r="17" spans="1:25" ht="16.5" customHeight="1">
      <c r="A17" s="77"/>
      <c r="B17" s="196" t="s">
        <v>1145</v>
      </c>
      <c r="C17" s="196"/>
      <c r="D17" s="196"/>
      <c r="E17" s="196"/>
      <c r="F17" s="196"/>
      <c r="G17" s="196"/>
      <c r="H17" s="196"/>
      <c r="J17" s="197" t="s">
        <v>1741</v>
      </c>
      <c r="K17" s="197"/>
      <c r="L17" s="197"/>
      <c r="M17" s="197"/>
      <c r="N17" s="197"/>
      <c r="O17" s="197"/>
      <c r="P17" s="197"/>
      <c r="U17" s="59" t="s">
        <v>1187</v>
      </c>
      <c r="V17" s="60" t="s">
        <v>1188</v>
      </c>
      <c r="W17" s="61" t="s">
        <v>1189</v>
      </c>
      <c r="X17" s="62" t="s">
        <v>1190</v>
      </c>
      <c r="Y17" s="250" t="s">
        <v>2180</v>
      </c>
    </row>
    <row r="18" spans="1:25" ht="16.5" customHeight="1">
      <c r="A18" s="77"/>
      <c r="B18" s="195" t="s">
        <v>1109</v>
      </c>
      <c r="C18" s="216" t="s">
        <v>1116</v>
      </c>
      <c r="D18" s="208">
        <f>中介表格1!AJ1+中介表格1!AJ6</f>
        <v>1325.6999999999998</v>
      </c>
      <c r="E18" s="211" t="s">
        <v>5</v>
      </c>
      <c r="F18" s="208">
        <f>中介表格1!AN1+中介表格1!AN6</f>
        <v>831.8</v>
      </c>
      <c r="G18" s="212" t="s">
        <v>4</v>
      </c>
      <c r="H18" s="208">
        <f>中介表格1!AL1+中介表格1!AL6</f>
        <v>1860.4</v>
      </c>
      <c r="J18" s="195" t="s">
        <v>1743</v>
      </c>
      <c r="K18" s="209" t="str">
        <f>IF(中介表格1!$AG$128="","",中介表格1!$AG$128)</f>
        <v>瞬间出剑6次，攻击敌阵中随机目标。因为速度太快，没有人在施放无敌斩期间击中剑圣。</v>
      </c>
      <c r="L18" s="209"/>
      <c r="M18" s="209"/>
      <c r="N18" s="209"/>
      <c r="O18" s="209"/>
      <c r="P18" s="209"/>
      <c r="U18" s="59" t="s">
        <v>1191</v>
      </c>
      <c r="V18" s="60" t="s">
        <v>1192</v>
      </c>
      <c r="W18" s="61" t="s">
        <v>1193</v>
      </c>
      <c r="X18" s="62" t="s">
        <v>1194</v>
      </c>
    </row>
    <row r="19" spans="1:25" s="64" customFormat="1" ht="16.5" customHeight="1">
      <c r="A19" s="77"/>
      <c r="B19" s="195"/>
      <c r="C19" s="216"/>
      <c r="D19" s="208"/>
      <c r="E19" s="211"/>
      <c r="F19" s="208"/>
      <c r="G19" s="212"/>
      <c r="H19" s="208"/>
      <c r="I19" s="35"/>
      <c r="J19" s="195"/>
      <c r="K19" s="209"/>
      <c r="L19" s="209"/>
      <c r="M19" s="209"/>
      <c r="N19" s="209"/>
      <c r="O19" s="209"/>
      <c r="P19" s="209"/>
      <c r="Q19" s="35"/>
      <c r="U19" s="65" t="s">
        <v>1195</v>
      </c>
      <c r="V19" s="66" t="s">
        <v>1196</v>
      </c>
      <c r="W19" s="67" t="s">
        <v>1197</v>
      </c>
      <c r="X19" s="68" t="s">
        <v>1198</v>
      </c>
      <c r="Y19" s="69"/>
    </row>
    <row r="20" spans="1:25" s="64" customFormat="1" ht="16.5" customHeight="1">
      <c r="A20" s="77"/>
      <c r="B20" s="195" t="s">
        <v>1158</v>
      </c>
      <c r="C20" s="37" t="s">
        <v>1159</v>
      </c>
      <c r="D20" s="37" t="s">
        <v>1160</v>
      </c>
      <c r="E20" s="37" t="s">
        <v>1161</v>
      </c>
      <c r="F20" s="37" t="s">
        <v>1162</v>
      </c>
      <c r="G20" s="37" t="s">
        <v>1163</v>
      </c>
      <c r="H20" s="37" t="s">
        <v>1164</v>
      </c>
      <c r="J20" s="195" t="s">
        <v>1744</v>
      </c>
      <c r="K20" s="209" t="str">
        <f>IF(中介表格1!$AG$129="","",中介表格1!$AG$129)</f>
        <v>舞起剑刃风暴切人敌军,对周围的敌方单位造成物理伤害。剑圣此时对魔法免疫。</v>
      </c>
      <c r="L20" s="209"/>
      <c r="M20" s="209"/>
      <c r="N20" s="209"/>
      <c r="O20" s="209"/>
      <c r="P20" s="209"/>
      <c r="Q20" s="35"/>
      <c r="U20" s="65" t="s">
        <v>1199</v>
      </c>
      <c r="V20" s="66" t="s">
        <v>1200</v>
      </c>
      <c r="W20" s="67" t="s">
        <v>1201</v>
      </c>
      <c r="X20" s="68" t="s">
        <v>1202</v>
      </c>
      <c r="Y20" s="69"/>
    </row>
    <row r="21" spans="1:25" s="64" customFormat="1" ht="16.5" customHeight="1">
      <c r="A21" s="77"/>
      <c r="B21" s="195"/>
      <c r="C21" s="38">
        <f>中介表格1!$AI$4+中介表格1!$AI$9</f>
        <v>27376.6</v>
      </c>
      <c r="D21" s="38">
        <f>中介表格1!$AJ$4+中介表格1!$AJ$9</f>
        <v>3893.9600000000005</v>
      </c>
      <c r="E21" s="38">
        <f>中介表格1!$AK$4+中介表格1!$AK$9</f>
        <v>1997.32</v>
      </c>
      <c r="F21" s="38">
        <f>中介表格1!$AL$4+中介表格1!$AL$9</f>
        <v>403.46699999999998</v>
      </c>
      <c r="G21" s="38">
        <f>中介表格1!$AM$4+中介表格1!$AM$9</f>
        <v>118.67999999999999</v>
      </c>
      <c r="H21" s="38">
        <f>中介表格1!$AN$4+中介表格1!$AN$9</f>
        <v>1057.56</v>
      </c>
      <c r="J21" s="195"/>
      <c r="K21" s="209"/>
      <c r="L21" s="209"/>
      <c r="M21" s="209"/>
      <c r="N21" s="209"/>
      <c r="O21" s="209"/>
      <c r="P21" s="209"/>
      <c r="U21" s="69"/>
      <c r="V21" s="66" t="s">
        <v>1203</v>
      </c>
      <c r="W21" s="67" t="s">
        <v>1204</v>
      </c>
      <c r="X21" s="68" t="s">
        <v>1205</v>
      </c>
      <c r="Y21" s="69"/>
    </row>
    <row r="22" spans="1:25" s="64" customFormat="1" ht="16.5" customHeight="1">
      <c r="A22" s="77"/>
      <c r="B22" s="195"/>
      <c r="C22" s="39" t="s">
        <v>56</v>
      </c>
      <c r="D22" s="39" t="s">
        <v>84</v>
      </c>
      <c r="E22" s="39" t="s">
        <v>98</v>
      </c>
      <c r="F22" s="144" t="s">
        <v>2100</v>
      </c>
      <c r="G22" s="39" t="s">
        <v>2098</v>
      </c>
      <c r="H22" s="39" t="s">
        <v>91</v>
      </c>
      <c r="I22" s="35"/>
      <c r="J22" s="195" t="s">
        <v>1745</v>
      </c>
      <c r="K22" s="209" t="str">
        <f>IF(中介表格1!$AG$130="","",中介表格1!$AG$130)</f>
        <v>放置一个治疗图腾,为所有队友缓慢恢复生命值。</v>
      </c>
      <c r="L22" s="209"/>
      <c r="M22" s="209"/>
      <c r="N22" s="209"/>
      <c r="O22" s="209"/>
      <c r="P22" s="209"/>
      <c r="Q22" s="35"/>
      <c r="U22" s="69"/>
      <c r="V22" s="66" t="s">
        <v>1206</v>
      </c>
      <c r="W22" s="67" t="s">
        <v>1207</v>
      </c>
      <c r="X22" s="68" t="s">
        <v>1208</v>
      </c>
      <c r="Y22" s="69"/>
    </row>
    <row r="23" spans="1:25" s="64" customFormat="1" ht="16.5" customHeight="1">
      <c r="A23" s="77"/>
      <c r="B23" s="195"/>
      <c r="C23" s="143">
        <f>中介表格1!$AO$4+中介表格1!$AO$9</f>
        <v>22</v>
      </c>
      <c r="D23" s="143">
        <f>中介表格1!$AP$4+中介表格1!$AP$9</f>
        <v>20</v>
      </c>
      <c r="E23" s="143">
        <f>中介表格1!$AQ$4+中介表格1!$AQ$9</f>
        <v>0</v>
      </c>
      <c r="F23" s="143">
        <f>中介表格1!$AR$4+中介表格1!$AR$9</f>
        <v>105</v>
      </c>
      <c r="G23" s="143">
        <f>中介表格1!$AS$4+中介表格1!$AS$9</f>
        <v>0</v>
      </c>
      <c r="H23" s="38">
        <f>中介表格1!$AT$4+中介表格1!$AT$9</f>
        <v>30</v>
      </c>
      <c r="I23" s="35"/>
      <c r="J23" s="195"/>
      <c r="K23" s="209"/>
      <c r="L23" s="209"/>
      <c r="M23" s="209"/>
      <c r="N23" s="209"/>
      <c r="O23" s="209"/>
      <c r="P23" s="209"/>
      <c r="U23" s="69"/>
      <c r="V23" s="66" t="s">
        <v>1209</v>
      </c>
      <c r="W23" s="67" t="s">
        <v>1210</v>
      </c>
      <c r="X23" s="68" t="s">
        <v>1211</v>
      </c>
      <c r="Y23" s="69"/>
    </row>
    <row r="24" spans="1:25" s="64" customFormat="1" ht="16.5" customHeight="1">
      <c r="A24" s="77"/>
      <c r="B24" s="195"/>
      <c r="C24" s="154" t="s">
        <v>13</v>
      </c>
      <c r="D24" s="154" t="s">
        <v>18</v>
      </c>
      <c r="E24" s="40" t="s">
        <v>71</v>
      </c>
      <c r="F24" s="154" t="s">
        <v>130</v>
      </c>
      <c r="G24" s="123" t="s">
        <v>1867</v>
      </c>
      <c r="H24" s="123" t="s">
        <v>1877</v>
      </c>
      <c r="I24" s="35"/>
      <c r="J24" s="195" t="s">
        <v>1746</v>
      </c>
      <c r="K24" s="209" t="str">
        <f>IF(中介表格1!$AG$131="","",中介表格1!$AG$131)</f>
        <v>被动：高超的剑术可以轻易击中敌人的要害，大幅提高暴击。</v>
      </c>
      <c r="L24" s="209"/>
      <c r="M24" s="209"/>
      <c r="N24" s="209"/>
      <c r="O24" s="209"/>
      <c r="P24" s="209"/>
      <c r="U24" s="69"/>
      <c r="V24" s="66" t="s">
        <v>1212</v>
      </c>
      <c r="W24" s="67" t="s">
        <v>1213</v>
      </c>
      <c r="X24" s="68" t="s">
        <v>1214</v>
      </c>
      <c r="Y24" s="70"/>
    </row>
    <row r="25" spans="1:25" s="64" customFormat="1" ht="16.5" customHeight="1">
      <c r="A25" s="77"/>
      <c r="B25" s="195"/>
      <c r="C25" s="41">
        <f>中介表格1!$AU$4+中介表格1!$AU$9</f>
        <v>2605</v>
      </c>
      <c r="D25" s="41">
        <f>中介表格1!$AV$4+中介表格1!$AV$9</f>
        <v>422</v>
      </c>
      <c r="E25" s="42">
        <f>中介表格1!$AW$4+中介表格1!$AW$9</f>
        <v>12</v>
      </c>
      <c r="F25" s="43">
        <f>中介表格1!$AX$4+中介表格1!$AX$9</f>
        <v>15</v>
      </c>
      <c r="G25" s="42">
        <f>中介表格1!$AY$4+中介表格1!$AY$9</f>
        <v>0</v>
      </c>
      <c r="H25" s="143">
        <f>中介表格1!$AZ$4+中介表格1!$AZ$9</f>
        <v>0</v>
      </c>
      <c r="I25" s="35"/>
      <c r="J25" s="195"/>
      <c r="K25" s="209"/>
      <c r="L25" s="209"/>
      <c r="M25" s="209"/>
      <c r="N25" s="209"/>
      <c r="O25" s="209"/>
      <c r="P25" s="209"/>
      <c r="Q25" s="35"/>
      <c r="U25" s="69"/>
      <c r="V25" s="66" t="s">
        <v>1215</v>
      </c>
      <c r="W25" s="67" t="s">
        <v>1216</v>
      </c>
      <c r="X25" s="68" t="s">
        <v>1217</v>
      </c>
      <c r="Y25" s="70"/>
    </row>
    <row r="26" spans="1:25" s="64" customFormat="1" ht="16.5" customHeight="1">
      <c r="A26" s="77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U26" s="69"/>
      <c r="V26" s="66" t="s">
        <v>1218</v>
      </c>
      <c r="W26" s="67" t="s">
        <v>1219</v>
      </c>
      <c r="X26" s="68" t="s">
        <v>1220</v>
      </c>
      <c r="Y26" s="70"/>
    </row>
    <row r="27" spans="1:25" s="64" customFormat="1" ht="16.5" customHeight="1">
      <c r="A27" s="77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U27" s="69"/>
      <c r="V27" s="66" t="s">
        <v>1221</v>
      </c>
      <c r="W27" s="67" t="s">
        <v>1222</v>
      </c>
      <c r="X27" s="68" t="s">
        <v>1223</v>
      </c>
      <c r="Y27" s="70"/>
    </row>
    <row r="28" spans="1:25" s="64" customFormat="1" ht="16.5" customHeight="1">
      <c r="A28" s="77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U28" s="69"/>
      <c r="V28" s="66" t="s">
        <v>1224</v>
      </c>
      <c r="W28" s="67" t="s">
        <v>1225</v>
      </c>
      <c r="X28" s="68" t="s">
        <v>1226</v>
      </c>
      <c r="Y28" s="70"/>
    </row>
    <row r="29" spans="1:25" s="64" customFormat="1" ht="16.5" customHeight="1">
      <c r="A29" s="79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U29" s="69"/>
      <c r="V29" s="66" t="s">
        <v>1227</v>
      </c>
      <c r="W29" s="67" t="s">
        <v>1228</v>
      </c>
      <c r="X29" s="68" t="s">
        <v>1229</v>
      </c>
      <c r="Y29" s="70"/>
    </row>
    <row r="30" spans="1:25" ht="16.5" customHeight="1">
      <c r="A30" s="77"/>
      <c r="V30" s="60" t="s">
        <v>1230</v>
      </c>
      <c r="W30" s="61" t="s">
        <v>1231</v>
      </c>
      <c r="X30" s="62" t="s">
        <v>1232</v>
      </c>
      <c r="Y30" s="63"/>
    </row>
    <row r="31" spans="1:25" ht="16.5" customHeight="1">
      <c r="A31" s="77"/>
      <c r="V31" s="60" t="s">
        <v>1233</v>
      </c>
      <c r="W31" s="61" t="s">
        <v>1234</v>
      </c>
      <c r="X31" s="62" t="s">
        <v>1235</v>
      </c>
      <c r="Y31" s="63"/>
    </row>
    <row r="32" spans="1:25" ht="16.5" customHeight="1">
      <c r="A32" s="77"/>
      <c r="V32" s="60" t="s">
        <v>1236</v>
      </c>
      <c r="W32" s="61" t="s">
        <v>1237</v>
      </c>
      <c r="X32" s="62" t="s">
        <v>1238</v>
      </c>
      <c r="Y32" s="63"/>
    </row>
    <row r="33" spans="1:25" ht="16.5" customHeight="1">
      <c r="A33" s="77"/>
      <c r="V33" s="60" t="s">
        <v>1239</v>
      </c>
      <c r="W33" s="61" t="s">
        <v>1240</v>
      </c>
      <c r="X33" s="62" t="s">
        <v>1241</v>
      </c>
      <c r="Y33" s="63"/>
    </row>
    <row r="34" spans="1:25" ht="16.5" customHeight="1">
      <c r="A34" s="77"/>
      <c r="V34" s="60" t="s">
        <v>1242</v>
      </c>
      <c r="W34" s="61" t="s">
        <v>1243</v>
      </c>
      <c r="X34" s="62" t="s">
        <v>1244</v>
      </c>
      <c r="Y34" s="63"/>
    </row>
    <row r="35" spans="1:25" ht="16.5" customHeight="1">
      <c r="A35" s="77"/>
      <c r="V35" s="60" t="s">
        <v>1245</v>
      </c>
      <c r="W35" s="61" t="s">
        <v>1246</v>
      </c>
      <c r="X35" s="62" t="s">
        <v>1247</v>
      </c>
      <c r="Y35" s="63"/>
    </row>
    <row r="36" spans="1:25" ht="16.5" customHeight="1">
      <c r="A36" s="77"/>
      <c r="V36" s="60" t="s">
        <v>1248</v>
      </c>
      <c r="W36" s="61" t="s">
        <v>1873</v>
      </c>
      <c r="X36" s="62" t="s">
        <v>1249</v>
      </c>
      <c r="Y36" s="63"/>
    </row>
    <row r="37" spans="1:25" ht="16.5" customHeight="1">
      <c r="A37" s="77"/>
      <c r="V37" s="60" t="s">
        <v>1250</v>
      </c>
      <c r="W37" s="63"/>
      <c r="X37" s="62" t="s">
        <v>1251</v>
      </c>
      <c r="Y37" s="63"/>
    </row>
    <row r="38" spans="1:25" ht="16.5" customHeight="1">
      <c r="A38" s="77"/>
      <c r="V38" s="63"/>
      <c r="W38" s="63"/>
      <c r="X38" s="62" t="s">
        <v>1252</v>
      </c>
      <c r="Y38" s="63"/>
    </row>
    <row r="39" spans="1:25" ht="16.5" customHeight="1">
      <c r="A39" s="77"/>
      <c r="V39" s="63"/>
      <c r="W39" s="63"/>
      <c r="X39" s="62" t="s">
        <v>1253</v>
      </c>
      <c r="Y39" s="63"/>
    </row>
    <row r="40" spans="1:25" ht="16.5" customHeight="1">
      <c r="A40" s="77"/>
      <c r="V40" s="63"/>
      <c r="W40" s="63"/>
      <c r="X40" s="62" t="s">
        <v>1254</v>
      </c>
      <c r="Y40" s="63"/>
    </row>
    <row r="41" spans="1:25" ht="16.5" customHeight="1">
      <c r="A41" s="77"/>
      <c r="V41" s="63"/>
      <c r="W41" s="63"/>
      <c r="X41" s="128" t="s">
        <v>1865</v>
      </c>
      <c r="Y41" s="63"/>
    </row>
    <row r="42" spans="1:25" ht="16.5" customHeight="1">
      <c r="A42" s="77"/>
      <c r="V42" s="63"/>
      <c r="W42" s="63"/>
      <c r="X42" s="129" t="s">
        <v>1866</v>
      </c>
      <c r="Y42" s="63"/>
    </row>
    <row r="43" spans="1:25" ht="16.5" customHeight="1">
      <c r="A43" s="77"/>
      <c r="V43" s="63"/>
      <c r="W43" s="63"/>
      <c r="X43" s="129" t="s">
        <v>1868</v>
      </c>
      <c r="Y43" s="63"/>
    </row>
    <row r="44" spans="1:25" ht="16.5" customHeight="1">
      <c r="A44" s="77"/>
      <c r="V44" s="63"/>
      <c r="W44" s="63"/>
      <c r="X44" s="129" t="s">
        <v>1869</v>
      </c>
      <c r="Y44" s="63"/>
    </row>
    <row r="45" spans="1:25" ht="16.5" customHeight="1">
      <c r="A45" s="77"/>
      <c r="V45" s="63"/>
      <c r="W45" s="63"/>
      <c r="X45" s="129" t="s">
        <v>1876</v>
      </c>
      <c r="Y45" s="63"/>
    </row>
    <row r="46" spans="1:25" ht="16.5" customHeight="1">
      <c r="A46" s="77"/>
      <c r="V46" s="63"/>
      <c r="W46" s="63"/>
      <c r="X46" s="129" t="s">
        <v>1878</v>
      </c>
      <c r="Y46" s="63"/>
    </row>
    <row r="47" spans="1:25" ht="16.5" customHeight="1">
      <c r="A47" s="77"/>
      <c r="V47" s="63"/>
      <c r="W47" s="63"/>
      <c r="X47" s="129" t="s">
        <v>1881</v>
      </c>
      <c r="Y47" s="63"/>
    </row>
    <row r="48" spans="1:25" ht="16.5" customHeight="1">
      <c r="A48" s="77"/>
      <c r="V48" s="63"/>
      <c r="W48" s="63"/>
      <c r="X48" s="129" t="s">
        <v>1883</v>
      </c>
      <c r="Y48" s="63"/>
    </row>
    <row r="49" spans="1:25" ht="16.5" customHeight="1">
      <c r="A49" s="77"/>
      <c r="V49" s="63"/>
      <c r="W49" s="63"/>
      <c r="X49" s="129" t="s">
        <v>1884</v>
      </c>
      <c r="Y49" s="63"/>
    </row>
    <row r="50" spans="1:25" ht="16.5" customHeight="1">
      <c r="A50" s="77"/>
      <c r="V50" s="63"/>
      <c r="W50" s="63"/>
      <c r="X50" s="129" t="s">
        <v>1896</v>
      </c>
      <c r="Y50" s="63"/>
    </row>
    <row r="51" spans="1:25" ht="16.5" customHeight="1">
      <c r="A51" s="77"/>
      <c r="V51" s="63"/>
      <c r="W51" s="63"/>
      <c r="X51" s="128" t="s">
        <v>2178</v>
      </c>
      <c r="Y51" s="63"/>
    </row>
    <row r="52" spans="1:25" ht="16.5" customHeight="1">
      <c r="A52" s="77"/>
      <c r="V52" s="63"/>
      <c r="W52" s="63"/>
      <c r="X52" s="129" t="s">
        <v>1930</v>
      </c>
      <c r="Y52" s="63"/>
    </row>
    <row r="53" spans="1:25" ht="16.5" customHeight="1">
      <c r="A53" s="77"/>
      <c r="V53" s="63"/>
      <c r="W53" s="63"/>
      <c r="X53" s="129" t="s">
        <v>1938</v>
      </c>
      <c r="Y53" s="63"/>
    </row>
    <row r="54" spans="1:25" ht="16.5" customHeight="1">
      <c r="A54" s="77"/>
      <c r="V54" s="63"/>
      <c r="W54" s="63"/>
      <c r="X54" s="129" t="s">
        <v>1959</v>
      </c>
      <c r="Y54" s="63"/>
    </row>
    <row r="55" spans="1:25" ht="16.5" customHeight="1">
      <c r="A55" s="77"/>
      <c r="V55" s="63"/>
      <c r="W55" s="63"/>
      <c r="Y55" s="63"/>
    </row>
    <row r="56" spans="1:25" ht="16.5" customHeight="1">
      <c r="A56" s="77"/>
      <c r="V56" s="63"/>
      <c r="W56" s="63"/>
      <c r="X56" s="63"/>
      <c r="Y56" s="63"/>
    </row>
    <row r="57" spans="1:25" ht="16.5" customHeight="1">
      <c r="A57" s="77"/>
      <c r="V57" s="63"/>
      <c r="W57" s="63"/>
      <c r="X57" s="63"/>
      <c r="Y57" s="63"/>
    </row>
    <row r="58" spans="1:25" ht="16.5" customHeight="1">
      <c r="A58" s="77"/>
      <c r="V58" s="63"/>
      <c r="W58" s="63"/>
      <c r="X58" s="63"/>
      <c r="Y58" s="63"/>
    </row>
    <row r="59" spans="1:25" ht="16.5" customHeight="1">
      <c r="A59" s="77"/>
      <c r="V59" s="63"/>
      <c r="W59" s="63"/>
      <c r="X59" s="63"/>
      <c r="Y59" s="63"/>
    </row>
    <row r="60" spans="1:25" ht="16.5" customHeight="1">
      <c r="A60" s="77"/>
      <c r="V60" s="63"/>
      <c r="W60" s="63"/>
      <c r="X60" s="63"/>
      <c r="Y60" s="63"/>
    </row>
    <row r="61" spans="1:25" ht="16.5" customHeight="1">
      <c r="A61" s="77"/>
      <c r="V61" s="63"/>
      <c r="W61" s="63"/>
      <c r="X61" s="63"/>
      <c r="Y61" s="63"/>
    </row>
    <row r="62" spans="1:25" ht="16.5" customHeight="1">
      <c r="A62" s="77"/>
      <c r="V62" s="63"/>
      <c r="W62" s="63"/>
      <c r="X62" s="63"/>
      <c r="Y62" s="63"/>
    </row>
    <row r="63" spans="1:25" ht="16.5" customHeight="1">
      <c r="A63" s="77"/>
      <c r="V63" s="63"/>
      <c r="W63" s="63"/>
      <c r="X63" s="63"/>
      <c r="Y63" s="63"/>
    </row>
    <row r="64" spans="1:25" ht="16.5" customHeight="1">
      <c r="A64" s="77"/>
      <c r="V64" s="63"/>
      <c r="W64" s="63"/>
      <c r="X64" s="63"/>
      <c r="Y64" s="63"/>
    </row>
    <row r="65" spans="1:25" ht="16.5" customHeight="1">
      <c r="A65" s="77"/>
      <c r="V65" s="63"/>
      <c r="W65" s="63"/>
      <c r="X65" s="63"/>
      <c r="Y65" s="63"/>
    </row>
    <row r="66" spans="1:25" ht="16.5" customHeight="1">
      <c r="A66" s="77"/>
      <c r="V66" s="63"/>
      <c r="W66" s="63"/>
      <c r="X66" s="63"/>
      <c r="Y66" s="63"/>
    </row>
    <row r="67" spans="1:25" ht="16.5" customHeight="1">
      <c r="A67" s="77"/>
      <c r="V67" s="63"/>
      <c r="W67" s="63"/>
      <c r="X67" s="63"/>
      <c r="Y67" s="63"/>
    </row>
    <row r="68" spans="1:25" ht="16.5" customHeight="1">
      <c r="A68" s="77"/>
      <c r="V68" s="63"/>
      <c r="W68" s="63"/>
      <c r="X68" s="63"/>
      <c r="Y68" s="63"/>
    </row>
    <row r="69" spans="1:25" ht="16.5" customHeight="1">
      <c r="A69" s="77"/>
      <c r="V69" s="63"/>
      <c r="W69" s="63"/>
      <c r="X69" s="63"/>
      <c r="Y69" s="63"/>
    </row>
    <row r="70" spans="1:25" ht="16.5" customHeight="1">
      <c r="A70" s="77"/>
      <c r="V70" s="63"/>
      <c r="W70" s="63"/>
      <c r="X70" s="63"/>
      <c r="Y70" s="63"/>
    </row>
    <row r="71" spans="1:25" ht="16.5" customHeight="1">
      <c r="A71" s="77"/>
      <c r="V71" s="63"/>
      <c r="W71" s="63"/>
      <c r="X71" s="63"/>
      <c r="Y71" s="63"/>
    </row>
    <row r="72" spans="1:25" ht="16.5" customHeight="1">
      <c r="A72" s="77"/>
      <c r="V72" s="63"/>
      <c r="W72" s="63"/>
      <c r="X72" s="63"/>
      <c r="Y72" s="63"/>
    </row>
    <row r="73" spans="1:25" ht="16.5" customHeight="1">
      <c r="A73" s="77"/>
      <c r="V73" s="63"/>
      <c r="W73" s="63"/>
      <c r="X73" s="63"/>
      <c r="Y73" s="63"/>
    </row>
    <row r="74" spans="1:25" ht="16.5" customHeight="1">
      <c r="A74" s="77"/>
      <c r="V74" s="63"/>
      <c r="W74" s="63"/>
      <c r="X74" s="63"/>
      <c r="Y74" s="63"/>
    </row>
    <row r="75" spans="1:25" ht="16.5" customHeight="1">
      <c r="A75" s="77"/>
      <c r="V75" s="63"/>
      <c r="W75" s="63"/>
      <c r="X75" s="63"/>
      <c r="Y75" s="63"/>
    </row>
    <row r="76" spans="1:25" ht="16.5" customHeight="1">
      <c r="A76" s="77"/>
      <c r="V76" s="63"/>
      <c r="W76" s="63"/>
      <c r="X76" s="63"/>
      <c r="Y76" s="63"/>
    </row>
    <row r="77" spans="1:25" ht="16.5" customHeight="1">
      <c r="A77" s="77"/>
      <c r="V77" s="63"/>
      <c r="W77" s="63"/>
      <c r="X77" s="63"/>
      <c r="Y77" s="63"/>
    </row>
    <row r="78" spans="1:25" ht="16.5" customHeight="1">
      <c r="A78" s="77"/>
      <c r="V78" s="63"/>
      <c r="W78" s="63"/>
      <c r="X78" s="63"/>
      <c r="Y78" s="63"/>
    </row>
    <row r="79" spans="1:25" ht="16.5" customHeight="1">
      <c r="A79" s="77"/>
      <c r="V79" s="63"/>
      <c r="W79" s="63"/>
      <c r="X79" s="63"/>
      <c r="Y79" s="63"/>
    </row>
    <row r="80" spans="1:25" ht="16.5" customHeight="1">
      <c r="A80" s="77"/>
      <c r="V80" s="63"/>
      <c r="W80" s="63"/>
      <c r="X80" s="63"/>
      <c r="Y80" s="63"/>
    </row>
    <row r="81" spans="22:25" ht="16.5" customHeight="1">
      <c r="V81" s="63"/>
      <c r="W81" s="63"/>
      <c r="X81" s="63"/>
      <c r="Y81" s="63"/>
    </row>
    <row r="82" spans="22:25" ht="16.5" customHeight="1">
      <c r="V82" s="63"/>
      <c r="W82" s="63"/>
      <c r="X82" s="63"/>
      <c r="Y82" s="63"/>
    </row>
    <row r="83" spans="22:25" ht="16.5" customHeight="1">
      <c r="V83" s="63"/>
      <c r="W83" s="63"/>
      <c r="X83" s="63"/>
      <c r="Y83" s="63"/>
    </row>
    <row r="84" spans="22:25" ht="16.5" customHeight="1">
      <c r="V84" s="63"/>
      <c r="W84" s="63"/>
      <c r="X84" s="63"/>
      <c r="Y84" s="63"/>
    </row>
    <row r="85" spans="22:25" ht="16.5" customHeight="1">
      <c r="V85" s="63"/>
      <c r="W85" s="63"/>
      <c r="X85" s="63"/>
      <c r="Y85" s="63"/>
    </row>
    <row r="86" spans="22:25" ht="16.5" customHeight="1">
      <c r="V86" s="63"/>
      <c r="W86" s="63"/>
      <c r="X86" s="63"/>
      <c r="Y86" s="63"/>
    </row>
    <row r="87" spans="22:25" ht="16.5" customHeight="1">
      <c r="V87" s="63"/>
      <c r="W87" s="63"/>
      <c r="X87" s="63"/>
      <c r="Y87" s="63"/>
    </row>
    <row r="88" spans="22:25" ht="16.5" customHeight="1">
      <c r="V88" s="63"/>
      <c r="W88" s="63"/>
      <c r="X88" s="63"/>
      <c r="Y88" s="63"/>
    </row>
    <row r="89" spans="22:25" ht="16.5" customHeight="1">
      <c r="V89" s="63"/>
      <c r="W89" s="63"/>
      <c r="X89" s="63"/>
      <c r="Y89" s="63"/>
    </row>
    <row r="90" spans="22:25" ht="16.5" customHeight="1">
      <c r="V90" s="63"/>
      <c r="W90" s="63"/>
      <c r="X90" s="63"/>
      <c r="Y90" s="63"/>
    </row>
    <row r="91" spans="22:25" ht="16.5" customHeight="1">
      <c r="V91" s="63"/>
      <c r="W91" s="63"/>
      <c r="X91" s="63"/>
      <c r="Y91" s="63"/>
    </row>
    <row r="92" spans="22:25" ht="16.5" customHeight="1">
      <c r="V92" s="63"/>
      <c r="W92" s="63"/>
      <c r="X92" s="63"/>
      <c r="Y92" s="63"/>
    </row>
    <row r="93" spans="22:25" ht="16.5" customHeight="1">
      <c r="V93" s="63"/>
      <c r="W93" s="63"/>
      <c r="X93" s="63"/>
      <c r="Y93" s="63"/>
    </row>
    <row r="94" spans="22:25" ht="16.5" customHeight="1">
      <c r="V94" s="63"/>
      <c r="W94" s="63"/>
      <c r="X94" s="63"/>
      <c r="Y94" s="63"/>
    </row>
    <row r="95" spans="22:25" ht="16.5" customHeight="1">
      <c r="V95" s="63"/>
      <c r="W95" s="63"/>
      <c r="X95" s="63"/>
      <c r="Y95" s="63"/>
    </row>
    <row r="96" spans="22:25" ht="16.5" customHeight="1">
      <c r="V96" s="63"/>
      <c r="W96" s="63"/>
      <c r="X96" s="63"/>
      <c r="Y96" s="63"/>
    </row>
    <row r="97" spans="22:25" ht="16.5" customHeight="1">
      <c r="V97" s="63"/>
      <c r="W97" s="63"/>
      <c r="X97" s="63"/>
      <c r="Y97" s="63"/>
    </row>
    <row r="98" spans="22:25" ht="16.5" customHeight="1">
      <c r="V98" s="63"/>
      <c r="W98" s="63"/>
      <c r="X98" s="63"/>
      <c r="Y98" s="63"/>
    </row>
    <row r="99" spans="22:25" ht="16.5" customHeight="1">
      <c r="V99" s="63"/>
      <c r="W99" s="63"/>
      <c r="X99" s="63"/>
      <c r="Y99" s="63"/>
    </row>
    <row r="100" spans="22:25" ht="16.5" customHeight="1">
      <c r="V100" s="63"/>
      <c r="W100" s="63"/>
      <c r="X100" s="63"/>
      <c r="Y100" s="63"/>
    </row>
    <row r="101" spans="22:25" ht="16.5" customHeight="1">
      <c r="V101" s="63"/>
      <c r="W101" s="63"/>
      <c r="X101" s="63"/>
      <c r="Y101" s="63"/>
    </row>
    <row r="102" spans="22:25" ht="16.5" customHeight="1">
      <c r="V102" s="63"/>
      <c r="W102" s="63"/>
      <c r="X102" s="63"/>
      <c r="Y102" s="63"/>
    </row>
    <row r="103" spans="22:25" ht="16.5" customHeight="1">
      <c r="V103" s="63"/>
      <c r="W103" s="63"/>
      <c r="X103" s="63"/>
      <c r="Y103" s="63"/>
    </row>
    <row r="104" spans="22:25" ht="16.5" customHeight="1">
      <c r="V104" s="63"/>
      <c r="W104" s="63"/>
      <c r="X104" s="63"/>
      <c r="Y104" s="63"/>
    </row>
    <row r="105" spans="22:25" ht="16.5" customHeight="1">
      <c r="V105" s="63"/>
      <c r="W105" s="63"/>
      <c r="X105" s="63"/>
      <c r="Y105" s="63"/>
    </row>
    <row r="106" spans="22:25" ht="16.5" customHeight="1">
      <c r="V106" s="63"/>
      <c r="W106" s="63"/>
      <c r="X106" s="63"/>
      <c r="Y106" s="63"/>
    </row>
    <row r="107" spans="22:25" ht="16.5" customHeight="1">
      <c r="V107" s="63"/>
      <c r="W107" s="63"/>
      <c r="X107" s="63"/>
      <c r="Y107" s="63"/>
    </row>
    <row r="108" spans="22:25" ht="16.5" customHeight="1">
      <c r="V108" s="63"/>
      <c r="W108" s="63"/>
      <c r="X108" s="63"/>
      <c r="Y108" s="63"/>
    </row>
    <row r="109" spans="22:25" ht="16.5" customHeight="1">
      <c r="V109" s="63"/>
      <c r="W109" s="63"/>
      <c r="X109" s="63"/>
      <c r="Y109" s="63"/>
    </row>
    <row r="110" spans="22:25" ht="16.5" customHeight="1">
      <c r="V110" s="63"/>
      <c r="W110" s="63"/>
      <c r="X110" s="63"/>
      <c r="Y110" s="63"/>
    </row>
    <row r="111" spans="22:25" ht="16.5" customHeight="1">
      <c r="V111" s="63"/>
      <c r="W111" s="63"/>
      <c r="X111" s="63"/>
      <c r="Y111" s="63"/>
    </row>
    <row r="112" spans="22:25" ht="16.5" customHeight="1">
      <c r="V112" s="63"/>
      <c r="W112" s="63"/>
      <c r="X112" s="63"/>
      <c r="Y112" s="63"/>
    </row>
    <row r="113" spans="22:25" ht="16.5" customHeight="1">
      <c r="V113" s="63"/>
      <c r="W113" s="63"/>
      <c r="X113" s="63"/>
      <c r="Y113" s="63"/>
    </row>
    <row r="114" spans="22:25" ht="16.5" customHeight="1">
      <c r="V114" s="63"/>
      <c r="W114" s="63"/>
      <c r="X114" s="63"/>
      <c r="Y114" s="63"/>
    </row>
    <row r="115" spans="22:25" ht="16.5" customHeight="1">
      <c r="V115" s="63"/>
      <c r="W115" s="63"/>
      <c r="X115" s="63"/>
      <c r="Y115" s="63"/>
    </row>
    <row r="116" spans="22:25" ht="16.5" customHeight="1">
      <c r="V116" s="63"/>
      <c r="W116" s="63"/>
      <c r="X116" s="63"/>
      <c r="Y116" s="63"/>
    </row>
    <row r="117" spans="22:25" ht="16.5" customHeight="1">
      <c r="V117" s="63"/>
      <c r="W117" s="63"/>
      <c r="X117" s="63"/>
      <c r="Y117" s="63"/>
    </row>
    <row r="118" spans="22:25" ht="16.5" customHeight="1">
      <c r="V118" s="63"/>
      <c r="W118" s="63"/>
      <c r="X118" s="63"/>
      <c r="Y118" s="63"/>
    </row>
    <row r="119" spans="22:25" ht="16.5" customHeight="1">
      <c r="V119" s="63"/>
      <c r="W119" s="63"/>
      <c r="X119" s="63"/>
      <c r="Y119" s="63"/>
    </row>
    <row r="120" spans="22:25" ht="16.5" customHeight="1">
      <c r="V120" s="63"/>
      <c r="W120" s="63"/>
      <c r="X120" s="63"/>
      <c r="Y120" s="63"/>
    </row>
    <row r="121" spans="22:25" ht="16.5" customHeight="1">
      <c r="V121" s="63"/>
      <c r="W121" s="63"/>
      <c r="X121" s="63"/>
      <c r="Y121" s="63"/>
    </row>
    <row r="122" spans="22:25" ht="16.5" customHeight="1">
      <c r="V122" s="63"/>
      <c r="W122" s="63"/>
      <c r="X122" s="63"/>
      <c r="Y122" s="63"/>
    </row>
    <row r="123" spans="22:25" ht="16.5" customHeight="1">
      <c r="V123" s="63"/>
      <c r="W123" s="63"/>
      <c r="X123" s="63"/>
      <c r="Y123" s="63"/>
    </row>
    <row r="124" spans="22:25" ht="16.5" customHeight="1">
      <c r="V124" s="63"/>
      <c r="W124" s="63"/>
      <c r="X124" s="63"/>
      <c r="Y124" s="63"/>
    </row>
    <row r="125" spans="22:25" ht="16.5" customHeight="1">
      <c r="V125" s="63"/>
      <c r="W125" s="63"/>
      <c r="X125" s="63"/>
      <c r="Y125" s="63"/>
    </row>
    <row r="126" spans="22:25" ht="16.5" customHeight="1">
      <c r="V126" s="63"/>
      <c r="W126" s="63"/>
      <c r="X126" s="63"/>
      <c r="Y126" s="63"/>
    </row>
    <row r="127" spans="22:25" ht="16.5" customHeight="1">
      <c r="V127" s="63"/>
      <c r="W127" s="63"/>
      <c r="X127" s="63"/>
      <c r="Y127" s="63"/>
    </row>
    <row r="128" spans="22:25" ht="16.5" customHeight="1">
      <c r="V128" s="63"/>
      <c r="W128" s="63"/>
      <c r="X128" s="63"/>
      <c r="Y128" s="63"/>
    </row>
    <row r="129" spans="21:25" ht="16.5" customHeight="1">
      <c r="V129" s="63"/>
      <c r="W129" s="63"/>
      <c r="X129" s="63"/>
      <c r="Y129" s="63"/>
    </row>
    <row r="130" spans="21:25" ht="16.5" customHeight="1">
      <c r="U130" s="71"/>
      <c r="V130" s="71"/>
      <c r="W130" s="71"/>
      <c r="X130" s="71"/>
      <c r="Y130" s="63"/>
    </row>
    <row r="131" spans="21:25" ht="16.5" customHeight="1">
      <c r="U131" s="71"/>
      <c r="V131" s="71"/>
      <c r="W131" s="71"/>
      <c r="X131" s="71"/>
      <c r="Y131" s="63"/>
    </row>
    <row r="132" spans="21:25" ht="16.5" customHeight="1">
      <c r="U132" s="71"/>
      <c r="V132" s="71"/>
      <c r="W132" s="71"/>
      <c r="X132" s="71"/>
      <c r="Y132" s="71"/>
    </row>
    <row r="133" spans="21:25" ht="16.5" customHeight="1">
      <c r="U133" s="71"/>
      <c r="V133" s="71"/>
      <c r="W133" s="71"/>
      <c r="X133" s="71"/>
      <c r="Y133" s="71"/>
    </row>
    <row r="134" spans="21:25" ht="16.5" customHeight="1">
      <c r="U134" s="71"/>
      <c r="V134" s="71"/>
      <c r="W134" s="71"/>
      <c r="X134" s="71"/>
      <c r="Y134" s="71"/>
    </row>
    <row r="135" spans="21:25" ht="16.5" customHeight="1">
      <c r="U135" s="71"/>
      <c r="V135" s="71"/>
      <c r="W135" s="71"/>
      <c r="X135" s="71"/>
      <c r="Y135" s="71"/>
    </row>
    <row r="136" spans="21:25" ht="16.5" customHeight="1">
      <c r="U136" s="71"/>
      <c r="V136" s="71"/>
      <c r="W136" s="71"/>
      <c r="X136" s="71"/>
      <c r="Y136" s="71"/>
    </row>
    <row r="137" spans="21:25" ht="16.5" customHeight="1">
      <c r="U137" s="71"/>
      <c r="V137" s="71"/>
      <c r="W137" s="71"/>
      <c r="X137" s="71"/>
      <c r="Y137" s="71"/>
    </row>
    <row r="138" spans="21:25" ht="16.5" customHeight="1">
      <c r="U138" s="71"/>
      <c r="V138" s="71"/>
      <c r="W138" s="71"/>
      <c r="X138" s="71"/>
      <c r="Y138" s="71"/>
    </row>
    <row r="139" spans="21:25" ht="16.5" customHeight="1">
      <c r="U139" s="71"/>
      <c r="V139" s="71"/>
      <c r="W139" s="71"/>
      <c r="X139" s="71"/>
      <c r="Y139" s="71"/>
    </row>
    <row r="140" spans="21:25" ht="16.5" customHeight="1">
      <c r="U140" s="71"/>
      <c r="V140" s="71"/>
      <c r="W140" s="71"/>
      <c r="X140" s="71"/>
      <c r="Y140" s="71"/>
    </row>
    <row r="141" spans="21:25" ht="16.5" customHeight="1">
      <c r="U141" s="71"/>
      <c r="V141" s="71"/>
      <c r="W141" s="71"/>
      <c r="X141" s="71"/>
      <c r="Y141" s="71"/>
    </row>
    <row r="142" spans="21:25" ht="16.5" customHeight="1">
      <c r="U142" s="71"/>
      <c r="V142" s="71"/>
      <c r="W142" s="71"/>
      <c r="X142" s="71"/>
      <c r="Y142" s="71"/>
    </row>
    <row r="143" spans="21:25" ht="16.5" customHeight="1">
      <c r="U143" s="71"/>
      <c r="V143" s="71"/>
      <c r="W143" s="71"/>
      <c r="X143" s="71"/>
      <c r="Y143" s="71"/>
    </row>
    <row r="144" spans="21:25" ht="16.5" customHeight="1">
      <c r="U144" s="71"/>
      <c r="V144" s="71"/>
      <c r="W144" s="71"/>
      <c r="X144" s="71"/>
      <c r="Y144" s="71"/>
    </row>
    <row r="145" spans="21:25" ht="16.5" customHeight="1">
      <c r="U145" s="71"/>
      <c r="V145" s="71"/>
      <c r="W145" s="71"/>
      <c r="X145" s="71"/>
      <c r="Y145" s="71"/>
    </row>
    <row r="146" spans="21:25" ht="16.5" customHeight="1">
      <c r="U146" s="71"/>
      <c r="V146" s="71"/>
      <c r="W146" s="71"/>
      <c r="X146" s="71"/>
      <c r="Y146" s="71"/>
    </row>
    <row r="147" spans="21:25" ht="16.5" customHeight="1">
      <c r="U147" s="71"/>
      <c r="V147" s="71"/>
      <c r="W147" s="71"/>
      <c r="X147" s="71"/>
      <c r="Y147" s="71"/>
    </row>
    <row r="148" spans="21:25" ht="16.5" customHeight="1">
      <c r="U148" s="71"/>
      <c r="V148" s="71"/>
      <c r="W148" s="71"/>
      <c r="X148" s="71"/>
      <c r="Y148" s="71"/>
    </row>
    <row r="149" spans="21:25" ht="16.5" customHeight="1">
      <c r="U149" s="71"/>
      <c r="V149" s="71"/>
      <c r="W149" s="71"/>
      <c r="X149" s="71"/>
      <c r="Y149" s="71"/>
    </row>
    <row r="150" spans="21:25" ht="16.5" customHeight="1">
      <c r="U150" s="71"/>
      <c r="V150" s="71"/>
      <c r="W150" s="71"/>
      <c r="X150" s="71"/>
      <c r="Y150" s="71"/>
    </row>
    <row r="151" spans="21:25" ht="16.5" customHeight="1">
      <c r="U151" s="71"/>
      <c r="V151" s="71"/>
      <c r="W151" s="71"/>
      <c r="X151" s="71"/>
      <c r="Y151" s="71"/>
    </row>
    <row r="152" spans="21:25" ht="16.5" customHeight="1">
      <c r="U152" s="71"/>
      <c r="V152" s="71"/>
      <c r="W152" s="71"/>
      <c r="X152" s="71"/>
      <c r="Y152" s="71"/>
    </row>
    <row r="153" spans="21:25" ht="16.5" customHeight="1">
      <c r="U153" s="71"/>
      <c r="V153" s="71"/>
      <c r="W153" s="71"/>
      <c r="X153" s="71"/>
      <c r="Y153" s="71"/>
    </row>
    <row r="154" spans="21:25" ht="16.5" customHeight="1">
      <c r="U154" s="71"/>
      <c r="V154" s="71"/>
      <c r="W154" s="71"/>
      <c r="X154" s="71"/>
      <c r="Y154" s="71"/>
    </row>
    <row r="155" spans="21:25" ht="16.5" customHeight="1">
      <c r="U155" s="71"/>
      <c r="V155" s="71"/>
      <c r="W155" s="71"/>
      <c r="X155" s="71"/>
      <c r="Y155" s="71"/>
    </row>
    <row r="156" spans="21:25" ht="16.5" customHeight="1">
      <c r="U156" s="71"/>
      <c r="V156" s="71"/>
      <c r="W156" s="71"/>
      <c r="X156" s="71"/>
      <c r="Y156" s="71"/>
    </row>
    <row r="157" spans="21:25" ht="16.5" customHeight="1">
      <c r="U157" s="71"/>
      <c r="V157" s="71"/>
      <c r="W157" s="71"/>
      <c r="X157" s="71"/>
      <c r="Y157" s="71"/>
    </row>
    <row r="158" spans="21:25" ht="16.5" customHeight="1">
      <c r="U158" s="71"/>
      <c r="V158" s="71"/>
      <c r="W158" s="71"/>
      <c r="X158" s="71"/>
      <c r="Y158" s="71"/>
    </row>
    <row r="159" spans="21:25" ht="16.5" customHeight="1">
      <c r="U159" s="71"/>
      <c r="V159" s="71"/>
      <c r="W159" s="71"/>
      <c r="X159" s="71"/>
      <c r="Y159" s="71"/>
    </row>
    <row r="160" spans="21:25" ht="16.5" customHeight="1">
      <c r="U160" s="71"/>
      <c r="V160" s="71"/>
      <c r="W160" s="71"/>
      <c r="X160" s="71"/>
      <c r="Y160" s="71"/>
    </row>
    <row r="161" spans="21:25" ht="16.5" customHeight="1">
      <c r="U161" s="71"/>
      <c r="V161" s="71"/>
      <c r="W161" s="71"/>
      <c r="X161" s="71"/>
      <c r="Y161" s="71"/>
    </row>
    <row r="162" spans="21:25" ht="16.5" customHeight="1">
      <c r="U162" s="71"/>
      <c r="V162" s="71"/>
      <c r="W162" s="71"/>
      <c r="X162" s="71"/>
      <c r="Y162" s="71"/>
    </row>
    <row r="163" spans="21:25" ht="16.5" customHeight="1">
      <c r="U163" s="71"/>
      <c r="V163" s="71"/>
      <c r="W163" s="71"/>
      <c r="X163" s="71"/>
      <c r="Y163" s="71"/>
    </row>
    <row r="164" spans="21:25" ht="16.5" customHeight="1">
      <c r="U164" s="71"/>
      <c r="V164" s="71"/>
      <c r="W164" s="71"/>
      <c r="X164" s="71"/>
      <c r="Y164" s="71"/>
    </row>
    <row r="165" spans="21:25" ht="16.5" customHeight="1">
      <c r="U165" s="71"/>
      <c r="V165" s="71"/>
      <c r="W165" s="71"/>
      <c r="X165" s="71"/>
      <c r="Y165" s="71"/>
    </row>
    <row r="166" spans="21:25" ht="16.5" customHeight="1">
      <c r="U166" s="71"/>
      <c r="V166" s="71"/>
      <c r="W166" s="71"/>
      <c r="X166" s="71"/>
      <c r="Y166" s="71"/>
    </row>
    <row r="167" spans="21:25" ht="16.5" customHeight="1">
      <c r="U167" s="71"/>
      <c r="V167" s="71"/>
      <c r="W167" s="71"/>
      <c r="X167" s="71"/>
      <c r="Y167" s="71"/>
    </row>
    <row r="168" spans="21:25" ht="16.5" customHeight="1">
      <c r="U168" s="71"/>
      <c r="V168" s="71"/>
      <c r="W168" s="71"/>
      <c r="X168" s="71"/>
      <c r="Y168" s="71"/>
    </row>
    <row r="169" spans="21:25" ht="16.5" customHeight="1">
      <c r="U169" s="71"/>
      <c r="V169" s="71"/>
      <c r="W169" s="71"/>
      <c r="X169" s="71"/>
      <c r="Y169" s="71"/>
    </row>
    <row r="170" spans="21:25" ht="16.5" customHeight="1">
      <c r="U170" s="71"/>
      <c r="V170" s="71"/>
      <c r="W170" s="71"/>
      <c r="X170" s="71"/>
      <c r="Y170" s="71"/>
    </row>
    <row r="171" spans="21:25" ht="16.5" customHeight="1">
      <c r="U171" s="71"/>
      <c r="V171" s="71"/>
      <c r="W171" s="71"/>
      <c r="X171" s="71"/>
      <c r="Y171" s="71"/>
    </row>
    <row r="172" spans="21:25" ht="16.5" customHeight="1">
      <c r="Y172" s="71"/>
    </row>
    <row r="173" spans="21:25" ht="16.5" customHeight="1">
      <c r="Y173" s="71"/>
    </row>
  </sheetData>
  <sheetProtection password="96F0" sheet="1" objects="1" scenarios="1" selectLockedCells="1"/>
  <dataConsolidate/>
  <mergeCells count="34">
    <mergeCell ref="K20:P21"/>
    <mergeCell ref="K22:P23"/>
    <mergeCell ref="K24:P25"/>
    <mergeCell ref="J18:J19"/>
    <mergeCell ref="J24:J25"/>
    <mergeCell ref="J20:J21"/>
    <mergeCell ref="J22:J23"/>
    <mergeCell ref="B7:D8"/>
    <mergeCell ref="F7:H8"/>
    <mergeCell ref="D18:D19"/>
    <mergeCell ref="E18:E19"/>
    <mergeCell ref="F18:F19"/>
    <mergeCell ref="G18:G19"/>
    <mergeCell ref="B18:B19"/>
    <mergeCell ref="B14:H14"/>
    <mergeCell ref="B11:B12"/>
    <mergeCell ref="B10:H10"/>
    <mergeCell ref="C18:C19"/>
    <mergeCell ref="B20:B25"/>
    <mergeCell ref="B17:H17"/>
    <mergeCell ref="J17:P17"/>
    <mergeCell ref="U1:Y1"/>
    <mergeCell ref="B1:H1"/>
    <mergeCell ref="C2:D2"/>
    <mergeCell ref="G2:H2"/>
    <mergeCell ref="F4:F6"/>
    <mergeCell ref="C4:D4"/>
    <mergeCell ref="B15:H16"/>
    <mergeCell ref="J1:P1"/>
    <mergeCell ref="G3:H3"/>
    <mergeCell ref="H18:H19"/>
    <mergeCell ref="K18:P19"/>
    <mergeCell ref="C3:D3"/>
    <mergeCell ref="C5:D5"/>
  </mergeCells>
  <phoneticPr fontId="1" type="noConversion"/>
  <conditionalFormatting sqref="C12:H13">
    <cfRule type="containsBlanks" dxfId="19" priority="24">
      <formula>LEN(TRIM(C12))=0</formula>
    </cfRule>
  </conditionalFormatting>
  <conditionalFormatting sqref="C4:D5">
    <cfRule type="expression" dxfId="18" priority="25">
      <formula>$B$7&lt;&gt;""</formula>
    </cfRule>
  </conditionalFormatting>
  <conditionalFormatting sqref="C11:H11 K2:P13">
    <cfRule type="cellIs" dxfId="17" priority="3" stopIfTrue="1" operator="equal">
      <formula>"?"</formula>
    </cfRule>
    <cfRule type="expression" dxfId="16" priority="12">
      <formula>AND(C2&lt;&gt;"",COUNTIF($U:$U,C2)&gt;0)</formula>
    </cfRule>
    <cfRule type="expression" dxfId="15" priority="13">
      <formula>AND(C2&lt;&gt;"",COUNTIF($V:$V,C2)&gt;0)</formula>
    </cfRule>
    <cfRule type="expression" dxfId="14" priority="20">
      <formula>AND(C2&lt;&gt;"",COUNTIF($W:$W,C2)&gt;0)</formula>
    </cfRule>
    <cfRule type="expression" dxfId="13" priority="21">
      <formula>AND(C2&lt;&gt;"",COUNTIF($X:$X,C2)&gt;0)</formula>
    </cfRule>
    <cfRule type="expression" dxfId="12" priority="22">
      <formula>AND(C2&lt;&gt;"",COUNTIF($Y:$Y,C2)&gt;0)</formula>
    </cfRule>
  </conditionalFormatting>
  <conditionalFormatting sqref="C3:D3">
    <cfRule type="expression" dxfId="11" priority="27">
      <formula>$F$7&lt;&gt;""</formula>
    </cfRule>
  </conditionalFormatting>
  <conditionalFormatting sqref="K18:P25">
    <cfRule type="containsText" dxfId="10" priority="1" operator="containsText" text="光环：">
      <formula>NOT(ISERROR(SEARCH("光环：",K18)))</formula>
    </cfRule>
    <cfRule type="containsText" dxfId="9" priority="2" operator="containsText" text="被动：?">
      <formula>NOT(ISERROR(SEARCH("被动：?",K18)))</formula>
    </cfRule>
  </conditionalFormatting>
  <dataValidations xWindow="1144" yWindow="452" count="11">
    <dataValidation type="whole" allowBlank="1" showInputMessage="1" showErrorMessage="1" errorTitle="级别出错" error="别逗了好吗？&#10;清输入正确的英雄级别" sqref="C4:D4">
      <formula1>1</formula1>
      <formula2>90</formula2>
    </dataValidation>
    <dataValidation type="list" allowBlank="1" showInputMessage="1" showErrorMessage="1" promptTitle="请鼠标点选，勿复制粘贴" prompt=" " sqref="C13">
      <formula1>$AA$1:$AA$6</formula1>
    </dataValidation>
    <dataValidation type="list" allowBlank="1" showInputMessage="1" showErrorMessage="1" promptTitle="请鼠标点选，勿复制粘贴" prompt=" " sqref="D13">
      <formula1>$AB$1:$AB$6</formula1>
    </dataValidation>
    <dataValidation type="list" allowBlank="1" showInputMessage="1" showErrorMessage="1" promptTitle="请鼠标点选，勿复制粘贴" prompt=" " sqref="E13">
      <formula1>$AC$1:$AC$6</formula1>
    </dataValidation>
    <dataValidation type="list" allowBlank="1" showInputMessage="1" showErrorMessage="1" promptTitle="请鼠标点选，勿复制粘贴" prompt=" " sqref="F13">
      <formula1>$AD$1:$AD$6</formula1>
    </dataValidation>
    <dataValidation type="list" allowBlank="1" showInputMessage="1" showErrorMessage="1" promptTitle="请鼠标点选，勿复制粘贴" prompt=" " sqref="G13">
      <formula1>$AE$1:$AE$6</formula1>
    </dataValidation>
    <dataValidation type="list" allowBlank="1" showInputMessage="1" showErrorMessage="1" promptTitle="请鼠标点选，勿复制粘贴" prompt=" " sqref="H13">
      <formula1>$AF$1:$AF$6</formula1>
    </dataValidation>
    <dataValidation type="list" allowBlank="1" showInputMessage="1" showErrorMessage="1" promptTitle="请鼠标点选，勿复制粘贴" prompt=" " sqref="C12:H12">
      <formula1>"√,×"</formula1>
    </dataValidation>
    <dataValidation type="list" allowBlank="1" showInputMessage="1" showErrorMessage="1" error="英雄名称不正确" sqref="C2:D2">
      <formula1>中介表格1!$B1:$B51</formula1>
    </dataValidation>
    <dataValidation type="list" allowBlank="1" showInputMessage="1" showErrorMessage="1" error="星数错误,请直接在下拉菜单中选取" sqref="C3:D3">
      <formula1>中介表格1!$E1:$E5</formula1>
    </dataValidation>
    <dataValidation type="list" allowBlank="1" showInputMessage="1" showErrorMessage="1" error="卡色错误,请直接在下拉菜单中选取" sqref="C5:D5">
      <formula1>中介表格1!$E11:$E22</formula1>
    </dataValidation>
  </dataValidations>
  <pageMargins left="0.7" right="0.7" top="0.75" bottom="0.75" header="0.3" footer="0.3"/>
  <pageSetup paperSize="9"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xWindow="1144" yWindow="452" count="3">
        <x14:dataValidation type="list" allowBlank="1" showInputMessage="1" showErrorMessage="1">
          <x14:formula1>
            <xm:f>中介表格1!$B$1:$B$50</xm:f>
          </x14:formula1>
          <xm:sqref>C2:D2</xm:sqref>
        </x14:dataValidation>
        <x14:dataValidation type="list" allowBlank="1" showInputMessage="1" showErrorMessage="1">
          <x14:formula1>
            <xm:f>中介表格1!$E$1:$E$5</xm:f>
          </x14:formula1>
          <xm:sqref>C3:D3</xm:sqref>
        </x14:dataValidation>
        <x14:dataValidation type="list" allowBlank="1" showInputMessage="1" showErrorMessage="1">
          <x14:formula1>
            <xm:f>中介表格1!$E$11:$E$22</xm:f>
          </x14:formula1>
          <xm:sqref>C5:D5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>
    <tabColor theme="6" tint="-0.499984740745262"/>
  </sheetPr>
  <dimension ref="A1:AG173"/>
  <sheetViews>
    <sheetView workbookViewId="0">
      <selection activeCell="C3" sqref="C3:D3"/>
    </sheetView>
  </sheetViews>
  <sheetFormatPr defaultRowHeight="16.5" customHeight="1"/>
  <cols>
    <col min="1" max="1" width="2.25" style="64" customWidth="1"/>
    <col min="2" max="8" width="10" style="64" customWidth="1"/>
    <col min="9" max="9" width="10" style="155" customWidth="1"/>
    <col min="10" max="18" width="10" style="64" customWidth="1"/>
    <col min="19" max="21" width="9" style="64"/>
    <col min="22" max="26" width="11.625" style="69" hidden="1" customWidth="1"/>
    <col min="27" max="33" width="9" style="64" hidden="1" customWidth="1"/>
    <col min="34" max="16384" width="9" style="64"/>
  </cols>
  <sheetData>
    <row r="1" spans="1:33" ht="16.5" customHeight="1">
      <c r="B1" s="225" t="s">
        <v>1105</v>
      </c>
      <c r="C1" s="225"/>
      <c r="D1" s="225"/>
      <c r="E1" s="225"/>
      <c r="F1" s="225"/>
      <c r="G1" s="225"/>
      <c r="H1" s="225"/>
      <c r="K1" s="222" t="s">
        <v>2113</v>
      </c>
      <c r="L1" s="223"/>
      <c r="M1" s="156" t="s">
        <v>2107</v>
      </c>
      <c r="N1" s="157" t="s">
        <v>2108</v>
      </c>
      <c r="O1" s="158" t="s">
        <v>2114</v>
      </c>
      <c r="V1" s="220" t="s">
        <v>1107</v>
      </c>
      <c r="W1" s="220"/>
      <c r="X1" s="220"/>
      <c r="Y1" s="220"/>
      <c r="Z1" s="220"/>
      <c r="AB1" s="64" t="str">
        <f>IF(HLOOKUP(中介表格2!$AF$111,中介表格2!$V$57:$AA$63,2,0)=0,"",HLOOKUP(中介表格2!$AF$111,中介表格2!$V$57:$AA$63,2,0))</f>
        <v>无</v>
      </c>
      <c r="AC1" s="64" t="str">
        <f>IF(HLOOKUP(中介表格2!$AF$112,中介表格2!$V$57:$AA$63,2,0)=0,"",HLOOKUP(中介表格2!$AF$112,中介表格2!$V$57:$AA$63,2,0))</f>
        <v>无</v>
      </c>
      <c r="AD1" s="64" t="str">
        <f>IF(HLOOKUP(中介表格2!$AF$113,中介表格2!$V$57:$AA$63,2,0)=0,"",HLOOKUP(中介表格2!$AF$113,中介表格2!$V$57:$AA$63,2,0))</f>
        <v>无</v>
      </c>
      <c r="AE1" s="64" t="str">
        <f>IF(HLOOKUP(中介表格2!$AF$114,中介表格2!$V$57:$AA$63,2,0)=0,"",HLOOKUP(中介表格2!$AF$114,中介表格2!$V$57:$AA$63,2,0))</f>
        <v>无</v>
      </c>
      <c r="AF1" s="64" t="str">
        <f>IF(HLOOKUP(中介表格2!$AF$115,中介表格2!$V$57:$AA$63,2,0)=0,"",HLOOKUP(中介表格2!$AF$115,中介表格2!$V$57:$AA$63,2,0))</f>
        <v>无</v>
      </c>
      <c r="AG1" s="64" t="str">
        <f>IF(HLOOKUP(中介表格2!$AF$116,中介表格2!$V$57:$AA$63,2,0)=0,"",HLOOKUP(中介表格2!$AF$116,中介表格2!$V$57:$AA$63,2,0))</f>
        <v>无</v>
      </c>
    </row>
    <row r="2" spans="1:33" ht="16.5" customHeight="1">
      <c r="B2" s="159" t="s">
        <v>2110</v>
      </c>
      <c r="C2" s="221" t="s">
        <v>176</v>
      </c>
      <c r="D2" s="221"/>
      <c r="F2" s="160" t="s">
        <v>2109</v>
      </c>
      <c r="G2" s="221" t="s">
        <v>176</v>
      </c>
      <c r="H2" s="221"/>
      <c r="J2" s="220" t="str">
        <f>中介表格2!$E$24</f>
        <v/>
      </c>
      <c r="K2" s="227" t="s">
        <v>1098</v>
      </c>
      <c r="L2" s="227"/>
      <c r="M2" s="161" t="str">
        <f>VLOOKUP(C2,英雄成长!$A:$B,2,0)</f>
        <v>敏捷</v>
      </c>
      <c r="N2" s="161" t="str">
        <f>VLOOKUP(G2,英雄成长!$A:$B,2,0)</f>
        <v>敏捷</v>
      </c>
      <c r="O2" s="162" t="s">
        <v>2115</v>
      </c>
      <c r="S2" s="69"/>
      <c r="V2" s="65" t="s">
        <v>1110</v>
      </c>
      <c r="W2" s="66" t="s">
        <v>1111</v>
      </c>
      <c r="X2" s="67" t="s">
        <v>1112</v>
      </c>
      <c r="Y2" s="68" t="s">
        <v>1113</v>
      </c>
      <c r="Z2" s="163" t="s">
        <v>1870</v>
      </c>
      <c r="AB2" s="64" t="str">
        <f>IF(HLOOKUP(中介表格2!$AF$111,中介表格2!$V$57:$AA$63,3,0)=0,"",HLOOKUP(中介表格2!$AF$111,中介表格2!$V$57:$AA$63,3,0))</f>
        <v>☆</v>
      </c>
      <c r="AC2" s="64" t="str">
        <f>IF(HLOOKUP(中介表格2!$AF$112,中介表格2!$V$57:$AA$63,3,0)=0,"",HLOOKUP(中介表格2!$AF$112,中介表格2!$V$57:$AA$63,3,0))</f>
        <v>☆</v>
      </c>
      <c r="AD2" s="64" t="str">
        <f>IF(HLOOKUP(中介表格2!$AF$113,中介表格2!$V$57:$AA$63,3,0)=0,"",HLOOKUP(中介表格2!$AF$113,中介表格2!$V$57:$AA$63,3,0))</f>
        <v>☆</v>
      </c>
      <c r="AE2" s="64" t="str">
        <f>IF(HLOOKUP(中介表格2!$AF$114,中介表格2!$V$57:$AA$63,3,0)=0,"",HLOOKUP(中介表格2!$AF$114,中介表格2!$V$57:$AA$63,3,0))</f>
        <v>☆</v>
      </c>
      <c r="AF2" s="64" t="str">
        <f>IF(HLOOKUP(中介表格2!$AF$115,中介表格2!$V$57:$AA$63,3,0)=0,"",HLOOKUP(中介表格2!$AF$115,中介表格2!$V$57:$AA$63,3,0))</f>
        <v>☆</v>
      </c>
      <c r="AG2" s="64" t="str">
        <f>IF(HLOOKUP(中介表格2!$AF$116,中介表格2!$V$57:$AA$63,3,0)=0,"",HLOOKUP(中介表格2!$AF$116,中介表格2!$V$57:$AA$63,3,0))</f>
        <v>☆</v>
      </c>
    </row>
    <row r="3" spans="1:33" ht="16.5" customHeight="1">
      <c r="B3" s="156" t="s">
        <v>1114</v>
      </c>
      <c r="C3" s="221" t="s">
        <v>2103</v>
      </c>
      <c r="D3" s="221"/>
      <c r="F3" s="157" t="s">
        <v>1114</v>
      </c>
      <c r="G3" s="221" t="s">
        <v>2103</v>
      </c>
      <c r="H3" s="221"/>
      <c r="J3" s="220"/>
      <c r="K3" s="224" t="s">
        <v>1257</v>
      </c>
      <c r="L3" s="224"/>
      <c r="M3" s="161" t="str">
        <f>VLOOKUP(英雄对比!$C$2,英雄初始!$A:$L,2,0)</f>
        <v>中排</v>
      </c>
      <c r="N3" s="161" t="str">
        <f>VLOOKUP(英雄对比!$G$2,英雄初始!$A:$L,2,0)</f>
        <v>中排</v>
      </c>
      <c r="O3" s="162" t="s">
        <v>2115</v>
      </c>
      <c r="S3" s="69"/>
      <c r="V3" s="65" t="s">
        <v>1117</v>
      </c>
      <c r="W3" s="66" t="s">
        <v>1118</v>
      </c>
      <c r="X3" s="67" t="s">
        <v>1119</v>
      </c>
      <c r="Y3" s="68" t="s">
        <v>1120</v>
      </c>
      <c r="Z3" s="163" t="s">
        <v>1871</v>
      </c>
      <c r="AB3" s="64" t="str">
        <f>IF(HLOOKUP(中介表格2!$AF$111,中介表格2!$V$57:$AA$63,4,0)=0,"",HLOOKUP(中介表格2!$AF$111,中介表格2!$V$57:$AA$63,4,0))</f>
        <v>☆☆</v>
      </c>
      <c r="AC3" s="64" t="str">
        <f>IF(HLOOKUP(中介表格2!$AF$112,中介表格2!$V$57:$AA$63,4,0)=0,"",HLOOKUP(中介表格2!$AF$112,中介表格2!$V$57:$AA$63,4,0))</f>
        <v>☆☆</v>
      </c>
      <c r="AD3" s="64" t="str">
        <f>IF(HLOOKUP(中介表格2!$AF$113,中介表格2!$V$57:$AA$63,4,0)=0,"",HLOOKUP(中介表格2!$AF$113,中介表格2!$V$57:$AA$63,4,0))</f>
        <v>☆☆</v>
      </c>
      <c r="AE3" s="64" t="str">
        <f>IF(HLOOKUP(中介表格2!$AF$114,中介表格2!$V$57:$AA$63,4,0)=0,"",HLOOKUP(中介表格2!$AF$114,中介表格2!$V$57:$AA$63,4,0))</f>
        <v>☆☆</v>
      </c>
      <c r="AF3" s="64" t="str">
        <f>IF(HLOOKUP(中介表格2!$AF$115,中介表格2!$V$57:$AA$63,4,0)=0,"",HLOOKUP(中介表格2!$AF$115,中介表格2!$V$57:$AA$63,4,0))</f>
        <v>☆☆</v>
      </c>
      <c r="AG3" s="64" t="str">
        <f>IF(HLOOKUP(中介表格2!$AF$116,中介表格2!$V$57:$AA$63,4,0)=0,"",HLOOKUP(中介表格2!$AF$116,中介表格2!$V$57:$AA$63,4,0))</f>
        <v>☆☆</v>
      </c>
    </row>
    <row r="4" spans="1:33" ht="16.5" customHeight="1">
      <c r="B4" s="156" t="s">
        <v>1121</v>
      </c>
      <c r="C4" s="221">
        <v>86</v>
      </c>
      <c r="D4" s="221"/>
      <c r="F4" s="157" t="s">
        <v>1121</v>
      </c>
      <c r="G4" s="221">
        <v>86</v>
      </c>
      <c r="H4" s="221"/>
      <c r="J4" s="220"/>
      <c r="K4" s="227" t="s">
        <v>1055</v>
      </c>
      <c r="L4" s="164" t="s">
        <v>204</v>
      </c>
      <c r="M4" s="161">
        <f>中介表格2!$D$25</f>
        <v>6.6</v>
      </c>
      <c r="N4" s="161">
        <f>中介表格3!$D$25</f>
        <v>6.6</v>
      </c>
      <c r="O4" s="164" t="str">
        <f>IF($N4&gt;$M4,中介表格2!$D$32,IF($N4=$M4,中介表格2!$D$33,中介表格2!$D$34))</f>
        <v>→</v>
      </c>
      <c r="S4" s="69"/>
      <c r="V4" s="65" t="s">
        <v>1123</v>
      </c>
      <c r="W4" s="66" t="s">
        <v>1124</v>
      </c>
      <c r="X4" s="67" t="s">
        <v>1125</v>
      </c>
      <c r="Y4" s="68" t="s">
        <v>1126</v>
      </c>
      <c r="Z4" s="163" t="s">
        <v>1872</v>
      </c>
      <c r="AB4" s="64" t="str">
        <f>IF(HLOOKUP(中介表格2!$AF$111,中介表格2!$V$57:$AA$63,5,0)=0,"",HLOOKUP(中介表格2!$AF$111,中介表格2!$V$57:$AA$63,5,0))</f>
        <v>☆☆☆</v>
      </c>
      <c r="AC4" s="64" t="str">
        <f>IF(HLOOKUP(中介表格2!$AF$112,中介表格2!$V$57:$AA$63,5,0)=0,"",HLOOKUP(中介表格2!$AF$112,中介表格2!$V$57:$AA$63,5,0))</f>
        <v>☆☆☆</v>
      </c>
      <c r="AD4" s="64" t="str">
        <f>IF(HLOOKUP(中介表格2!$AF$113,中介表格2!$V$57:$AA$63,5,0)=0,"",HLOOKUP(中介表格2!$AF$113,中介表格2!$V$57:$AA$63,5,0))</f>
        <v>☆☆☆</v>
      </c>
      <c r="AE4" s="64" t="str">
        <f>IF(HLOOKUP(中介表格2!$AF$114,中介表格2!$V$57:$AA$63,5,0)=0,"",HLOOKUP(中介表格2!$AF$114,中介表格2!$V$57:$AA$63,5,0))</f>
        <v>☆☆☆</v>
      </c>
      <c r="AF4" s="64" t="str">
        <f>IF(HLOOKUP(中介表格2!$AF$115,中介表格2!$V$57:$AA$63,5,0)=0,"",HLOOKUP(中介表格2!$AF$115,中介表格2!$V$57:$AA$63,5,0))</f>
        <v>☆☆☆</v>
      </c>
      <c r="AG4" s="64" t="str">
        <f>IF(HLOOKUP(中介表格2!$AF$116,中介表格2!$V$57:$AA$63,5,0)=0,"",HLOOKUP(中介表格2!$AF$116,中介表格2!$V$57:$AA$63,5,0))</f>
        <v>☆☆☆</v>
      </c>
    </row>
    <row r="5" spans="1:33" ht="16.5" customHeight="1">
      <c r="B5" s="156" t="s">
        <v>1127</v>
      </c>
      <c r="C5" s="221" t="s">
        <v>2118</v>
      </c>
      <c r="D5" s="221"/>
      <c r="F5" s="157" t="s">
        <v>1127</v>
      </c>
      <c r="G5" s="221" t="s">
        <v>2175</v>
      </c>
      <c r="H5" s="221"/>
      <c r="J5" s="220"/>
      <c r="K5" s="227"/>
      <c r="L5" s="165" t="s">
        <v>4</v>
      </c>
      <c r="M5" s="161">
        <f>中介表格2!$D$26</f>
        <v>8.4</v>
      </c>
      <c r="N5" s="161">
        <f>中介表格3!$D$26</f>
        <v>8.4</v>
      </c>
      <c r="O5" s="165" t="str">
        <f>IF($N5&gt;$M5,中介表格2!$D$32,IF($N5=$M5,中介表格2!$D$33,中介表格2!$D$34))</f>
        <v>→</v>
      </c>
      <c r="S5" s="69"/>
      <c r="V5" s="65" t="s">
        <v>1129</v>
      </c>
      <c r="W5" s="66" t="s">
        <v>1130</v>
      </c>
      <c r="X5" s="67" t="s">
        <v>1131</v>
      </c>
      <c r="Y5" s="68" t="s">
        <v>1132</v>
      </c>
      <c r="Z5" s="163" t="s">
        <v>1875</v>
      </c>
      <c r="AB5" s="64" t="str">
        <f>IF(HLOOKUP(中介表格2!$AF$111,中介表格2!$V$57:$AA$63,6,0)=0,"",HLOOKUP(中介表格2!$AF$111,中介表格2!$V$57:$AA$63,6,0))</f>
        <v>☆☆☆☆</v>
      </c>
      <c r="AC5" s="64" t="str">
        <f>IF(HLOOKUP(中介表格2!$AF$112,中介表格2!$V$57:$AA$63,6,0)=0,"",HLOOKUP(中介表格2!$AF$112,中介表格2!$V$57:$AA$63,6,0))</f>
        <v>☆☆☆☆</v>
      </c>
      <c r="AD5" s="64" t="str">
        <f>IF(HLOOKUP(中介表格2!$AF$113,中介表格2!$V$57:$AA$63,6,0)=0,"",HLOOKUP(中介表格2!$AF$113,中介表格2!$V$57:$AA$63,6,0))</f>
        <v>☆☆☆☆</v>
      </c>
      <c r="AE5" s="64" t="str">
        <f>IF(HLOOKUP(中介表格2!$AF$114,中介表格2!$V$57:$AA$63,6,0)=0,"",HLOOKUP(中介表格2!$AF$114,中介表格2!$V$57:$AA$63,6,0))</f>
        <v>☆☆☆☆</v>
      </c>
      <c r="AF5" s="64" t="str">
        <f>IF(HLOOKUP(中介表格2!$AF$115,中介表格2!$V$57:$AA$63,6,0)=0,"",HLOOKUP(中介表格2!$AF$115,中介表格2!$V$57:$AA$63,6,0))</f>
        <v/>
      </c>
      <c r="AG5" s="64" t="str">
        <f>IF(HLOOKUP(中介表格2!$AF$116,中介表格2!$V$57:$AA$63,6,0)=0,"",HLOOKUP(中介表格2!$AF$116,中介表格2!$V$57:$AA$63,6,0))</f>
        <v>☆☆☆☆</v>
      </c>
    </row>
    <row r="6" spans="1:33" ht="16.5" customHeight="1">
      <c r="K6" s="227"/>
      <c r="L6" s="166" t="s">
        <v>5</v>
      </c>
      <c r="M6" s="161">
        <f>中介表格2!$D$27</f>
        <v>3</v>
      </c>
      <c r="N6" s="161">
        <f>中介表格3!$D$27</f>
        <v>3</v>
      </c>
      <c r="O6" s="166" t="str">
        <f>IF($N6&gt;$M6,中介表格2!$D$32,IF($N6=$M6,中介表格2!$D$33,中介表格2!$D$34))</f>
        <v>→</v>
      </c>
      <c r="S6" s="69"/>
      <c r="V6" s="65" t="s">
        <v>1133</v>
      </c>
      <c r="W6" s="66" t="s">
        <v>1134</v>
      </c>
      <c r="X6" s="67" t="s">
        <v>1135</v>
      </c>
      <c r="Y6" s="68" t="s">
        <v>1136</v>
      </c>
      <c r="Z6" s="163" t="s">
        <v>1879</v>
      </c>
      <c r="AB6" s="64" t="str">
        <f>IF(HLOOKUP(中介表格2!$AF$111,中介表格2!$V$57:$AA$63,7,0)=0,"",HLOOKUP(中介表格2!$AF$111,中介表格2!$V$57:$AA$63,7,0))</f>
        <v>☆☆☆☆☆</v>
      </c>
      <c r="AC6" s="64" t="str">
        <f>IF(HLOOKUP(中介表格2!$AF$112,中介表格2!$V$57:$AA$63,7,0)=0,"",HLOOKUP(中介表格2!$AF$112,中介表格2!$V$57:$AA$63,7,0))</f>
        <v>☆☆☆☆☆</v>
      </c>
      <c r="AD6" s="64" t="str">
        <f>IF(HLOOKUP(中介表格2!$AF$113,中介表格2!$V$57:$AA$63,7,0)=0,"",HLOOKUP(中介表格2!$AF$113,中介表格2!$V$57:$AA$63,7,0))</f>
        <v>☆☆☆☆☆</v>
      </c>
      <c r="AE6" s="64" t="str">
        <f>IF(HLOOKUP(中介表格2!$AF$114,中介表格2!$V$57:$AA$63,7,0)=0,"",HLOOKUP(中介表格2!$AF$114,中介表格2!$V$57:$AA$63,7,0))</f>
        <v>☆☆☆☆☆</v>
      </c>
      <c r="AF6" s="64" t="str">
        <f>IF(HLOOKUP(中介表格2!$AF$115,中介表格2!$V$57:$AA$63,7,0)=0,"",HLOOKUP(中介表格2!$AF$115,中介表格2!$V$57:$AA$63,7,0))</f>
        <v/>
      </c>
      <c r="AG6" s="64" t="str">
        <f>IF(HLOOKUP(中介表格2!$AF$116,中介表格2!$V$57:$AA$63,7,0)=0,"",HLOOKUP(中介表格2!$AF$116,中介表格2!$V$57:$AA$63,7,0))</f>
        <v>☆☆☆☆☆</v>
      </c>
    </row>
    <row r="7" spans="1:33" ht="16.5" customHeight="1">
      <c r="B7" s="228" t="str">
        <f>中介表格2!$G$5</f>
        <v/>
      </c>
      <c r="C7" s="228"/>
      <c r="D7" s="228"/>
      <c r="F7" s="228" t="str">
        <f>中介表格3!$G$5</f>
        <v/>
      </c>
      <c r="G7" s="228"/>
      <c r="H7" s="228"/>
      <c r="J7" s="220" t="str">
        <f>中介表格3!$E$24</f>
        <v/>
      </c>
      <c r="K7" s="227" t="s">
        <v>1098</v>
      </c>
      <c r="L7" s="167" t="s">
        <v>204</v>
      </c>
      <c r="M7" s="168">
        <f>中介表格2!AJ1+中介表格2!AJ6</f>
        <v>1267</v>
      </c>
      <c r="N7" s="168">
        <f>中介表格3!AJ1+中介表格3!AJ6</f>
        <v>1269</v>
      </c>
      <c r="O7" s="167" t="str">
        <f>IF($N7&gt;$M7,中介表格2!$D$32,IF($N7=$M7,中介表格2!$D$33,中介表格2!$D$34))</f>
        <v xml:space="preserve">                ↗</v>
      </c>
      <c r="R7" s="69"/>
      <c r="S7" s="69"/>
      <c r="V7" s="65" t="s">
        <v>1137</v>
      </c>
      <c r="W7" s="66" t="s">
        <v>1138</v>
      </c>
      <c r="X7" s="67" t="s">
        <v>1139</v>
      </c>
      <c r="Y7" s="68" t="s">
        <v>1140</v>
      </c>
      <c r="Z7" s="163" t="s">
        <v>1880</v>
      </c>
    </row>
    <row r="8" spans="1:33" ht="16.5" customHeight="1">
      <c r="A8" s="69"/>
      <c r="B8" s="228"/>
      <c r="C8" s="228"/>
      <c r="D8" s="228"/>
      <c r="F8" s="228"/>
      <c r="G8" s="228"/>
      <c r="H8" s="228"/>
      <c r="J8" s="220"/>
      <c r="K8" s="227"/>
      <c r="L8" s="169" t="s">
        <v>5</v>
      </c>
      <c r="M8" s="168">
        <f>中介表格2!AN1+中介表格2!AN6</f>
        <v>609</v>
      </c>
      <c r="N8" s="168">
        <f>中介表格3!AN1+中介表格3!AN6</f>
        <v>693</v>
      </c>
      <c r="O8" s="169" t="str">
        <f>IF($N8&gt;$M8,中介表格2!$D$32,IF($N8=$M8,中介表格2!$D$33,中介表格2!$D$34))</f>
        <v xml:space="preserve">                ↗</v>
      </c>
      <c r="R8" s="69"/>
      <c r="S8" s="69"/>
      <c r="V8" s="65" t="s">
        <v>1141</v>
      </c>
      <c r="W8" s="66" t="s">
        <v>1142</v>
      </c>
      <c r="X8" s="67" t="s">
        <v>1143</v>
      </c>
      <c r="Y8" s="68" t="s">
        <v>1144</v>
      </c>
      <c r="Z8" s="163" t="s">
        <v>1969</v>
      </c>
    </row>
    <row r="9" spans="1:33" ht="16.5" customHeight="1">
      <c r="A9" s="69"/>
      <c r="B9" s="69"/>
      <c r="C9" s="69"/>
      <c r="D9" s="69"/>
      <c r="E9" s="69"/>
      <c r="F9" s="69"/>
      <c r="G9" s="69"/>
      <c r="H9" s="69"/>
      <c r="J9" s="220"/>
      <c r="K9" s="227"/>
      <c r="L9" s="170" t="s">
        <v>4</v>
      </c>
      <c r="M9" s="168">
        <f>中介表格2!AL1+中介表格2!AL6</f>
        <v>1276</v>
      </c>
      <c r="N9" s="168">
        <f>中介表格3!AL1+中介表格3!AL6</f>
        <v>1280</v>
      </c>
      <c r="O9" s="170" t="str">
        <f>IF($N9&gt;$M9,中介表格2!$D$32,IF($N9=$M9,中介表格2!$D$33,中介表格2!$D$34))</f>
        <v xml:space="preserve">                ↗</v>
      </c>
      <c r="Q9" s="69"/>
      <c r="R9" s="69"/>
      <c r="S9" s="69"/>
      <c r="V9" s="65" t="s">
        <v>1146</v>
      </c>
      <c r="W9" s="66" t="s">
        <v>1147</v>
      </c>
      <c r="X9" s="67" t="s">
        <v>1148</v>
      </c>
      <c r="Y9" s="68" t="s">
        <v>1149</v>
      </c>
      <c r="Z9" s="163" t="s">
        <v>1882</v>
      </c>
    </row>
    <row r="10" spans="1:33" ht="16.5" customHeight="1">
      <c r="A10" s="69"/>
      <c r="B10" s="229" t="s">
        <v>1173</v>
      </c>
      <c r="C10" s="230"/>
      <c r="D10" s="230"/>
      <c r="E10" s="230"/>
      <c r="F10" s="230"/>
      <c r="G10" s="230"/>
      <c r="H10" s="230"/>
      <c r="J10" s="220"/>
      <c r="K10" s="227" t="s">
        <v>1077</v>
      </c>
      <c r="L10" s="171" t="s">
        <v>103</v>
      </c>
      <c r="M10" s="172">
        <f>中介表格2!$AI$4+中介表格2!$AI$9</f>
        <v>25993</v>
      </c>
      <c r="N10" s="172">
        <f>中介表格3!$AI$4+中介表格3!$AI$9</f>
        <v>25999</v>
      </c>
      <c r="O10" s="171" t="str">
        <f>IF($N10&gt;$M10,中介表格2!$D$32,IF($N10=$M10,中介表格2!$D$33,中介表格2!$D$34))</f>
        <v xml:space="preserve">                ↗</v>
      </c>
      <c r="S10" s="69"/>
      <c r="V10" s="65" t="s">
        <v>1150</v>
      </c>
      <c r="W10" s="66" t="s">
        <v>1151</v>
      </c>
      <c r="X10" s="67" t="s">
        <v>1152</v>
      </c>
      <c r="Y10" s="68" t="s">
        <v>1153</v>
      </c>
      <c r="Z10" s="163" t="s">
        <v>1863</v>
      </c>
    </row>
    <row r="11" spans="1:33" ht="16.5" customHeight="1">
      <c r="A11" s="69"/>
      <c r="B11" s="226" t="s">
        <v>2111</v>
      </c>
      <c r="C11" s="173" t="str">
        <f>中介表格2!AG119</f>
        <v>欺诈者之剑</v>
      </c>
      <c r="D11" s="173" t="str">
        <f>中介表格2!AG120</f>
        <v>鹰羽指环</v>
      </c>
      <c r="E11" s="173" t="str">
        <f>中介表格2!AG121</f>
        <v>撒旦</v>
      </c>
      <c r="F11" s="173" t="str">
        <f>中介表格2!AG122</f>
        <v>龙心</v>
      </c>
      <c r="G11" s="173" t="str">
        <f>中介表格2!AG123</f>
        <v>射手指环</v>
      </c>
      <c r="H11" s="173" t="str">
        <f>中介表格2!AG124</f>
        <v>疾行鞋</v>
      </c>
      <c r="K11" s="227"/>
      <c r="L11" s="171" t="s">
        <v>14</v>
      </c>
      <c r="M11" s="174">
        <f>中介表格2!$AJ$4+中介表格2!$AJ$9</f>
        <v>2951</v>
      </c>
      <c r="N11" s="174">
        <f>中介表格3!$AJ$4+中介表格3!$AJ$9</f>
        <v>3111.6</v>
      </c>
      <c r="O11" s="171" t="str">
        <f>IF($N11&gt;$M11,中介表格2!$D$32,IF($N11=$M11,中介表格2!$D$33,中介表格2!$D$34))</f>
        <v xml:space="preserve">                ↗</v>
      </c>
      <c r="S11" s="69"/>
      <c r="V11" s="65" t="s">
        <v>1154</v>
      </c>
      <c r="W11" s="66" t="s">
        <v>1155</v>
      </c>
      <c r="X11" s="67" t="s">
        <v>1156</v>
      </c>
      <c r="Y11" s="68" t="s">
        <v>1157</v>
      </c>
      <c r="Z11" s="163" t="s">
        <v>1885</v>
      </c>
      <c r="AB11" s="64" t="str">
        <f>IF(HLOOKUP(中介表格3!$AF$111,中介表格3!$V$57:$AA$63,2,0)=0,"",HLOOKUP(中介表格3!$AF$111,中介表格3!$V$57:$AA$63,2,0))</f>
        <v>无</v>
      </c>
      <c r="AC11" s="64" t="str">
        <f>IF(HLOOKUP(中介表格3!$AF$112,中介表格3!$V$57:$AA$63,2,0)=0,"",HLOOKUP(中介表格3!$AF$112,中介表格3!$V$57:$AA$63,2,0))</f>
        <v>无</v>
      </c>
      <c r="AD11" s="64" t="str">
        <f>IF(HLOOKUP(中介表格3!$AF$113,中介表格3!$V$57:$AA$63,2,0)=0,"",HLOOKUP(中介表格3!$AF$113,中介表格3!$V$57:$AA$63,2,0))</f>
        <v>无</v>
      </c>
      <c r="AE11" s="64" t="str">
        <f>IF(HLOOKUP(中介表格3!$AF$114,中介表格3!$V$57:$AA$63,2,0)=0,"",HLOOKUP(中介表格3!$AF$114,中介表格3!$V$57:$AA$63,2,0))</f>
        <v>无</v>
      </c>
      <c r="AF11" s="64" t="str">
        <f>IF(HLOOKUP(中介表格3!$AF$115,中介表格3!$V$57:$AA$63,2,0)=0,"",HLOOKUP(中介表格3!$AF$115,中介表格3!$V$57:$AA$63,2,0))</f>
        <v>无</v>
      </c>
      <c r="AG11" s="64" t="str">
        <f>IF(HLOOKUP(中介表格3!$AF$116,中介表格3!$V$57:$AA$63,2,0)=0,"",HLOOKUP(中介表格3!$AF$116,中介表格3!$V$57:$AA$63,2,0))</f>
        <v>无</v>
      </c>
    </row>
    <row r="12" spans="1:33" ht="16.5" customHeight="1">
      <c r="A12" s="69"/>
      <c r="B12" s="226"/>
      <c r="C12" s="57" t="s">
        <v>1348</v>
      </c>
      <c r="D12" s="57" t="s">
        <v>1348</v>
      </c>
      <c r="E12" s="57" t="s">
        <v>1348</v>
      </c>
      <c r="F12" s="57" t="s">
        <v>1348</v>
      </c>
      <c r="G12" s="57" t="s">
        <v>1348</v>
      </c>
      <c r="H12" s="57" t="s">
        <v>1348</v>
      </c>
      <c r="K12" s="227"/>
      <c r="L12" s="171" t="s">
        <v>1161</v>
      </c>
      <c r="M12" s="174">
        <f>中介表格2!$AK$4+中介表格2!$AK$9</f>
        <v>1461.3999999999999</v>
      </c>
      <c r="N12" s="174">
        <f>中介表格3!$AK$4+中介表格3!$AK$9</f>
        <v>1663</v>
      </c>
      <c r="O12" s="171" t="str">
        <f>IF($N12&gt;$M12,中介表格2!$D$32,IF($N12=$M12,中介表格2!$D$33,中介表格2!$D$34))</f>
        <v xml:space="preserve">                ↗</v>
      </c>
      <c r="V12" s="65" t="s">
        <v>1165</v>
      </c>
      <c r="W12" s="66" t="s">
        <v>1166</v>
      </c>
      <c r="X12" s="67" t="s">
        <v>1167</v>
      </c>
      <c r="Y12" s="68" t="s">
        <v>1168</v>
      </c>
      <c r="Z12" s="163" t="s">
        <v>1889</v>
      </c>
      <c r="AB12" s="64" t="str">
        <f>IF(HLOOKUP(中介表格3!$AF$111,中介表格3!$V$57:$AA$63,3,0)=0,"",HLOOKUP(中介表格3!$AF$111,中介表格3!$V$57:$AA$63,3,0))</f>
        <v/>
      </c>
      <c r="AC12" s="64" t="str">
        <f>IF(HLOOKUP(中介表格3!$AF$112,中介表格3!$V$57:$AA$63,3,0)=0,"",HLOOKUP(中介表格3!$AF$112,中介表格3!$V$57:$AA$63,3,0))</f>
        <v>☆</v>
      </c>
      <c r="AD12" s="64" t="str">
        <f>IF(HLOOKUP(中介表格3!$AF$113,中介表格3!$V$57:$AA$63,3,0)=0,"",HLOOKUP(中介表格3!$AF$113,中介表格3!$V$57:$AA$63,3,0))</f>
        <v>☆</v>
      </c>
      <c r="AE12" s="64" t="str">
        <f>IF(HLOOKUP(中介表格3!$AF$114,中介表格3!$V$57:$AA$63,3,0)=0,"",HLOOKUP(中介表格3!$AF$114,中介表格3!$V$57:$AA$63,3,0))</f>
        <v>☆</v>
      </c>
      <c r="AF12" s="64" t="str">
        <f>IF(HLOOKUP(中介表格3!$AF$115,中介表格3!$V$57:$AA$63,3,0)=0,"",HLOOKUP(中介表格3!$AF$115,中介表格3!$V$57:$AA$63,3,0))</f>
        <v>☆</v>
      </c>
      <c r="AG12" s="64" t="str">
        <f>IF(HLOOKUP(中介表格3!$AF$116,中介表格3!$V$57:$AA$63,3,0)=0,"",HLOOKUP(中介表格3!$AF$116,中介表格3!$V$57:$AA$63,3,0))</f>
        <v/>
      </c>
    </row>
    <row r="13" spans="1:33" ht="16.5" customHeight="1">
      <c r="A13" s="69"/>
      <c r="B13" s="156" t="s">
        <v>1182</v>
      </c>
      <c r="C13" s="57" t="s">
        <v>2119</v>
      </c>
      <c r="D13" s="57" t="s">
        <v>2176</v>
      </c>
      <c r="E13" s="57" t="s">
        <v>2176</v>
      </c>
      <c r="F13" s="57" t="s">
        <v>2176</v>
      </c>
      <c r="G13" s="57" t="s">
        <v>2179</v>
      </c>
      <c r="H13" s="57" t="s">
        <v>2176</v>
      </c>
      <c r="K13" s="227"/>
      <c r="L13" s="171" t="s">
        <v>1162</v>
      </c>
      <c r="M13" s="174">
        <f>中介表格2!$AL$4+中介表格2!$AL$9</f>
        <v>415.9</v>
      </c>
      <c r="N13" s="174">
        <f>中介表格3!$AL$4+中介表格3!$AL$9</f>
        <v>394.52</v>
      </c>
      <c r="O13" s="171" t="str">
        <f>IF($N13&gt;$M13,中介表格2!$D$32,IF($N13=$M13,中介表格2!$D$33,中介表格2!$D$34))</f>
        <v xml:space="preserve">↖                </v>
      </c>
      <c r="V13" s="65" t="s">
        <v>1169</v>
      </c>
      <c r="W13" s="66" t="s">
        <v>1170</v>
      </c>
      <c r="X13" s="67" t="s">
        <v>1171</v>
      </c>
      <c r="Y13" s="68" t="s">
        <v>1172</v>
      </c>
      <c r="Z13" s="163" t="s">
        <v>1910</v>
      </c>
      <c r="AB13" s="64" t="str">
        <f>IF(HLOOKUP(中介表格3!$AF$111,中介表格3!$V$57:$AA$63,4,0)=0,"",HLOOKUP(中介表格3!$AF$111,中介表格3!$V$57:$AA$63,4,0))</f>
        <v/>
      </c>
      <c r="AC13" s="64" t="str">
        <f>IF(HLOOKUP(中介表格3!$AF$112,中介表格3!$V$57:$AA$63,4,0)=0,"",HLOOKUP(中介表格3!$AF$112,中介表格3!$V$57:$AA$63,4,0))</f>
        <v>☆☆</v>
      </c>
      <c r="AD13" s="64" t="str">
        <f>IF(HLOOKUP(中介表格3!$AF$113,中介表格3!$V$57:$AA$63,4,0)=0,"",HLOOKUP(中介表格3!$AF$113,中介表格3!$V$57:$AA$63,4,0))</f>
        <v>☆☆</v>
      </c>
      <c r="AE13" s="64" t="str">
        <f>IF(HLOOKUP(中介表格3!$AF$114,中介表格3!$V$57:$AA$63,4,0)=0,"",HLOOKUP(中介表格3!$AF$114,中介表格3!$V$57:$AA$63,4,0))</f>
        <v>☆☆</v>
      </c>
      <c r="AF13" s="64" t="str">
        <f>IF(HLOOKUP(中介表格3!$AF$115,中介表格3!$V$57:$AA$63,4,0)=0,"",HLOOKUP(中介表格3!$AF$115,中介表格3!$V$57:$AA$63,4,0))</f>
        <v>☆☆</v>
      </c>
      <c r="AG13" s="64" t="str">
        <f>IF(HLOOKUP(中介表格3!$AF$116,中介表格3!$V$57:$AA$63,4,0)=0,"",HLOOKUP(中介表格3!$AF$116,中介表格3!$V$57:$AA$63,4,0))</f>
        <v/>
      </c>
    </row>
    <row r="14" spans="1:33" ht="16.5" customHeight="1">
      <c r="A14" s="69"/>
      <c r="B14" s="218" t="str">
        <f>中介表格2!$V$70</f>
        <v/>
      </c>
      <c r="C14" s="218"/>
      <c r="D14" s="218"/>
      <c r="E14" s="218"/>
      <c r="F14" s="218"/>
      <c r="G14" s="218"/>
      <c r="H14" s="218"/>
      <c r="K14" s="227"/>
      <c r="L14" s="171" t="s">
        <v>1163</v>
      </c>
      <c r="M14" s="174">
        <f>中介表格2!$AM$4+中介表格2!$AM$9</f>
        <v>142.6</v>
      </c>
      <c r="N14" s="174">
        <f>中介表格3!$AM$4+中介表格3!$AM$9</f>
        <v>182</v>
      </c>
      <c r="O14" s="171" t="str">
        <f>IF($N14&gt;$M14,中介表格2!$D$32,IF($N14=$M14,中介表格2!$D$33,中介表格2!$D$34))</f>
        <v xml:space="preserve">                ↗</v>
      </c>
      <c r="V14" s="65" t="s">
        <v>1174</v>
      </c>
      <c r="W14" s="66" t="s">
        <v>1175</v>
      </c>
      <c r="X14" s="67" t="s">
        <v>1176</v>
      </c>
      <c r="Y14" s="68" t="s">
        <v>1177</v>
      </c>
      <c r="Z14" s="163" t="s">
        <v>1923</v>
      </c>
      <c r="AB14" s="64" t="str">
        <f>IF(HLOOKUP(中介表格3!$AF$111,中介表格3!$V$57:$AA$63,5,0)=0,"",HLOOKUP(中介表格3!$AF$111,中介表格3!$V$57:$AA$63,5,0))</f>
        <v/>
      </c>
      <c r="AC14" s="64" t="str">
        <f>IF(HLOOKUP(中介表格3!$AF$112,中介表格3!$V$57:$AA$63,5,0)=0,"",HLOOKUP(中介表格3!$AF$112,中介表格3!$V$57:$AA$63,5,0))</f>
        <v>☆☆☆</v>
      </c>
      <c r="AD14" s="64" t="str">
        <f>IF(HLOOKUP(中介表格3!$AF$113,中介表格3!$V$57:$AA$63,5,0)=0,"",HLOOKUP(中介表格3!$AF$113,中介表格3!$V$57:$AA$63,5,0))</f>
        <v>☆☆☆</v>
      </c>
      <c r="AE14" s="64" t="str">
        <f>IF(HLOOKUP(中介表格3!$AF$114,中介表格3!$V$57:$AA$63,5,0)=0,"",HLOOKUP(中介表格3!$AF$114,中介表格3!$V$57:$AA$63,5,0))</f>
        <v>☆☆☆</v>
      </c>
      <c r="AF14" s="64" t="str">
        <f>IF(HLOOKUP(中介表格3!$AF$115,中介表格3!$V$57:$AA$63,5,0)=0,"",HLOOKUP(中介表格3!$AF$115,中介表格3!$V$57:$AA$63,5,0))</f>
        <v>☆☆☆</v>
      </c>
      <c r="AG14" s="64" t="str">
        <f>IF(HLOOKUP(中介表格3!$AF$116,中介表格3!$V$57:$AA$63,5,0)=0,"",HLOOKUP(中介表格3!$AF$116,中介表格3!$V$57:$AA$63,5,0))</f>
        <v/>
      </c>
    </row>
    <row r="15" spans="1:33" ht="16.5" customHeight="1">
      <c r="A15" s="69"/>
      <c r="B15" s="219" t="str">
        <f>中介表格2!$V$71</f>
        <v/>
      </c>
      <c r="C15" s="219"/>
      <c r="D15" s="219"/>
      <c r="E15" s="219"/>
      <c r="F15" s="219"/>
      <c r="G15" s="219"/>
      <c r="H15" s="219"/>
      <c r="K15" s="227"/>
      <c r="L15" s="171" t="s">
        <v>34</v>
      </c>
      <c r="M15" s="174">
        <f>中介表格2!$AN$4+中介表格2!$AN$9</f>
        <v>803</v>
      </c>
      <c r="N15" s="174">
        <f>中介表格3!$AN$4+中介表格3!$AN$9</f>
        <v>826.6</v>
      </c>
      <c r="O15" s="171" t="str">
        <f>IF($N15&gt;$M15,中介表格2!$D$32,IF($N15=$M15,中介表格2!$D$33,中介表格2!$D$34))</f>
        <v xml:space="preserve">                ↗</v>
      </c>
      <c r="V15" s="65" t="s">
        <v>1178</v>
      </c>
      <c r="W15" s="66" t="s">
        <v>1179</v>
      </c>
      <c r="X15" s="67" t="s">
        <v>1180</v>
      </c>
      <c r="Y15" s="68" t="s">
        <v>1181</v>
      </c>
      <c r="Z15" s="163" t="s">
        <v>1989</v>
      </c>
      <c r="AB15" s="64" t="str">
        <f>IF(HLOOKUP(中介表格3!$AF$111,中介表格3!$V$57:$AA$63,6,0)=0,"",HLOOKUP(中介表格3!$AF$111,中介表格3!$V$57:$AA$63,6,0))</f>
        <v/>
      </c>
      <c r="AC15" s="64" t="str">
        <f>IF(HLOOKUP(中介表格3!$AF$112,中介表格3!$V$57:$AA$63,6,0)=0,"",HLOOKUP(中介表格3!$AF$112,中介表格3!$V$57:$AA$63,6,0))</f>
        <v>☆☆☆☆</v>
      </c>
      <c r="AD15" s="64" t="str">
        <f>IF(HLOOKUP(中介表格3!$AF$113,中介表格3!$V$57:$AA$63,6,0)=0,"",HLOOKUP(中介表格3!$AF$113,中介表格3!$V$57:$AA$63,6,0))</f>
        <v>☆☆☆☆</v>
      </c>
      <c r="AE15" s="64" t="str">
        <f>IF(HLOOKUP(中介表格3!$AF$114,中介表格3!$V$57:$AA$63,6,0)=0,"",HLOOKUP(中介表格3!$AF$114,中介表格3!$V$57:$AA$63,6,0))</f>
        <v>☆☆☆☆</v>
      </c>
      <c r="AF15" s="64" t="str">
        <f>IF(HLOOKUP(中介表格3!$AF$115,中介表格3!$V$57:$AA$63,6,0)=0,"",HLOOKUP(中介表格3!$AF$115,中介表格3!$V$57:$AA$63,6,0))</f>
        <v>☆☆☆☆</v>
      </c>
      <c r="AG15" s="64" t="str">
        <f>IF(HLOOKUP(中介表格3!$AF$116,中介表格3!$V$57:$AA$63,6,0)=0,"",HLOOKUP(中介表格3!$AF$116,中介表格3!$V$57:$AA$63,6,0))</f>
        <v/>
      </c>
    </row>
    <row r="16" spans="1:33" ht="16.5" customHeight="1">
      <c r="A16" s="69"/>
      <c r="B16" s="219"/>
      <c r="C16" s="219"/>
      <c r="D16" s="219"/>
      <c r="E16" s="219"/>
      <c r="F16" s="219"/>
      <c r="G16" s="219"/>
      <c r="H16" s="219"/>
      <c r="K16" s="227"/>
      <c r="L16" s="157" t="s">
        <v>56</v>
      </c>
      <c r="M16" s="175">
        <f>中介表格2!$AO$4+中介表格2!$AO$9</f>
        <v>29</v>
      </c>
      <c r="N16" s="175">
        <f>中介表格3!$AO$4+中介表格3!$AO$9</f>
        <v>51</v>
      </c>
      <c r="O16" s="157" t="str">
        <f>IF($N16&gt;$M16,中介表格2!$D$32,IF($N16=$M16,中介表格2!$D$33,中介表格2!$D$34))</f>
        <v xml:space="preserve">                ↗</v>
      </c>
      <c r="V16" s="65" t="s">
        <v>1183</v>
      </c>
      <c r="W16" s="66" t="s">
        <v>1184</v>
      </c>
      <c r="X16" s="67" t="s">
        <v>1185</v>
      </c>
      <c r="Y16" s="68" t="s">
        <v>1186</v>
      </c>
      <c r="Z16" s="163" t="s">
        <v>1976</v>
      </c>
      <c r="AB16" s="64" t="str">
        <f>IF(HLOOKUP(中介表格3!$AF$111,中介表格3!$V$57:$AA$63,7,0)=0,"",HLOOKUP(中介表格3!$AF$111,中介表格3!$V$57:$AA$63,7,0))</f>
        <v/>
      </c>
      <c r="AC16" s="64" t="str">
        <f>IF(HLOOKUP(中介表格3!$AF$112,中介表格3!$V$57:$AA$63,7,0)=0,"",HLOOKUP(中介表格3!$AF$112,中介表格3!$V$57:$AA$63,7,0))</f>
        <v>☆☆☆☆☆</v>
      </c>
      <c r="AD16" s="64" t="str">
        <f>IF(HLOOKUP(中介表格3!$AF$113,中介表格3!$V$57:$AA$63,7,0)=0,"",HLOOKUP(中介表格3!$AF$113,中介表格3!$V$57:$AA$63,7,0))</f>
        <v>☆☆☆☆☆</v>
      </c>
      <c r="AE16" s="64" t="str">
        <f>IF(HLOOKUP(中介表格3!$AF$114,中介表格3!$V$57:$AA$63,7,0)=0,"",HLOOKUP(中介表格3!$AF$114,中介表格3!$V$57:$AA$63,7,0))</f>
        <v>☆☆☆☆☆</v>
      </c>
      <c r="AF16" s="64" t="str">
        <f>IF(HLOOKUP(中介表格3!$AF$115,中介表格3!$V$57:$AA$63,7,0)=0,"",HLOOKUP(中介表格3!$AF$115,中介表格3!$V$57:$AA$63,7,0))</f>
        <v>☆☆☆☆☆</v>
      </c>
      <c r="AG16" s="64" t="str">
        <f>IF(HLOOKUP(中介表格3!$AF$116,中介表格3!$V$57:$AA$63,7,0)=0,"",HLOOKUP(中介表格3!$AF$116,中介表格3!$V$57:$AA$63,7,0))</f>
        <v/>
      </c>
    </row>
    <row r="17" spans="1:26" ht="16.5" customHeight="1">
      <c r="A17" s="69"/>
      <c r="K17" s="227"/>
      <c r="L17" s="157" t="s">
        <v>84</v>
      </c>
      <c r="M17" s="175">
        <f>中介表格2!$AP$4+中介表格2!$AP$9</f>
        <v>0</v>
      </c>
      <c r="N17" s="175">
        <f>中介表格3!$AP$4+中介表格3!$AP$9</f>
        <v>0</v>
      </c>
      <c r="O17" s="157" t="str">
        <f>IF($N17&gt;$M17,中介表格2!$D$32,IF($N17=$M17,中介表格2!$D$33,中介表格2!$D$34))</f>
        <v>→</v>
      </c>
      <c r="V17" s="65" t="s">
        <v>1187</v>
      </c>
      <c r="W17" s="66" t="s">
        <v>1188</v>
      </c>
      <c r="X17" s="67" t="s">
        <v>1189</v>
      </c>
      <c r="Y17" s="68" t="s">
        <v>1190</v>
      </c>
      <c r="Z17" s="251" t="s">
        <v>2180</v>
      </c>
    </row>
    <row r="18" spans="1:26" ht="16.5" customHeight="1">
      <c r="A18" s="69"/>
      <c r="B18" s="217" t="s">
        <v>2112</v>
      </c>
      <c r="C18" s="173" t="str">
        <f>中介表格3!AG119</f>
        <v/>
      </c>
      <c r="D18" s="173" t="str">
        <f>中介表格3!AG120</f>
        <v>大天使之剑</v>
      </c>
      <c r="E18" s="173" t="str">
        <f>中介表格3!AG121</f>
        <v>林肯</v>
      </c>
      <c r="F18" s="173" t="str">
        <f>中介表格3!AG122</f>
        <v>恶魔之矢</v>
      </c>
      <c r="G18" s="173" t="str">
        <f>中介表格3!AG123</f>
        <v>疾行鞋</v>
      </c>
      <c r="H18" s="173" t="str">
        <f>中介表格3!AG124</f>
        <v>?</v>
      </c>
      <c r="K18" s="227"/>
      <c r="L18" s="157" t="s">
        <v>2120</v>
      </c>
      <c r="M18" s="175">
        <f>中介表格2!$AQ$4+中介表格2!$AQ$9</f>
        <v>0</v>
      </c>
      <c r="N18" s="175">
        <f>中介表格3!$AQ$4+中介表格3!$AQ$9</f>
        <v>0</v>
      </c>
      <c r="O18" s="157" t="str">
        <f>IF($N18&gt;$M18,中介表格2!$D$32,IF($N18=$M18,中介表格2!$D$33,中介表格2!$D$34))</f>
        <v>→</v>
      </c>
      <c r="V18" s="65" t="s">
        <v>1191</v>
      </c>
      <c r="W18" s="66" t="s">
        <v>1192</v>
      </c>
      <c r="X18" s="67" t="s">
        <v>1193</v>
      </c>
      <c r="Y18" s="68" t="s">
        <v>1194</v>
      </c>
    </row>
    <row r="19" spans="1:26" ht="16.5" customHeight="1">
      <c r="A19" s="69"/>
      <c r="B19" s="217"/>
      <c r="C19" s="57" t="s">
        <v>1796</v>
      </c>
      <c r="D19" s="190" t="s">
        <v>1348</v>
      </c>
      <c r="E19" s="190" t="s">
        <v>1348</v>
      </c>
      <c r="F19" s="185" t="s">
        <v>1348</v>
      </c>
      <c r="G19" s="185" t="s">
        <v>1348</v>
      </c>
      <c r="H19" s="57" t="s">
        <v>1796</v>
      </c>
      <c r="K19" s="227"/>
      <c r="L19" s="157" t="s">
        <v>2121</v>
      </c>
      <c r="M19" s="175">
        <f>中介表格2!$AR$4+中介表格2!$AR$9</f>
        <v>168</v>
      </c>
      <c r="N19" s="175">
        <f>中介表格3!$AR$4+中介表格3!$AR$9</f>
        <v>118</v>
      </c>
      <c r="O19" s="157" t="str">
        <f>IF($N19&gt;$M19,中介表格2!$D$32,IF($N19=$M19,中介表格2!$D$33,中介表格2!$D$34))</f>
        <v xml:space="preserve">↖                </v>
      </c>
      <c r="V19" s="65" t="s">
        <v>1195</v>
      </c>
      <c r="W19" s="66" t="s">
        <v>1196</v>
      </c>
      <c r="X19" s="67" t="s">
        <v>1197</v>
      </c>
      <c r="Y19" s="68" t="s">
        <v>1198</v>
      </c>
    </row>
    <row r="20" spans="1:26" ht="16.5" customHeight="1">
      <c r="A20" s="69"/>
      <c r="B20" s="157" t="s">
        <v>1182</v>
      </c>
      <c r="C20" s="57" t="s">
        <v>1797</v>
      </c>
      <c r="D20" s="57" t="s">
        <v>2176</v>
      </c>
      <c r="E20" s="57" t="s">
        <v>2176</v>
      </c>
      <c r="F20" s="57" t="s">
        <v>2176</v>
      </c>
      <c r="G20" s="57" t="s">
        <v>2176</v>
      </c>
      <c r="H20" s="57" t="s">
        <v>1797</v>
      </c>
      <c r="K20" s="227"/>
      <c r="L20" s="157" t="s">
        <v>2122</v>
      </c>
      <c r="M20" s="175">
        <f>中介表格2!$AS$4+中介表格2!$AS$9</f>
        <v>20</v>
      </c>
      <c r="N20" s="175">
        <f>中介表格3!$AS$4+中介表格3!$AS$9</f>
        <v>8</v>
      </c>
      <c r="O20" s="157" t="str">
        <f>IF($N20&gt;$M20,中介表格2!$D$32,IF($N20=$M20,中介表格2!$D$33,中介表格2!$D$34))</f>
        <v xml:space="preserve">↖                </v>
      </c>
      <c r="V20" s="65" t="s">
        <v>1199</v>
      </c>
      <c r="W20" s="66" t="s">
        <v>1200</v>
      </c>
      <c r="X20" s="67" t="s">
        <v>1201</v>
      </c>
      <c r="Y20" s="68" t="s">
        <v>1202</v>
      </c>
    </row>
    <row r="21" spans="1:26" ht="16.5" customHeight="1">
      <c r="A21" s="69"/>
      <c r="B21" s="218" t="str">
        <f>中介表格3!$V$70</f>
        <v/>
      </c>
      <c r="C21" s="218"/>
      <c r="D21" s="218"/>
      <c r="E21" s="218"/>
      <c r="F21" s="218"/>
      <c r="G21" s="218"/>
      <c r="H21" s="218"/>
      <c r="K21" s="227"/>
      <c r="L21" s="157" t="s">
        <v>2123</v>
      </c>
      <c r="M21" s="174">
        <f>中介表格2!$AT$4+中介表格2!$AT$9</f>
        <v>30</v>
      </c>
      <c r="N21" s="174">
        <f>中介表格3!$AT$4+中介表格3!$AT$9</f>
        <v>30</v>
      </c>
      <c r="O21" s="157" t="str">
        <f>IF($N21&gt;$M21,中介表格2!$D$32,IF($N21=$M21,中介表格2!$D$33,中介表格2!$D$34))</f>
        <v>→</v>
      </c>
      <c r="W21" s="66" t="s">
        <v>1203</v>
      </c>
      <c r="X21" s="67" t="s">
        <v>1204</v>
      </c>
      <c r="Y21" s="68" t="s">
        <v>1205</v>
      </c>
    </row>
    <row r="22" spans="1:26" ht="16.5" customHeight="1">
      <c r="A22" s="69"/>
      <c r="B22" s="219" t="str">
        <f>中介表格3!$V$71</f>
        <v/>
      </c>
      <c r="C22" s="219"/>
      <c r="D22" s="219"/>
      <c r="E22" s="219"/>
      <c r="F22" s="219"/>
      <c r="G22" s="219"/>
      <c r="H22" s="219"/>
      <c r="K22" s="227"/>
      <c r="L22" s="176" t="s">
        <v>13</v>
      </c>
      <c r="M22" s="177">
        <f>中介表格2!$AU$4+中介表格2!$AU$9</f>
        <v>2835</v>
      </c>
      <c r="N22" s="177">
        <f>中介表格3!$AU$4+中介表格3!$AU$9</f>
        <v>2355</v>
      </c>
      <c r="O22" s="176" t="str">
        <f>IF($N22&gt;$M22,中介表格2!$D$32,IF($N22=$M22,中介表格2!$D$33,中介表格2!$D$34))</f>
        <v xml:space="preserve">↖                </v>
      </c>
      <c r="W22" s="66" t="s">
        <v>1206</v>
      </c>
      <c r="X22" s="67" t="s">
        <v>1207</v>
      </c>
      <c r="Y22" s="68" t="s">
        <v>1208</v>
      </c>
    </row>
    <row r="23" spans="1:26" ht="16.5" customHeight="1">
      <c r="A23" s="69"/>
      <c r="B23" s="219"/>
      <c r="C23" s="219"/>
      <c r="D23" s="219"/>
      <c r="E23" s="219"/>
      <c r="F23" s="219"/>
      <c r="G23" s="219"/>
      <c r="H23" s="219"/>
      <c r="K23" s="227"/>
      <c r="L23" s="176" t="s">
        <v>18</v>
      </c>
      <c r="M23" s="177">
        <f>中介表格2!$AV$4+中介表格2!$AV$9</f>
        <v>277</v>
      </c>
      <c r="N23" s="177">
        <f>中介表格3!$AV$4+中介表格3!$AV$9</f>
        <v>277</v>
      </c>
      <c r="O23" s="176" t="str">
        <f>IF($N23&gt;$M23,中介表格2!$D$32,IF($N23=$M23,中介表格2!$D$33,中介表格2!$D$34))</f>
        <v>→</v>
      </c>
      <c r="W23" s="66" t="s">
        <v>1209</v>
      </c>
      <c r="X23" s="67" t="s">
        <v>1210</v>
      </c>
      <c r="Y23" s="68" t="s">
        <v>1211</v>
      </c>
    </row>
    <row r="24" spans="1:26" ht="16.5" customHeight="1">
      <c r="A24" s="69"/>
      <c r="K24" s="227"/>
      <c r="L24" s="178" t="s">
        <v>71</v>
      </c>
      <c r="M24" s="179">
        <f>中介表格2!$AW$4+中介表格2!$AW$9</f>
        <v>0</v>
      </c>
      <c r="N24" s="179">
        <f>中介表格3!$AW$4+中介表格3!$AW$9</f>
        <v>0</v>
      </c>
      <c r="O24" s="178" t="str">
        <f>IF($N24&gt;$M24,中介表格2!$D$32,IF($N24=$M24,中介表格2!$D$33,中介表格2!$D$34))</f>
        <v>→</v>
      </c>
      <c r="W24" s="66" t="s">
        <v>1212</v>
      </c>
      <c r="X24" s="67" t="s">
        <v>1213</v>
      </c>
      <c r="Y24" s="68" t="s">
        <v>1214</v>
      </c>
      <c r="Z24" s="70"/>
    </row>
    <row r="25" spans="1:26" ht="16.5" customHeight="1">
      <c r="A25" s="69"/>
      <c r="K25" s="227"/>
      <c r="L25" s="176" t="s">
        <v>130</v>
      </c>
      <c r="M25" s="180">
        <f>中介表格2!$AX$4+中介表格2!$AX$9</f>
        <v>0</v>
      </c>
      <c r="N25" s="180">
        <f>中介表格3!$AX$4+中介表格3!$AX$9</f>
        <v>0</v>
      </c>
      <c r="O25" s="176" t="str">
        <f>IF($N25&gt;$M25,中介表格2!$D$32,IF($N25=$M25,中介表格2!$D$33,中介表格2!$D$34))</f>
        <v>→</v>
      </c>
      <c r="W25" s="66" t="s">
        <v>1215</v>
      </c>
      <c r="X25" s="67" t="s">
        <v>1216</v>
      </c>
      <c r="Y25" s="68" t="s">
        <v>1217</v>
      </c>
      <c r="Z25" s="70"/>
    </row>
    <row r="26" spans="1:26" ht="16.5" customHeight="1">
      <c r="A26" s="69"/>
      <c r="K26" s="227"/>
      <c r="L26" s="181" t="s">
        <v>1867</v>
      </c>
      <c r="M26" s="179">
        <f>中介表格2!$AY$4+中介表格2!$AY$9</f>
        <v>0</v>
      </c>
      <c r="N26" s="179">
        <f>中介表格3!$AY$4+中介表格3!$AY$9</f>
        <v>0</v>
      </c>
      <c r="O26" s="176" t="str">
        <f>IF($N26&gt;$M26,中介表格2!$D$32,IF($N26=$M26,中介表格2!$D$33,中介表格2!$D$34))</f>
        <v>→</v>
      </c>
      <c r="W26" s="66" t="s">
        <v>1218</v>
      </c>
      <c r="X26" s="67" t="s">
        <v>1219</v>
      </c>
      <c r="Y26" s="68" t="s">
        <v>1220</v>
      </c>
      <c r="Z26" s="70"/>
    </row>
    <row r="27" spans="1:26" ht="16.5" customHeight="1">
      <c r="A27" s="69"/>
      <c r="K27" s="227"/>
      <c r="L27" s="181" t="s">
        <v>1877</v>
      </c>
      <c r="M27" s="175">
        <f>中介表格2!$AZ$4+中介表格2!$AZ$9</f>
        <v>0</v>
      </c>
      <c r="N27" s="175">
        <f>中介表格3!$AZ$4+中介表格3!$AZ$9</f>
        <v>0</v>
      </c>
      <c r="O27" s="176" t="str">
        <f>IF($N27&gt;$M27,中介表格2!$D$32,IF($N27=$M27,中介表格2!$D$33,中介表格2!$D$34))</f>
        <v>→</v>
      </c>
      <c r="W27" s="66" t="s">
        <v>1221</v>
      </c>
      <c r="X27" s="67" t="s">
        <v>1222</v>
      </c>
      <c r="Y27" s="68" t="s">
        <v>1223</v>
      </c>
      <c r="Z27" s="70"/>
    </row>
    <row r="28" spans="1:26" ht="16.5" customHeight="1">
      <c r="A28" s="69"/>
      <c r="W28" s="66" t="s">
        <v>1224</v>
      </c>
      <c r="X28" s="67" t="s">
        <v>1225</v>
      </c>
      <c r="Y28" s="68" t="s">
        <v>1226</v>
      </c>
      <c r="Z28" s="70"/>
    </row>
    <row r="29" spans="1:26" ht="16.5" customHeight="1">
      <c r="A29" s="79"/>
      <c r="W29" s="66" t="s">
        <v>1227</v>
      </c>
      <c r="X29" s="67" t="s">
        <v>1228</v>
      </c>
      <c r="Y29" s="68" t="s">
        <v>1229</v>
      </c>
      <c r="Z29" s="70"/>
    </row>
    <row r="30" spans="1:26" ht="16.5" customHeight="1">
      <c r="A30" s="69"/>
      <c r="W30" s="66" t="s">
        <v>1230</v>
      </c>
      <c r="X30" s="67" t="s">
        <v>1231</v>
      </c>
      <c r="Y30" s="68" t="s">
        <v>1232</v>
      </c>
      <c r="Z30" s="70"/>
    </row>
    <row r="31" spans="1:26" ht="16.5" customHeight="1">
      <c r="A31" s="69"/>
      <c r="W31" s="66" t="s">
        <v>1233</v>
      </c>
      <c r="X31" s="67" t="s">
        <v>1234</v>
      </c>
      <c r="Y31" s="68" t="s">
        <v>1235</v>
      </c>
      <c r="Z31" s="70"/>
    </row>
    <row r="32" spans="1:26" ht="16.5" customHeight="1">
      <c r="A32" s="69"/>
      <c r="W32" s="66" t="s">
        <v>1236</v>
      </c>
      <c r="X32" s="67" t="s">
        <v>1237</v>
      </c>
      <c r="Y32" s="68" t="s">
        <v>1238</v>
      </c>
      <c r="Z32" s="70"/>
    </row>
    <row r="33" spans="1:26" ht="16.5" customHeight="1">
      <c r="A33" s="69"/>
      <c r="W33" s="66" t="s">
        <v>1239</v>
      </c>
      <c r="X33" s="67" t="s">
        <v>1240</v>
      </c>
      <c r="Y33" s="68" t="s">
        <v>1241</v>
      </c>
      <c r="Z33" s="70"/>
    </row>
    <row r="34" spans="1:26" ht="16.5" customHeight="1">
      <c r="A34" s="69"/>
      <c r="W34" s="66" t="s">
        <v>1242</v>
      </c>
      <c r="X34" s="67" t="s">
        <v>1243</v>
      </c>
      <c r="Y34" s="68" t="s">
        <v>1244</v>
      </c>
      <c r="Z34" s="70"/>
    </row>
    <row r="35" spans="1:26" ht="16.5" customHeight="1">
      <c r="A35" s="69"/>
      <c r="W35" s="66" t="s">
        <v>1245</v>
      </c>
      <c r="X35" s="67" t="s">
        <v>1246</v>
      </c>
      <c r="Y35" s="68" t="s">
        <v>1247</v>
      </c>
      <c r="Z35" s="70"/>
    </row>
    <row r="36" spans="1:26" ht="16.5" customHeight="1">
      <c r="A36" s="69"/>
      <c r="W36" s="66" t="s">
        <v>1248</v>
      </c>
      <c r="X36" s="67" t="s">
        <v>1873</v>
      </c>
      <c r="Y36" s="68" t="s">
        <v>1249</v>
      </c>
      <c r="Z36" s="70"/>
    </row>
    <row r="37" spans="1:26" ht="16.5" customHeight="1">
      <c r="A37" s="69"/>
      <c r="I37" s="64"/>
      <c r="W37" s="66" t="s">
        <v>1250</v>
      </c>
      <c r="X37" s="70"/>
      <c r="Y37" s="68" t="s">
        <v>1251</v>
      </c>
      <c r="Z37" s="70"/>
    </row>
    <row r="38" spans="1:26" ht="16.5" customHeight="1">
      <c r="A38" s="69"/>
      <c r="I38" s="64"/>
      <c r="W38" s="70"/>
      <c r="X38" s="70"/>
      <c r="Y38" s="68" t="s">
        <v>1252</v>
      </c>
      <c r="Z38" s="70"/>
    </row>
    <row r="39" spans="1:26" ht="16.5" customHeight="1">
      <c r="A39" s="69"/>
      <c r="I39" s="64"/>
      <c r="W39" s="70"/>
      <c r="X39" s="70"/>
      <c r="Y39" s="68" t="s">
        <v>1253</v>
      </c>
      <c r="Z39" s="70"/>
    </row>
    <row r="40" spans="1:26" ht="16.5" customHeight="1">
      <c r="A40" s="69"/>
      <c r="I40" s="64"/>
      <c r="W40" s="70"/>
      <c r="X40" s="70"/>
      <c r="Y40" s="68" t="s">
        <v>1254</v>
      </c>
      <c r="Z40" s="70"/>
    </row>
    <row r="41" spans="1:26" ht="16.5" customHeight="1">
      <c r="A41" s="69"/>
      <c r="I41" s="64"/>
      <c r="W41" s="70"/>
      <c r="X41" s="70"/>
      <c r="Y41" s="182" t="s">
        <v>1865</v>
      </c>
      <c r="Z41" s="70"/>
    </row>
    <row r="42" spans="1:26" ht="16.5" customHeight="1">
      <c r="A42" s="69"/>
      <c r="I42" s="64"/>
      <c r="W42" s="70"/>
      <c r="X42" s="70"/>
      <c r="Y42" s="183" t="s">
        <v>1866</v>
      </c>
      <c r="Z42" s="70"/>
    </row>
    <row r="43" spans="1:26" ht="16.5" customHeight="1">
      <c r="A43" s="69"/>
      <c r="I43" s="64"/>
      <c r="W43" s="70"/>
      <c r="X43" s="70"/>
      <c r="Y43" s="183" t="s">
        <v>1868</v>
      </c>
      <c r="Z43" s="70"/>
    </row>
    <row r="44" spans="1:26" ht="16.5" customHeight="1">
      <c r="A44" s="69"/>
      <c r="I44" s="64"/>
      <c r="W44" s="70"/>
      <c r="X44" s="70"/>
      <c r="Y44" s="183" t="s">
        <v>1869</v>
      </c>
      <c r="Z44" s="70"/>
    </row>
    <row r="45" spans="1:26" ht="16.5" customHeight="1">
      <c r="A45" s="69"/>
      <c r="I45" s="64"/>
      <c r="W45" s="70"/>
      <c r="X45" s="70"/>
      <c r="Y45" s="183" t="s">
        <v>1876</v>
      </c>
      <c r="Z45" s="70"/>
    </row>
    <row r="46" spans="1:26" ht="16.5" customHeight="1">
      <c r="A46" s="69"/>
      <c r="I46" s="64"/>
      <c r="W46" s="70"/>
      <c r="X46" s="70"/>
      <c r="Y46" s="183" t="s">
        <v>1878</v>
      </c>
      <c r="Z46" s="70"/>
    </row>
    <row r="47" spans="1:26" ht="16.5" customHeight="1">
      <c r="A47" s="69"/>
      <c r="I47" s="64"/>
      <c r="W47" s="70"/>
      <c r="X47" s="70"/>
      <c r="Y47" s="183" t="s">
        <v>1881</v>
      </c>
      <c r="Z47" s="70"/>
    </row>
    <row r="48" spans="1:26" ht="16.5" customHeight="1">
      <c r="A48" s="69"/>
      <c r="I48" s="64"/>
      <c r="W48" s="70"/>
      <c r="X48" s="70"/>
      <c r="Y48" s="183" t="s">
        <v>1883</v>
      </c>
      <c r="Z48" s="70"/>
    </row>
    <row r="49" spans="1:26" ht="16.5" customHeight="1">
      <c r="A49" s="69"/>
      <c r="I49" s="64"/>
      <c r="W49" s="70"/>
      <c r="X49" s="70"/>
      <c r="Y49" s="183" t="s">
        <v>1884</v>
      </c>
      <c r="Z49" s="70"/>
    </row>
    <row r="50" spans="1:26" ht="16.5" customHeight="1">
      <c r="A50" s="69"/>
      <c r="I50" s="64"/>
      <c r="W50" s="70"/>
      <c r="X50" s="70"/>
      <c r="Y50" s="183" t="s">
        <v>1890</v>
      </c>
      <c r="Z50" s="70"/>
    </row>
    <row r="51" spans="1:26" ht="16.5" customHeight="1">
      <c r="A51" s="69"/>
      <c r="W51" s="70"/>
      <c r="X51" s="70"/>
      <c r="Y51" s="182" t="s">
        <v>2178</v>
      </c>
      <c r="Z51" s="70"/>
    </row>
    <row r="52" spans="1:26" ht="16.5" customHeight="1">
      <c r="A52" s="69"/>
      <c r="W52" s="70"/>
      <c r="X52" s="70"/>
      <c r="Y52" s="183" t="s">
        <v>1929</v>
      </c>
      <c r="Z52" s="70"/>
    </row>
    <row r="53" spans="1:26" ht="16.5" customHeight="1">
      <c r="A53" s="69"/>
      <c r="W53" s="70"/>
      <c r="X53" s="70"/>
      <c r="Y53" s="183" t="s">
        <v>1937</v>
      </c>
      <c r="Z53" s="70"/>
    </row>
    <row r="54" spans="1:26" ht="16.5" customHeight="1">
      <c r="A54" s="69"/>
      <c r="W54" s="70"/>
      <c r="X54" s="70"/>
      <c r="Y54" s="183" t="s">
        <v>1908</v>
      </c>
      <c r="Z54" s="70"/>
    </row>
    <row r="55" spans="1:26" ht="16.5" customHeight="1">
      <c r="A55" s="69"/>
      <c r="W55" s="70"/>
      <c r="X55" s="70"/>
      <c r="Z55" s="70"/>
    </row>
    <row r="56" spans="1:26" ht="16.5" customHeight="1">
      <c r="A56" s="69"/>
      <c r="W56" s="70"/>
      <c r="X56" s="70"/>
      <c r="Y56" s="70"/>
      <c r="Z56" s="70"/>
    </row>
    <row r="57" spans="1:26" ht="16.5" customHeight="1">
      <c r="A57" s="69"/>
      <c r="W57" s="70"/>
      <c r="X57" s="70"/>
      <c r="Y57" s="70"/>
      <c r="Z57" s="70"/>
    </row>
    <row r="58" spans="1:26" ht="16.5" customHeight="1">
      <c r="A58" s="69"/>
      <c r="W58" s="70"/>
      <c r="X58" s="70"/>
      <c r="Y58" s="70"/>
      <c r="Z58" s="70"/>
    </row>
    <row r="59" spans="1:26" ht="16.5" customHeight="1">
      <c r="A59" s="69"/>
      <c r="W59" s="70"/>
      <c r="X59" s="70"/>
      <c r="Y59" s="70"/>
      <c r="Z59" s="70"/>
    </row>
    <row r="60" spans="1:26" ht="16.5" customHeight="1">
      <c r="A60" s="69"/>
      <c r="W60" s="70"/>
      <c r="X60" s="70"/>
      <c r="Y60" s="70"/>
      <c r="Z60" s="70"/>
    </row>
    <row r="61" spans="1:26" ht="16.5" customHeight="1">
      <c r="A61" s="69"/>
      <c r="W61" s="70"/>
      <c r="X61" s="70"/>
      <c r="Y61" s="70"/>
      <c r="Z61" s="70"/>
    </row>
    <row r="62" spans="1:26" ht="16.5" customHeight="1">
      <c r="A62" s="69"/>
      <c r="W62" s="70"/>
      <c r="X62" s="70"/>
      <c r="Y62" s="70"/>
      <c r="Z62" s="70"/>
    </row>
    <row r="63" spans="1:26" ht="16.5" customHeight="1">
      <c r="A63" s="69"/>
      <c r="W63" s="70"/>
      <c r="X63" s="70"/>
      <c r="Y63" s="70"/>
      <c r="Z63" s="70"/>
    </row>
    <row r="64" spans="1:26" ht="16.5" customHeight="1">
      <c r="A64" s="69"/>
      <c r="W64" s="70"/>
      <c r="X64" s="70"/>
      <c r="Y64" s="70"/>
      <c r="Z64" s="70"/>
    </row>
    <row r="65" spans="1:26" ht="16.5" customHeight="1">
      <c r="A65" s="69"/>
      <c r="W65" s="70"/>
      <c r="X65" s="70"/>
      <c r="Y65" s="70"/>
      <c r="Z65" s="70"/>
    </row>
    <row r="66" spans="1:26" ht="16.5" customHeight="1">
      <c r="A66" s="69"/>
      <c r="W66" s="70"/>
      <c r="X66" s="70"/>
      <c r="Y66" s="70"/>
      <c r="Z66" s="70"/>
    </row>
    <row r="67" spans="1:26" ht="16.5" customHeight="1">
      <c r="A67" s="69"/>
      <c r="W67" s="70"/>
      <c r="X67" s="70"/>
      <c r="Y67" s="70"/>
      <c r="Z67" s="70"/>
    </row>
    <row r="68" spans="1:26" ht="16.5" customHeight="1">
      <c r="A68" s="69"/>
      <c r="W68" s="70"/>
      <c r="X68" s="70"/>
      <c r="Y68" s="70"/>
      <c r="Z68" s="70"/>
    </row>
    <row r="69" spans="1:26" ht="16.5" customHeight="1">
      <c r="A69" s="69"/>
      <c r="W69" s="70"/>
      <c r="X69" s="70"/>
      <c r="Y69" s="70"/>
      <c r="Z69" s="70"/>
    </row>
    <row r="70" spans="1:26" ht="16.5" customHeight="1">
      <c r="A70" s="69"/>
      <c r="W70" s="70"/>
      <c r="X70" s="70"/>
      <c r="Y70" s="70"/>
      <c r="Z70" s="70"/>
    </row>
    <row r="71" spans="1:26" ht="16.5" customHeight="1">
      <c r="A71" s="69"/>
      <c r="W71" s="70"/>
      <c r="X71" s="70"/>
      <c r="Y71" s="70"/>
      <c r="Z71" s="70"/>
    </row>
    <row r="72" spans="1:26" ht="16.5" customHeight="1">
      <c r="A72" s="69"/>
      <c r="W72" s="70"/>
      <c r="X72" s="70"/>
      <c r="Y72" s="70"/>
      <c r="Z72" s="70"/>
    </row>
    <row r="73" spans="1:26" ht="16.5" customHeight="1">
      <c r="A73" s="69"/>
      <c r="W73" s="70"/>
      <c r="X73" s="70"/>
      <c r="Y73" s="70"/>
      <c r="Z73" s="70"/>
    </row>
    <row r="74" spans="1:26" ht="16.5" customHeight="1">
      <c r="A74" s="69"/>
      <c r="W74" s="70"/>
      <c r="X74" s="70"/>
      <c r="Y74" s="70"/>
      <c r="Z74" s="70"/>
    </row>
    <row r="75" spans="1:26" ht="16.5" customHeight="1">
      <c r="A75" s="69"/>
      <c r="W75" s="70"/>
      <c r="X75" s="70"/>
      <c r="Y75" s="70"/>
      <c r="Z75" s="70"/>
    </row>
    <row r="76" spans="1:26" ht="16.5" customHeight="1">
      <c r="A76" s="69"/>
      <c r="W76" s="70"/>
      <c r="X76" s="70"/>
      <c r="Y76" s="70"/>
      <c r="Z76" s="70"/>
    </row>
    <row r="77" spans="1:26" ht="16.5" customHeight="1">
      <c r="A77" s="69"/>
      <c r="W77" s="70"/>
      <c r="X77" s="70"/>
      <c r="Y77" s="70"/>
      <c r="Z77" s="70"/>
    </row>
    <row r="78" spans="1:26" ht="16.5" customHeight="1">
      <c r="A78" s="69"/>
      <c r="W78" s="70"/>
      <c r="X78" s="70"/>
      <c r="Y78" s="70"/>
      <c r="Z78" s="70"/>
    </row>
    <row r="79" spans="1:26" ht="16.5" customHeight="1">
      <c r="A79" s="69"/>
      <c r="W79" s="70"/>
      <c r="X79" s="70"/>
      <c r="Y79" s="70"/>
      <c r="Z79" s="70"/>
    </row>
    <row r="80" spans="1:26" ht="16.5" customHeight="1">
      <c r="A80" s="69"/>
      <c r="W80" s="70"/>
      <c r="X80" s="70"/>
      <c r="Y80" s="70"/>
      <c r="Z80" s="70"/>
    </row>
    <row r="81" spans="23:26" ht="16.5" customHeight="1">
      <c r="W81" s="70"/>
      <c r="X81" s="70"/>
      <c r="Y81" s="70"/>
      <c r="Z81" s="70"/>
    </row>
    <row r="82" spans="23:26" ht="16.5" customHeight="1">
      <c r="W82" s="70"/>
      <c r="X82" s="70"/>
      <c r="Y82" s="70"/>
      <c r="Z82" s="70"/>
    </row>
    <row r="83" spans="23:26" ht="16.5" customHeight="1">
      <c r="W83" s="70"/>
      <c r="X83" s="70"/>
      <c r="Y83" s="70"/>
      <c r="Z83" s="70"/>
    </row>
    <row r="84" spans="23:26" ht="16.5" customHeight="1">
      <c r="W84" s="70"/>
      <c r="X84" s="70"/>
      <c r="Y84" s="70"/>
      <c r="Z84" s="70"/>
    </row>
    <row r="85" spans="23:26" ht="16.5" customHeight="1">
      <c r="W85" s="70"/>
      <c r="X85" s="70"/>
      <c r="Y85" s="70"/>
      <c r="Z85" s="70"/>
    </row>
    <row r="86" spans="23:26" ht="16.5" customHeight="1">
      <c r="W86" s="70"/>
      <c r="X86" s="70"/>
      <c r="Y86" s="70"/>
      <c r="Z86" s="70"/>
    </row>
    <row r="87" spans="23:26" ht="16.5" customHeight="1">
      <c r="W87" s="70"/>
      <c r="X87" s="70"/>
      <c r="Y87" s="70"/>
      <c r="Z87" s="70"/>
    </row>
    <row r="88" spans="23:26" ht="16.5" customHeight="1">
      <c r="W88" s="70"/>
      <c r="X88" s="70"/>
      <c r="Y88" s="70"/>
      <c r="Z88" s="70"/>
    </row>
    <row r="89" spans="23:26" ht="16.5" customHeight="1">
      <c r="W89" s="70"/>
      <c r="X89" s="70"/>
      <c r="Y89" s="70"/>
      <c r="Z89" s="70"/>
    </row>
    <row r="90" spans="23:26" ht="16.5" customHeight="1">
      <c r="W90" s="70"/>
      <c r="X90" s="70"/>
      <c r="Y90" s="70"/>
      <c r="Z90" s="70"/>
    </row>
    <row r="91" spans="23:26" ht="16.5" customHeight="1">
      <c r="W91" s="70"/>
      <c r="X91" s="70"/>
      <c r="Y91" s="70"/>
      <c r="Z91" s="70"/>
    </row>
    <row r="92" spans="23:26" ht="16.5" customHeight="1">
      <c r="W92" s="70"/>
      <c r="X92" s="70"/>
      <c r="Y92" s="70"/>
      <c r="Z92" s="70"/>
    </row>
    <row r="93" spans="23:26" ht="16.5" customHeight="1">
      <c r="W93" s="70"/>
      <c r="X93" s="70"/>
      <c r="Y93" s="70"/>
      <c r="Z93" s="70"/>
    </row>
    <row r="94" spans="23:26" ht="16.5" customHeight="1">
      <c r="W94" s="70"/>
      <c r="X94" s="70"/>
      <c r="Y94" s="70"/>
      <c r="Z94" s="70"/>
    </row>
    <row r="95" spans="23:26" ht="16.5" customHeight="1">
      <c r="W95" s="70"/>
      <c r="X95" s="70"/>
      <c r="Y95" s="70"/>
      <c r="Z95" s="70"/>
    </row>
    <row r="96" spans="23:26" ht="16.5" customHeight="1">
      <c r="W96" s="70"/>
      <c r="X96" s="70"/>
      <c r="Y96" s="70"/>
      <c r="Z96" s="70"/>
    </row>
    <row r="97" spans="23:26" ht="16.5" customHeight="1">
      <c r="W97" s="70"/>
      <c r="X97" s="70"/>
      <c r="Y97" s="70"/>
      <c r="Z97" s="70"/>
    </row>
    <row r="98" spans="23:26" ht="16.5" customHeight="1">
      <c r="W98" s="70"/>
      <c r="X98" s="70"/>
      <c r="Y98" s="70"/>
      <c r="Z98" s="70"/>
    </row>
    <row r="99" spans="23:26" ht="16.5" customHeight="1">
      <c r="W99" s="70"/>
      <c r="X99" s="70"/>
      <c r="Y99" s="70"/>
      <c r="Z99" s="70"/>
    </row>
    <row r="100" spans="23:26" ht="16.5" customHeight="1">
      <c r="W100" s="70"/>
      <c r="X100" s="70"/>
      <c r="Y100" s="70"/>
      <c r="Z100" s="70"/>
    </row>
    <row r="101" spans="23:26" ht="16.5" customHeight="1">
      <c r="W101" s="70"/>
      <c r="X101" s="70"/>
      <c r="Y101" s="70"/>
      <c r="Z101" s="70"/>
    </row>
    <row r="102" spans="23:26" ht="16.5" customHeight="1">
      <c r="W102" s="70"/>
      <c r="X102" s="70"/>
      <c r="Y102" s="70"/>
      <c r="Z102" s="70"/>
    </row>
    <row r="103" spans="23:26" ht="16.5" customHeight="1">
      <c r="W103" s="70"/>
      <c r="X103" s="70"/>
      <c r="Y103" s="70"/>
      <c r="Z103" s="70"/>
    </row>
    <row r="104" spans="23:26" ht="16.5" customHeight="1">
      <c r="W104" s="70"/>
      <c r="X104" s="70"/>
      <c r="Y104" s="70"/>
      <c r="Z104" s="70"/>
    </row>
    <row r="105" spans="23:26" ht="16.5" customHeight="1">
      <c r="W105" s="70"/>
      <c r="X105" s="70"/>
      <c r="Y105" s="70"/>
      <c r="Z105" s="70"/>
    </row>
    <row r="106" spans="23:26" ht="16.5" customHeight="1">
      <c r="W106" s="70"/>
      <c r="X106" s="70"/>
      <c r="Y106" s="70"/>
      <c r="Z106" s="70"/>
    </row>
    <row r="107" spans="23:26" ht="16.5" customHeight="1">
      <c r="W107" s="70"/>
      <c r="X107" s="70"/>
      <c r="Y107" s="70"/>
      <c r="Z107" s="70"/>
    </row>
    <row r="108" spans="23:26" ht="16.5" customHeight="1">
      <c r="W108" s="70"/>
      <c r="X108" s="70"/>
      <c r="Y108" s="70"/>
      <c r="Z108" s="70"/>
    </row>
    <row r="109" spans="23:26" ht="16.5" customHeight="1">
      <c r="W109" s="70"/>
      <c r="X109" s="70"/>
      <c r="Y109" s="70"/>
      <c r="Z109" s="70"/>
    </row>
    <row r="110" spans="23:26" ht="16.5" customHeight="1">
      <c r="W110" s="70"/>
      <c r="X110" s="70"/>
      <c r="Y110" s="70"/>
      <c r="Z110" s="70"/>
    </row>
    <row r="111" spans="23:26" ht="16.5" customHeight="1">
      <c r="W111" s="70"/>
      <c r="X111" s="70"/>
      <c r="Y111" s="70"/>
      <c r="Z111" s="70"/>
    </row>
    <row r="112" spans="23:26" ht="16.5" customHeight="1">
      <c r="W112" s="70"/>
      <c r="X112" s="70"/>
      <c r="Y112" s="70"/>
      <c r="Z112" s="70"/>
    </row>
    <row r="113" spans="23:26" ht="16.5" customHeight="1">
      <c r="W113" s="70"/>
      <c r="X113" s="70"/>
      <c r="Y113" s="70"/>
      <c r="Z113" s="70"/>
    </row>
    <row r="114" spans="23:26" ht="16.5" customHeight="1">
      <c r="W114" s="70"/>
      <c r="X114" s="70"/>
      <c r="Y114" s="70"/>
      <c r="Z114" s="70"/>
    </row>
    <row r="115" spans="23:26" ht="16.5" customHeight="1">
      <c r="W115" s="70"/>
      <c r="X115" s="70"/>
      <c r="Y115" s="70"/>
      <c r="Z115" s="70"/>
    </row>
    <row r="116" spans="23:26" ht="16.5" customHeight="1">
      <c r="W116" s="70"/>
      <c r="X116" s="70"/>
      <c r="Y116" s="70"/>
      <c r="Z116" s="70"/>
    </row>
    <row r="117" spans="23:26" ht="16.5" customHeight="1">
      <c r="W117" s="70"/>
      <c r="X117" s="70"/>
      <c r="Y117" s="70"/>
      <c r="Z117" s="70"/>
    </row>
    <row r="118" spans="23:26" ht="16.5" customHeight="1">
      <c r="W118" s="70"/>
      <c r="X118" s="70"/>
      <c r="Y118" s="70"/>
      <c r="Z118" s="70"/>
    </row>
    <row r="119" spans="23:26" ht="16.5" customHeight="1">
      <c r="W119" s="70"/>
      <c r="X119" s="70"/>
      <c r="Y119" s="70"/>
      <c r="Z119" s="70"/>
    </row>
    <row r="120" spans="23:26" ht="16.5" customHeight="1">
      <c r="W120" s="70"/>
      <c r="X120" s="70"/>
      <c r="Y120" s="70"/>
      <c r="Z120" s="70"/>
    </row>
    <row r="121" spans="23:26" ht="16.5" customHeight="1">
      <c r="W121" s="70"/>
      <c r="X121" s="70"/>
      <c r="Y121" s="70"/>
      <c r="Z121" s="70"/>
    </row>
    <row r="122" spans="23:26" ht="16.5" customHeight="1">
      <c r="W122" s="70"/>
      <c r="X122" s="70"/>
      <c r="Y122" s="70"/>
      <c r="Z122" s="70"/>
    </row>
    <row r="123" spans="23:26" ht="16.5" customHeight="1">
      <c r="W123" s="70"/>
      <c r="X123" s="70"/>
      <c r="Y123" s="70"/>
      <c r="Z123" s="70"/>
    </row>
    <row r="124" spans="23:26" ht="16.5" customHeight="1">
      <c r="W124" s="70"/>
      <c r="X124" s="70"/>
      <c r="Y124" s="70"/>
      <c r="Z124" s="70"/>
    </row>
    <row r="125" spans="23:26" ht="16.5" customHeight="1">
      <c r="W125" s="70"/>
      <c r="X125" s="70"/>
      <c r="Y125" s="70"/>
      <c r="Z125" s="70"/>
    </row>
    <row r="126" spans="23:26" ht="16.5" customHeight="1">
      <c r="W126" s="70"/>
      <c r="X126" s="70"/>
      <c r="Y126" s="70"/>
      <c r="Z126" s="70"/>
    </row>
    <row r="127" spans="23:26" ht="16.5" customHeight="1">
      <c r="W127" s="70"/>
      <c r="X127" s="70"/>
      <c r="Y127" s="70"/>
      <c r="Z127" s="70"/>
    </row>
    <row r="128" spans="23:26" ht="16.5" customHeight="1">
      <c r="W128" s="70"/>
      <c r="X128" s="70"/>
      <c r="Y128" s="70"/>
      <c r="Z128" s="70"/>
    </row>
    <row r="129" spans="22:26" ht="16.5" customHeight="1">
      <c r="W129" s="70"/>
      <c r="X129" s="70"/>
      <c r="Y129" s="70"/>
      <c r="Z129" s="70"/>
    </row>
    <row r="130" spans="22:26" ht="16.5" customHeight="1">
      <c r="V130" s="184"/>
      <c r="W130" s="184"/>
      <c r="X130" s="184"/>
      <c r="Y130" s="184"/>
      <c r="Z130" s="70"/>
    </row>
    <row r="131" spans="22:26" ht="16.5" customHeight="1">
      <c r="V131" s="184"/>
      <c r="W131" s="184"/>
      <c r="X131" s="184"/>
      <c r="Y131" s="184"/>
      <c r="Z131" s="70"/>
    </row>
    <row r="132" spans="22:26" ht="16.5" customHeight="1">
      <c r="V132" s="184"/>
      <c r="W132" s="184"/>
      <c r="X132" s="184"/>
      <c r="Y132" s="184"/>
      <c r="Z132" s="184"/>
    </row>
    <row r="133" spans="22:26" ht="16.5" customHeight="1">
      <c r="V133" s="184"/>
      <c r="W133" s="184"/>
      <c r="X133" s="184"/>
      <c r="Y133" s="184"/>
      <c r="Z133" s="184"/>
    </row>
    <row r="134" spans="22:26" ht="16.5" customHeight="1">
      <c r="V134" s="184"/>
      <c r="W134" s="184"/>
      <c r="X134" s="184"/>
      <c r="Y134" s="184"/>
      <c r="Z134" s="184"/>
    </row>
    <row r="135" spans="22:26" ht="16.5" customHeight="1">
      <c r="V135" s="184"/>
      <c r="W135" s="184"/>
      <c r="X135" s="184"/>
      <c r="Y135" s="184"/>
      <c r="Z135" s="184"/>
    </row>
    <row r="136" spans="22:26" ht="16.5" customHeight="1">
      <c r="V136" s="184"/>
      <c r="W136" s="184"/>
      <c r="X136" s="184"/>
      <c r="Y136" s="184"/>
      <c r="Z136" s="184"/>
    </row>
    <row r="137" spans="22:26" ht="16.5" customHeight="1">
      <c r="V137" s="184"/>
      <c r="W137" s="184"/>
      <c r="X137" s="184"/>
      <c r="Y137" s="184"/>
      <c r="Z137" s="184"/>
    </row>
    <row r="138" spans="22:26" ht="16.5" customHeight="1">
      <c r="V138" s="184"/>
      <c r="W138" s="184"/>
      <c r="X138" s="184"/>
      <c r="Y138" s="184"/>
      <c r="Z138" s="184"/>
    </row>
    <row r="139" spans="22:26" ht="16.5" customHeight="1">
      <c r="V139" s="184"/>
      <c r="W139" s="184"/>
      <c r="X139" s="184"/>
      <c r="Y139" s="184"/>
      <c r="Z139" s="184"/>
    </row>
    <row r="140" spans="22:26" ht="16.5" customHeight="1">
      <c r="V140" s="184"/>
      <c r="W140" s="184"/>
      <c r="X140" s="184"/>
      <c r="Y140" s="184"/>
      <c r="Z140" s="184"/>
    </row>
    <row r="141" spans="22:26" ht="16.5" customHeight="1">
      <c r="V141" s="184"/>
      <c r="W141" s="184"/>
      <c r="X141" s="184"/>
      <c r="Y141" s="184"/>
      <c r="Z141" s="184"/>
    </row>
    <row r="142" spans="22:26" ht="16.5" customHeight="1">
      <c r="V142" s="184"/>
      <c r="W142" s="184"/>
      <c r="X142" s="184"/>
      <c r="Y142" s="184"/>
      <c r="Z142" s="184"/>
    </row>
    <row r="143" spans="22:26" ht="16.5" customHeight="1">
      <c r="V143" s="184"/>
      <c r="W143" s="184"/>
      <c r="X143" s="184"/>
      <c r="Y143" s="184"/>
      <c r="Z143" s="184"/>
    </row>
    <row r="144" spans="22:26" ht="16.5" customHeight="1">
      <c r="V144" s="184"/>
      <c r="W144" s="184"/>
      <c r="X144" s="184"/>
      <c r="Y144" s="184"/>
      <c r="Z144" s="184"/>
    </row>
    <row r="145" spans="22:26" ht="16.5" customHeight="1">
      <c r="V145" s="184"/>
      <c r="W145" s="184"/>
      <c r="X145" s="184"/>
      <c r="Y145" s="184"/>
      <c r="Z145" s="184"/>
    </row>
    <row r="146" spans="22:26" ht="16.5" customHeight="1">
      <c r="V146" s="184"/>
      <c r="W146" s="184"/>
      <c r="X146" s="184"/>
      <c r="Y146" s="184"/>
      <c r="Z146" s="184"/>
    </row>
    <row r="147" spans="22:26" ht="16.5" customHeight="1">
      <c r="V147" s="184"/>
      <c r="W147" s="184"/>
      <c r="X147" s="184"/>
      <c r="Y147" s="184"/>
      <c r="Z147" s="184"/>
    </row>
    <row r="148" spans="22:26" ht="16.5" customHeight="1">
      <c r="V148" s="184"/>
      <c r="W148" s="184"/>
      <c r="X148" s="184"/>
      <c r="Y148" s="184"/>
      <c r="Z148" s="184"/>
    </row>
    <row r="149" spans="22:26" ht="16.5" customHeight="1">
      <c r="V149" s="184"/>
      <c r="W149" s="184"/>
      <c r="X149" s="184"/>
      <c r="Y149" s="184"/>
      <c r="Z149" s="184"/>
    </row>
    <row r="150" spans="22:26" ht="16.5" customHeight="1">
      <c r="V150" s="184"/>
      <c r="W150" s="184"/>
      <c r="X150" s="184"/>
      <c r="Y150" s="184"/>
      <c r="Z150" s="184"/>
    </row>
    <row r="151" spans="22:26" ht="16.5" customHeight="1">
      <c r="V151" s="184"/>
      <c r="W151" s="184"/>
      <c r="X151" s="184"/>
      <c r="Y151" s="184"/>
      <c r="Z151" s="184"/>
    </row>
    <row r="152" spans="22:26" ht="16.5" customHeight="1">
      <c r="V152" s="184"/>
      <c r="W152" s="184"/>
      <c r="X152" s="184"/>
      <c r="Y152" s="184"/>
      <c r="Z152" s="184"/>
    </row>
    <row r="153" spans="22:26" ht="16.5" customHeight="1">
      <c r="V153" s="184"/>
      <c r="W153" s="184"/>
      <c r="X153" s="184"/>
      <c r="Y153" s="184"/>
      <c r="Z153" s="184"/>
    </row>
    <row r="154" spans="22:26" ht="16.5" customHeight="1">
      <c r="V154" s="184"/>
      <c r="W154" s="184"/>
      <c r="X154" s="184"/>
      <c r="Y154" s="184"/>
      <c r="Z154" s="184"/>
    </row>
    <row r="155" spans="22:26" ht="16.5" customHeight="1">
      <c r="V155" s="184"/>
      <c r="W155" s="184"/>
      <c r="X155" s="184"/>
      <c r="Y155" s="184"/>
      <c r="Z155" s="184"/>
    </row>
    <row r="156" spans="22:26" ht="16.5" customHeight="1">
      <c r="V156" s="184"/>
      <c r="W156" s="184"/>
      <c r="X156" s="184"/>
      <c r="Y156" s="184"/>
      <c r="Z156" s="184"/>
    </row>
    <row r="157" spans="22:26" ht="16.5" customHeight="1">
      <c r="V157" s="184"/>
      <c r="W157" s="184"/>
      <c r="X157" s="184"/>
      <c r="Y157" s="184"/>
      <c r="Z157" s="184"/>
    </row>
    <row r="158" spans="22:26" ht="16.5" customHeight="1">
      <c r="V158" s="184"/>
      <c r="W158" s="184"/>
      <c r="X158" s="184"/>
      <c r="Y158" s="184"/>
      <c r="Z158" s="184"/>
    </row>
    <row r="159" spans="22:26" ht="16.5" customHeight="1">
      <c r="V159" s="184"/>
      <c r="W159" s="184"/>
      <c r="X159" s="184"/>
      <c r="Y159" s="184"/>
      <c r="Z159" s="184"/>
    </row>
    <row r="160" spans="22:26" ht="16.5" customHeight="1">
      <c r="V160" s="184"/>
      <c r="W160" s="184"/>
      <c r="X160" s="184"/>
      <c r="Y160" s="184"/>
      <c r="Z160" s="184"/>
    </row>
    <row r="161" spans="22:26" ht="16.5" customHeight="1">
      <c r="V161" s="184"/>
      <c r="W161" s="184"/>
      <c r="X161" s="184"/>
      <c r="Y161" s="184"/>
      <c r="Z161" s="184"/>
    </row>
    <row r="162" spans="22:26" ht="16.5" customHeight="1">
      <c r="V162" s="184"/>
      <c r="W162" s="184"/>
      <c r="X162" s="184"/>
      <c r="Y162" s="184"/>
      <c r="Z162" s="184"/>
    </row>
    <row r="163" spans="22:26" ht="16.5" customHeight="1">
      <c r="V163" s="184"/>
      <c r="W163" s="184"/>
      <c r="X163" s="184"/>
      <c r="Y163" s="184"/>
      <c r="Z163" s="184"/>
    </row>
    <row r="164" spans="22:26" ht="16.5" customHeight="1">
      <c r="V164" s="184"/>
      <c r="W164" s="184"/>
      <c r="X164" s="184"/>
      <c r="Y164" s="184"/>
      <c r="Z164" s="184"/>
    </row>
    <row r="165" spans="22:26" ht="16.5" customHeight="1">
      <c r="V165" s="184"/>
      <c r="W165" s="184"/>
      <c r="X165" s="184"/>
      <c r="Y165" s="184"/>
      <c r="Z165" s="184"/>
    </row>
    <row r="166" spans="22:26" ht="16.5" customHeight="1">
      <c r="V166" s="184"/>
      <c r="W166" s="184"/>
      <c r="X166" s="184"/>
      <c r="Y166" s="184"/>
      <c r="Z166" s="184"/>
    </row>
    <row r="167" spans="22:26" ht="16.5" customHeight="1">
      <c r="V167" s="184"/>
      <c r="W167" s="184"/>
      <c r="X167" s="184"/>
      <c r="Y167" s="184"/>
      <c r="Z167" s="184"/>
    </row>
    <row r="168" spans="22:26" ht="16.5" customHeight="1">
      <c r="V168" s="184"/>
      <c r="W168" s="184"/>
      <c r="X168" s="184"/>
      <c r="Y168" s="184"/>
      <c r="Z168" s="184"/>
    </row>
    <row r="169" spans="22:26" ht="16.5" customHeight="1">
      <c r="V169" s="184"/>
      <c r="W169" s="184"/>
      <c r="X169" s="184"/>
      <c r="Y169" s="184"/>
      <c r="Z169" s="184"/>
    </row>
    <row r="170" spans="22:26" ht="16.5" customHeight="1">
      <c r="V170" s="184"/>
      <c r="W170" s="184"/>
      <c r="X170" s="184"/>
      <c r="Y170" s="184"/>
      <c r="Z170" s="184"/>
    </row>
    <row r="171" spans="22:26" ht="16.5" customHeight="1">
      <c r="V171" s="184"/>
      <c r="W171" s="184"/>
      <c r="X171" s="184"/>
      <c r="Y171" s="184"/>
      <c r="Z171" s="184"/>
    </row>
    <row r="172" spans="22:26" ht="16.5" customHeight="1">
      <c r="Z172" s="184"/>
    </row>
    <row r="173" spans="22:26" ht="16.5" customHeight="1">
      <c r="Z173" s="184"/>
    </row>
  </sheetData>
  <sheetProtection password="96F0" sheet="1" objects="1" scenarios="1" selectLockedCells="1"/>
  <dataConsolidate/>
  <mergeCells count="27">
    <mergeCell ref="J7:J10"/>
    <mergeCell ref="J2:J5"/>
    <mergeCell ref="K7:K9"/>
    <mergeCell ref="K10:K27"/>
    <mergeCell ref="K2:L2"/>
    <mergeCell ref="C5:D5"/>
    <mergeCell ref="B7:D8"/>
    <mergeCell ref="B10:H10"/>
    <mergeCell ref="G4:H4"/>
    <mergeCell ref="G5:H5"/>
    <mergeCell ref="F7:H8"/>
    <mergeCell ref="B18:B19"/>
    <mergeCell ref="B21:H21"/>
    <mergeCell ref="B22:H23"/>
    <mergeCell ref="V1:Z1"/>
    <mergeCell ref="C2:D2"/>
    <mergeCell ref="C3:D3"/>
    <mergeCell ref="G2:H2"/>
    <mergeCell ref="G3:H3"/>
    <mergeCell ref="K1:L1"/>
    <mergeCell ref="K3:L3"/>
    <mergeCell ref="B1:H1"/>
    <mergeCell ref="B11:B12"/>
    <mergeCell ref="B14:H14"/>
    <mergeCell ref="B15:H16"/>
    <mergeCell ref="C4:D4"/>
    <mergeCell ref="K4:K6"/>
  </mergeCells>
  <phoneticPr fontId="1" type="noConversion"/>
  <conditionalFormatting sqref="C12:H13 C19:H20">
    <cfRule type="containsBlanks" dxfId="8" priority="18">
      <formula>LEN(TRIM(C12))=0</formula>
    </cfRule>
  </conditionalFormatting>
  <conditionalFormatting sqref="C4:D5 G4:H5">
    <cfRule type="expression" dxfId="7" priority="19">
      <formula>$B$7&lt;&gt;""</formula>
    </cfRule>
  </conditionalFormatting>
  <conditionalFormatting sqref="C18:H18 C11:H11">
    <cfRule type="cellIs" dxfId="6" priority="12" stopIfTrue="1" operator="equal">
      <formula>"?"</formula>
    </cfRule>
    <cfRule type="expression" dxfId="5" priority="13">
      <formula>AND(C11&lt;&gt;"",COUNTIF($V:$V,C11)&gt;0)</formula>
    </cfRule>
    <cfRule type="expression" dxfId="4" priority="14">
      <formula>AND(C11&lt;&gt;"",COUNTIF($W:$W,C11)&gt;0)</formula>
    </cfRule>
    <cfRule type="expression" dxfId="3" priority="15">
      <formula>AND(C11&lt;&gt;"",COUNTIF($X:$X,C11)&gt;0)</formula>
    </cfRule>
    <cfRule type="expression" dxfId="2" priority="16">
      <formula>AND(C11&lt;&gt;"",COUNTIF($Y:$Y,C11)&gt;0)</formula>
    </cfRule>
    <cfRule type="expression" dxfId="1" priority="17">
      <formula>AND(C11&lt;&gt;"",COUNTIF($Z:$Z,C11)&gt;0)</formula>
    </cfRule>
  </conditionalFormatting>
  <conditionalFormatting sqref="C3:D3 G3:H3">
    <cfRule type="expression" dxfId="0" priority="122">
      <formula>$P$2&lt;&gt;""</formula>
    </cfRule>
  </conditionalFormatting>
  <dataValidations count="17">
    <dataValidation type="list" allowBlank="1" showInputMessage="1" showErrorMessage="1" promptTitle="请鼠标点选，勿复制粘贴" prompt=" " sqref="C12:I12 C19:I19">
      <formula1>"√,×"</formula1>
    </dataValidation>
    <dataValidation type="list" allowBlank="1" showInputMessage="1" showErrorMessage="1" promptTitle="请鼠标点选，勿复制粘贴" prompt=" " sqref="H13:I13 I20">
      <formula1>$AG$1:$AG$6</formula1>
    </dataValidation>
    <dataValidation type="list" allowBlank="1" showInputMessage="1" showErrorMessage="1" promptTitle="请鼠标点选，勿复制粘贴" prompt=" " sqref="G13">
      <formula1>$AF$1:$AF$6</formula1>
    </dataValidation>
    <dataValidation type="list" allowBlank="1" showInputMessage="1" showErrorMessage="1" promptTitle="请鼠标点选，勿复制粘贴" prompt=" " sqref="F13">
      <formula1>$AE$1:$AE$6</formula1>
    </dataValidation>
    <dataValidation type="list" allowBlank="1" showInputMessage="1" showErrorMessage="1" promptTitle="请鼠标点选，勿复制粘贴" prompt=" " sqref="E13">
      <formula1>$AD$1:$AD$6</formula1>
    </dataValidation>
    <dataValidation type="list" allowBlank="1" showInputMessage="1" showErrorMessage="1" promptTitle="请鼠标点选，勿复制粘贴" prompt=" " sqref="D13">
      <formula1>$AC$1:$AC$6</formula1>
    </dataValidation>
    <dataValidation type="list" allowBlank="1" showInputMessage="1" showErrorMessage="1" promptTitle="请鼠标点选，勿复制粘贴" prompt=" " sqref="C13">
      <formula1>$AB$1:$AB$6</formula1>
    </dataValidation>
    <dataValidation type="whole" allowBlank="1" showInputMessage="1" showErrorMessage="1" errorTitle="级别出错" error="别逗了好吗？&#10;清输入正确的英雄级别" sqref="C4:D4 G4:I4">
      <formula1>1</formula1>
      <formula2>90</formula2>
    </dataValidation>
    <dataValidation type="list" allowBlank="1" showInputMessage="1" showErrorMessage="1" error="英雄名称不正确" sqref="G2:H2 C2:D2">
      <formula1>中介表格1!$B1:$B51</formula1>
    </dataValidation>
    <dataValidation type="list" allowBlank="1" showInputMessage="1" showErrorMessage="1" error="星数错误,请直接在下拉菜单中选取" sqref="C3:D3 G3:H3">
      <formula1>中介表格1!$E1:$E5</formula1>
    </dataValidation>
    <dataValidation type="list" allowBlank="1" showInputMessage="1" showErrorMessage="1" error="卡色错误,请直接在下拉菜单中选取" sqref="C5:D5 G5:H5">
      <formula1>中介表格1!$E11:$E22</formula1>
    </dataValidation>
    <dataValidation type="list" allowBlank="1" showInputMessage="1" showErrorMessage="1" promptTitle="请鼠标点选，勿复制粘贴" prompt=" " sqref="C20">
      <formula1>$AB$11:$AB$16</formula1>
    </dataValidation>
    <dataValidation type="list" allowBlank="1" showInputMessage="1" showErrorMessage="1" promptTitle="请鼠标点选，勿复制粘贴" prompt=" " sqref="D20">
      <formula1>$AC$11:$AC$16</formula1>
    </dataValidation>
    <dataValidation type="list" allowBlank="1" showInputMessage="1" showErrorMessage="1" promptTitle="请鼠标点选，勿复制粘贴" prompt=" " sqref="E20">
      <formula1>$AD$11:$AD$16</formula1>
    </dataValidation>
    <dataValidation type="list" allowBlank="1" showInputMessage="1" showErrorMessage="1" promptTitle="请鼠标点选，勿复制粘贴" prompt=" " sqref="F20">
      <formula1>$AE$11:$AE$16</formula1>
    </dataValidation>
    <dataValidation type="list" allowBlank="1" showInputMessage="1" showErrorMessage="1" promptTitle="请鼠标点选，勿复制粘贴" prompt=" " sqref="G20">
      <formula1>$AF$11:$AF$16</formula1>
    </dataValidation>
    <dataValidation type="list" allowBlank="1" showInputMessage="1" showErrorMessage="1" promptTitle="请鼠标点选，勿复制粘贴" prompt=" " sqref="H20">
      <formula1>$AG$11:$AG$16</formula1>
    </dataValidation>
  </dataValidations>
  <pageMargins left="0.7" right="0.7" top="0.75" bottom="0.75" header="0.3" footer="0.3"/>
  <pageSetup paperSize="9"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中介表格1!$E$11:$E$22</xm:f>
          </x14:formula1>
          <xm:sqref>C5:D5 G5:I5</xm:sqref>
        </x14:dataValidation>
        <x14:dataValidation type="list" allowBlank="1" showInputMessage="1" showErrorMessage="1">
          <x14:formula1>
            <xm:f>中介表格1!$E$1:$E$5</xm:f>
          </x14:formula1>
          <xm:sqref>C3:D3 G3:I3</xm:sqref>
        </x14:dataValidation>
        <x14:dataValidation type="list" allowBlank="1" showInputMessage="1" showErrorMessage="1">
          <x14:formula1>
            <xm:f>中介表格1!$B$1:$B$50</xm:f>
          </x14:formula1>
          <xm:sqref>C2:D2 G2:I2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C136"/>
  <sheetViews>
    <sheetView topLeftCell="BC26" zoomScale="85" zoomScaleNormal="85" workbookViewId="0">
      <selection activeCell="S56" sqref="S56"/>
    </sheetView>
  </sheetViews>
  <sheetFormatPr defaultRowHeight="13.5" outlineLevelCol="1"/>
  <cols>
    <col min="1" max="3" width="9" style="49" hidden="1" customWidth="1" outlineLevel="1"/>
    <col min="4" max="4" width="9.25" style="49" hidden="1" customWidth="1" outlineLevel="1"/>
    <col min="5" max="5" width="10.375" style="49" hidden="1" customWidth="1" outlineLevel="1"/>
    <col min="6" max="7" width="9" style="49" hidden="1" customWidth="1" outlineLevel="1"/>
    <col min="8" max="8" width="9" style="50" hidden="1" customWidth="1" outlineLevel="1"/>
    <col min="9" max="17" width="8.625" style="50" hidden="1" customWidth="1" outlineLevel="1"/>
    <col min="18" max="20" width="9" style="50" hidden="1" customWidth="1" outlineLevel="1"/>
    <col min="21" max="54" width="9" style="49" hidden="1" customWidth="1" outlineLevel="1"/>
    <col min="55" max="55" width="9" style="49" collapsed="1"/>
    <col min="56" max="16384" width="9" style="49"/>
  </cols>
  <sheetData>
    <row r="1" spans="1:52">
      <c r="A1" s="48" t="s">
        <v>1054</v>
      </c>
      <c r="B1" s="49" t="str">
        <f>英雄初始!A2</f>
        <v>潮汐</v>
      </c>
      <c r="D1" s="48" t="s">
        <v>1056</v>
      </c>
      <c r="E1" s="49" t="s">
        <v>1057</v>
      </c>
      <c r="G1" s="48" t="s">
        <v>1063</v>
      </c>
      <c r="H1" s="50" t="s">
        <v>202</v>
      </c>
      <c r="I1" s="50" t="s">
        <v>1064</v>
      </c>
      <c r="J1" s="50" t="s">
        <v>1065</v>
      </c>
      <c r="K1" s="50" t="s">
        <v>1066</v>
      </c>
      <c r="L1" s="50" t="s">
        <v>1067</v>
      </c>
      <c r="M1" s="50" t="s">
        <v>1068</v>
      </c>
      <c r="N1" s="50" t="s">
        <v>1069</v>
      </c>
      <c r="O1" s="50" t="s">
        <v>1070</v>
      </c>
      <c r="P1" s="50" t="s">
        <v>1071</v>
      </c>
      <c r="Q1" s="50" t="s">
        <v>1072</v>
      </c>
      <c r="R1" s="50" t="s">
        <v>2088</v>
      </c>
      <c r="S1" s="50" t="s">
        <v>2089</v>
      </c>
      <c r="T1" s="50" t="s">
        <v>2090</v>
      </c>
      <c r="V1" s="48" t="s">
        <v>1073</v>
      </c>
      <c r="W1" s="49" t="str">
        <f>IF($V$2&lt;1,"","白")</f>
        <v>白</v>
      </c>
      <c r="X1" s="49" t="str">
        <f>VLOOKUP(单英雄!$C$2,英雄装备!$F:$BZ,2,0)</f>
        <v>树枝</v>
      </c>
      <c r="Y1" s="49" t="str">
        <f>VLOOKUP(单英雄!$C$2,英雄装备!$F:$BZ,3,0)</f>
        <v>敏捷丝袜</v>
      </c>
      <c r="Z1" s="49" t="str">
        <f>VLOOKUP(单英雄!$C$2,英雄装备!$F:$BZ,4,0)</f>
        <v>贵族头环</v>
      </c>
      <c r="AA1" s="49" t="str">
        <f>VLOOKUP(单英雄!$C$2,英雄装备!$F:$BZ,5,0)</f>
        <v>补刀斧</v>
      </c>
      <c r="AB1" s="49" t="str">
        <f>VLOOKUP(单英雄!$C$2,英雄装备!$F:$BZ,6,0)</f>
        <v>小圆盾</v>
      </c>
      <c r="AC1" s="49" t="str">
        <f>VLOOKUP(单英雄!$C$2,英雄装备!$F:$BZ,7,0)</f>
        <v>防御指环</v>
      </c>
      <c r="AF1" s="48" t="s">
        <v>1078</v>
      </c>
      <c r="AG1" s="234" t="s">
        <v>1075</v>
      </c>
      <c r="AH1" s="232" t="s">
        <v>203</v>
      </c>
      <c r="AI1" s="232" t="s">
        <v>3</v>
      </c>
      <c r="AJ1" s="232">
        <f>AJ11+AJ16</f>
        <v>1164.6999999999998</v>
      </c>
      <c r="AK1" s="232" t="s">
        <v>4</v>
      </c>
      <c r="AL1" s="232">
        <f>AL11+AL16</f>
        <v>1424.4</v>
      </c>
      <c r="AM1" s="232" t="s">
        <v>5</v>
      </c>
      <c r="AN1" s="232">
        <f>AN11+AN16</f>
        <v>770.8</v>
      </c>
      <c r="AO1" s="232" t="s">
        <v>203</v>
      </c>
      <c r="AP1" s="232">
        <f>IF(单英雄!$G$2="力量",AJ1,IF(单英雄!$G$2="敏捷",AL1,AN1))</f>
        <v>1424.4</v>
      </c>
    </row>
    <row r="2" spans="1:52">
      <c r="B2" s="49" t="str">
        <f>英雄初始!A3</f>
        <v>船长</v>
      </c>
      <c r="E2" s="49" t="s">
        <v>1058</v>
      </c>
      <c r="I2" s="50" t="s">
        <v>228</v>
      </c>
      <c r="J2" s="50" t="s">
        <v>209</v>
      </c>
      <c r="K2" s="50" t="s">
        <v>210</v>
      </c>
      <c r="L2" s="50" t="s">
        <v>211</v>
      </c>
      <c r="M2" s="50" t="s">
        <v>212</v>
      </c>
      <c r="N2" s="50" t="s">
        <v>213</v>
      </c>
      <c r="O2" s="50" t="s">
        <v>214</v>
      </c>
      <c r="P2" s="50" t="s">
        <v>215</v>
      </c>
      <c r="Q2" s="50" t="s">
        <v>216</v>
      </c>
      <c r="R2" s="50" t="s">
        <v>217</v>
      </c>
      <c r="S2" s="50" t="s">
        <v>2091</v>
      </c>
      <c r="T2" s="50" t="s">
        <v>2092</v>
      </c>
      <c r="V2" s="49">
        <f>MIN(VLOOKUP(单英雄!$C$5,中介表格1!$E$11:$F$22,2,0),IF(单英雄!$C$4&lt;$G$11,1,IF(单英雄!$C$4&lt;$G$12,2,IF(单英雄!$C$4&lt;$G$13,3,IF(单英雄!$C$4&lt;$G$14,4,IF(单英雄!$C$4&lt;$G$15,5,IF(单英雄!$C$4&lt;$G$16,6,IF(单英雄!$C$4&lt;$G$17,7,IF(单英雄!$C$4&lt;$G$18,8,IF(单英雄!$C$4&lt;$G$19,9,IF(单英雄!$C$4&lt;$G$20,10,IF(单英雄!$C$4&lt;$G$21,11,12))))))))))))</f>
        <v>12</v>
      </c>
      <c r="W2" s="49" t="str">
        <f>IF($V$2&lt;2,"","绿")</f>
        <v>绿</v>
      </c>
      <c r="X2" s="49" t="str">
        <f>VLOOKUP(单英雄!$C$2,英雄装备!$F:$BZ,8,0)</f>
        <v>敏捷皮靴</v>
      </c>
      <c r="Y2" s="49" t="str">
        <f>VLOOKUP(单英雄!$C$2,英雄装备!$F:$BZ,9,0)</f>
        <v>屌丝盾</v>
      </c>
      <c r="Z2" s="49" t="str">
        <f>VLOOKUP(单英雄!$C$2,英雄装备!$F:$BZ,10,0)</f>
        <v>敏捷系带</v>
      </c>
      <c r="AA2" s="49" t="str">
        <f>VLOOKUP(单英雄!$C$2,英雄装备!$F:$BZ,11,0)</f>
        <v>圣殿指环</v>
      </c>
      <c r="AB2" s="49" t="str">
        <f>VLOOKUP(单英雄!$C$2,英雄装备!$F:$BZ,12,0)</f>
        <v>小魔棒</v>
      </c>
      <c r="AC2" s="49" t="str">
        <f>VLOOKUP(单英雄!$C$2,英雄装备!$F:$BZ,13,0)</f>
        <v>鞋</v>
      </c>
      <c r="AG2" s="234"/>
      <c r="AH2" s="232"/>
      <c r="AI2" s="232"/>
      <c r="AJ2" s="232"/>
      <c r="AK2" s="232"/>
      <c r="AL2" s="232"/>
      <c r="AM2" s="232"/>
      <c r="AN2" s="232"/>
      <c r="AO2" s="232"/>
      <c r="AP2" s="232"/>
    </row>
    <row r="3" spans="1:52">
      <c r="B3" s="49" t="str">
        <f>英雄初始!A4</f>
        <v>大鱼人</v>
      </c>
      <c r="E3" s="49" t="s">
        <v>1059</v>
      </c>
      <c r="G3" s="49">
        <f>INDEX($H:$T,MATCH(单英雄!$C$2,$H:$H,0),MATCH(单英雄!$C$5,H2:T2,0)-1)</f>
        <v>85</v>
      </c>
      <c r="H3" s="50" t="s">
        <v>157</v>
      </c>
      <c r="I3" s="51">
        <f>MAX(VLOOKUP(INDEX(英雄装备!$F:$BZ,MATCH($H3,英雄装备!$F:$F,0),MATCH(I$2,英雄装备!$1:$1,0)-5),装备属性!$A:$C,3,0),VLOOKUP(INDEX(英雄装备!$F:$BZ,MATCH($H3,英雄装备!$F:$F,0),MATCH(I$2,英雄装备!$1:$1,0)-4),装备属性!$A:$C,3,0),VLOOKUP(INDEX(英雄装备!$F:$BZ,MATCH($H3,英雄装备!$F:$F,0),MATCH(I$2,英雄装备!$1:$1,0)-3),装备属性!$A:$C,3,0),VLOOKUP(INDEX(英雄装备!$F:$BZ,MATCH($H3,英雄装备!$F:$F,0),MATCH(I$2,英雄装备!$1:$1,0)-2),装备属性!$A:$C,3,0),VLOOKUP(INDEX(英雄装备!$F:$BZ,MATCH($H3,英雄装备!$F:$F,0),MATCH(I$2,英雄装备!$1:$1,0)-1),装备属性!$A:$C,3,0),VLOOKUP(INDEX(英雄装备!$F:$BZ,MATCH($H3,英雄装备!$F:$F,0),MATCH(I$2,英雄装备!$1:$1,0)),装备属性!$A:$C,3,0))</f>
        <v>2</v>
      </c>
      <c r="J3" s="51">
        <f>MAX(VLOOKUP(INDEX(英雄装备!$F:$BZ,MATCH($H3,英雄装备!$F:$F,0),MATCH(J$2,英雄装备!$1:$1,0)-5),装备属性!$A:$C,3,0),VLOOKUP(INDEX(英雄装备!$F:$BZ,MATCH($H3,英雄装备!$F:$F,0),MATCH(J$2,英雄装备!$1:$1,0)-4),装备属性!$A:$C,3,0),VLOOKUP(INDEX(英雄装备!$F:$BZ,MATCH($H3,英雄装备!$F:$F,0),MATCH(J$2,英雄装备!$1:$1,0)-3),装备属性!$A:$C,3,0),VLOOKUP(INDEX(英雄装备!$F:$BZ,MATCH($H3,英雄装备!$F:$F,0),MATCH(J$2,英雄装备!$1:$1,0)-2),装备属性!$A:$C,3,0),VLOOKUP(INDEX(英雄装备!$F:$BZ,MATCH($H3,英雄装备!$F:$F,0),MATCH(J$2,英雄装备!$1:$1,0)-1),装备属性!$A:$C,3,0),VLOOKUP(INDEX(英雄装备!$F:$BZ,MATCH($H3,英雄装备!$F:$F,0),MATCH(J$2,英雄装备!$1:$1,0)),装备属性!$A:$C,3,0))</f>
        <v>12</v>
      </c>
      <c r="K3" s="51">
        <f>MAX(VLOOKUP(INDEX(英雄装备!$F:$BZ,MATCH($H3,英雄装备!$F:$F,0),MATCH(K$2,英雄装备!$1:$1,0)-5),装备属性!$A:$C,3,0),VLOOKUP(INDEX(英雄装备!$F:$BZ,MATCH($H3,英雄装备!$F:$F,0),MATCH(K$2,英雄装备!$1:$1,0)-4),装备属性!$A:$C,3,0),VLOOKUP(INDEX(英雄装备!$F:$BZ,MATCH($H3,英雄装备!$F:$F,0),MATCH(K$2,英雄装备!$1:$1,0)-3),装备属性!$A:$C,3,0),VLOOKUP(INDEX(英雄装备!$F:$BZ,MATCH($H3,英雄装备!$F:$F,0),MATCH(K$2,英雄装备!$1:$1,0)-2),装备属性!$A:$C,3,0),VLOOKUP(INDEX(英雄装备!$F:$BZ,MATCH($H3,英雄装备!$F:$F,0),MATCH(K$2,英雄装备!$1:$1,0)-1),装备属性!$A:$C,3,0),VLOOKUP(INDEX(英雄装备!$F:$BZ,MATCH($H3,英雄装备!$F:$F,0),MATCH(K$2,英雄装备!$1:$1,0)),装备属性!$A:$C,3,0))</f>
        <v>22</v>
      </c>
      <c r="L3" s="51">
        <f>MAX(VLOOKUP(INDEX(英雄装备!$F:$BZ,MATCH($H3,英雄装备!$F:$F,0),MATCH(L$2,英雄装备!$1:$1,0)-5),装备属性!$A:$C,3,0),VLOOKUP(INDEX(英雄装备!$F:$BZ,MATCH($H3,英雄装备!$F:$F,0),MATCH(L$2,英雄装备!$1:$1,0)-4),装备属性!$A:$C,3,0),VLOOKUP(INDEX(英雄装备!$F:$BZ,MATCH($H3,英雄装备!$F:$F,0),MATCH(L$2,英雄装备!$1:$1,0)-3),装备属性!$A:$C,3,0),VLOOKUP(INDEX(英雄装备!$F:$BZ,MATCH($H3,英雄装备!$F:$F,0),MATCH(L$2,英雄装备!$1:$1,0)-2),装备属性!$A:$C,3,0),VLOOKUP(INDEX(英雄装备!$F:$BZ,MATCH($H3,英雄装备!$F:$F,0),MATCH(L$2,英雄装备!$1:$1,0)-1),装备属性!$A:$C,3,0),VLOOKUP(INDEX(英雄装备!$F:$BZ,MATCH($H3,英雄装备!$F:$F,0),MATCH(L$2,英雄装备!$1:$1,0)),装备属性!$A:$C,3,0))</f>
        <v>36</v>
      </c>
      <c r="M3" s="51">
        <f>MAX(VLOOKUP(INDEX(英雄装备!$F:$BZ,MATCH($H3,英雄装备!$F:$F,0),MATCH(M$2,英雄装备!$1:$1,0)-5),装备属性!$A:$C,3,0),VLOOKUP(INDEX(英雄装备!$F:$BZ,MATCH($H3,英雄装备!$F:$F,0),MATCH(M$2,英雄装备!$1:$1,0)-4),装备属性!$A:$C,3,0),VLOOKUP(INDEX(英雄装备!$F:$BZ,MATCH($H3,英雄装备!$F:$F,0),MATCH(M$2,英雄装备!$1:$1,0)-3),装备属性!$A:$C,3,0),VLOOKUP(INDEX(英雄装备!$F:$BZ,MATCH($H3,英雄装备!$F:$F,0),MATCH(M$2,英雄装备!$1:$1,0)-2),装备属性!$A:$C,3,0),VLOOKUP(INDEX(英雄装备!$F:$BZ,MATCH($H3,英雄装备!$F:$F,0),MATCH(M$2,英雄装备!$1:$1,0)-1),装备属性!$A:$C,3,0),VLOOKUP(INDEX(英雄装备!$F:$BZ,MATCH($H3,英雄装备!$F:$F,0),MATCH(M$2,英雄装备!$1:$1,0)),装备属性!$A:$C,3,0))</f>
        <v>42</v>
      </c>
      <c r="N3" s="51">
        <f>MAX(VLOOKUP(INDEX(英雄装备!$F:$BZ,MATCH($H3,英雄装备!$F:$F,0),MATCH(N$2,英雄装备!$1:$1,0)-5),装备属性!$A:$C,3,0),VLOOKUP(INDEX(英雄装备!$F:$BZ,MATCH($H3,英雄装备!$F:$F,0),MATCH(N$2,英雄装备!$1:$1,0)-4),装备属性!$A:$C,3,0),VLOOKUP(INDEX(英雄装备!$F:$BZ,MATCH($H3,英雄装备!$F:$F,0),MATCH(N$2,英雄装备!$1:$1,0)-3),装备属性!$A:$C,3,0),VLOOKUP(INDEX(英雄装备!$F:$BZ,MATCH($H3,英雄装备!$F:$F,0),MATCH(N$2,英雄装备!$1:$1,0)-2),装备属性!$A:$C,3,0),VLOOKUP(INDEX(英雄装备!$F:$BZ,MATCH($H3,英雄装备!$F:$F,0),MATCH(N$2,英雄装备!$1:$1,0)-1),装备属性!$A:$C,3,0),VLOOKUP(INDEX(英雄装备!$F:$BZ,MATCH($H3,英雄装备!$F:$F,0),MATCH(N$2,英雄装备!$1:$1,0)),装备属性!$A:$C,3,0))</f>
        <v>51</v>
      </c>
      <c r="O3" s="51">
        <f>MAX(VLOOKUP(INDEX(英雄装备!$F:$BZ,MATCH($H3,英雄装备!$F:$F,0),MATCH(O$2,英雄装备!$1:$1,0)-5),装备属性!$A:$C,3,0),VLOOKUP(INDEX(英雄装备!$F:$BZ,MATCH($H3,英雄装备!$F:$F,0),MATCH(O$2,英雄装备!$1:$1,0)-4),装备属性!$A:$C,3,0),VLOOKUP(INDEX(英雄装备!$F:$BZ,MATCH($H3,英雄装备!$F:$F,0),MATCH(O$2,英雄装备!$1:$1,0)-3),装备属性!$A:$C,3,0),VLOOKUP(INDEX(英雄装备!$F:$BZ,MATCH($H3,英雄装备!$F:$F,0),MATCH(O$2,英雄装备!$1:$1,0)-2),装备属性!$A:$C,3,0),VLOOKUP(INDEX(英雄装备!$F:$BZ,MATCH($H3,英雄装备!$F:$F,0),MATCH(O$2,英雄装备!$1:$1,0)-1),装备属性!$A:$C,3,0),VLOOKUP(INDEX(英雄装备!$F:$BZ,MATCH($H3,英雄装备!$F:$F,0),MATCH(O$2,英雄装备!$1:$1,0)),装备属性!$A:$C,3,0))</f>
        <v>60</v>
      </c>
      <c r="P3" s="51">
        <f>MAX(VLOOKUP(INDEX(英雄装备!$F:$BZ,MATCH($H3,英雄装备!$F:$F,0),MATCH(P$2,英雄装备!$1:$1,0)-5),装备属性!$A:$C,3,0),VLOOKUP(INDEX(英雄装备!$F:$BZ,MATCH($H3,英雄装备!$F:$F,0),MATCH(P$2,英雄装备!$1:$1,0)-4),装备属性!$A:$C,3,0),VLOOKUP(INDEX(英雄装备!$F:$BZ,MATCH($H3,英雄装备!$F:$F,0),MATCH(P$2,英雄装备!$1:$1,0)-3),装备属性!$A:$C,3,0),VLOOKUP(INDEX(英雄装备!$F:$BZ,MATCH($H3,英雄装备!$F:$F,0),MATCH(P$2,英雄装备!$1:$1,0)-2),装备属性!$A:$C,3,0),VLOOKUP(INDEX(英雄装备!$F:$BZ,MATCH($H3,英雄装备!$F:$F,0),MATCH(P$2,英雄装备!$1:$1,0)-1),装备属性!$A:$C,3,0),VLOOKUP(INDEX(英雄装备!$F:$BZ,MATCH($H3,英雄装备!$F:$F,0),MATCH(P$2,英雄装备!$1:$1,0)),装备属性!$A:$C,3,0))</f>
        <v>70</v>
      </c>
      <c r="Q3" s="51">
        <f>MAX(VLOOKUP(INDEX(英雄装备!$F:$BZ,MATCH($H3,英雄装备!$F:$F,0),MATCH(Q$2,英雄装备!$1:$1,0)-5),装备属性!$A:$C,3,0),VLOOKUP(INDEX(英雄装备!$F:$BZ,MATCH($H3,英雄装备!$F:$F,0),MATCH(Q$2,英雄装备!$1:$1,0)-4),装备属性!$A:$C,3,0),VLOOKUP(INDEX(英雄装备!$F:$BZ,MATCH($H3,英雄装备!$F:$F,0),MATCH(Q$2,英雄装备!$1:$1,0)-3),装备属性!$A:$C,3,0),VLOOKUP(INDEX(英雄装备!$F:$BZ,MATCH($H3,英雄装备!$F:$F,0),MATCH(Q$2,英雄装备!$1:$1,0)-2),装备属性!$A:$C,3,0),VLOOKUP(INDEX(英雄装备!$F:$BZ,MATCH($H3,英雄装备!$F:$F,0),MATCH(Q$2,英雄装备!$1:$1,0)-1),装备属性!$A:$C,3,0),VLOOKUP(INDEX(英雄装备!$F:$BZ,MATCH($H3,英雄装备!$F:$F,0),MATCH(Q$2,英雄装备!$1:$1,0)),装备属性!$A:$C,3,0))</f>
        <v>80</v>
      </c>
      <c r="R3" s="51">
        <f>MAX(VLOOKUP(INDEX(英雄装备!$F:$BZ,MATCH($H3,英雄装备!$F:$F,0),MATCH(R$2,英雄装备!$1:$1,0)-5),装备属性!$A:$C,3,0),VLOOKUP(INDEX(英雄装备!$F:$BZ,MATCH($H3,英雄装备!$F:$F,0),MATCH(R$2,英雄装备!$1:$1,0)-4),装备属性!$A:$C,3,0),VLOOKUP(INDEX(英雄装备!$F:$BZ,MATCH($H3,英雄装备!$F:$F,0),MATCH(R$2,英雄装备!$1:$1,0)-3),装备属性!$A:$C,3,0),VLOOKUP(INDEX(英雄装备!$F:$BZ,MATCH($H3,英雄装备!$F:$F,0),MATCH(R$2,英雄装备!$1:$1,0)-2),装备属性!$A:$C,3,0),VLOOKUP(INDEX(英雄装备!$F:$BZ,MATCH($H3,英雄装备!$F:$F,0),MATCH(R$2,英雄装备!$1:$1,0)-1),装备属性!$A:$C,3,0),VLOOKUP(INDEX(英雄装备!$F:$BZ,MATCH($H3,英雄装备!$F:$F,0),MATCH(R$2,英雄装备!$1:$1,0)),装备属性!$A:$C,3,0))</f>
        <v>80</v>
      </c>
      <c r="S3" s="51">
        <f>MAX(VLOOKUP(INDEX(英雄装备!$F:$BZ,MATCH($H3,英雄装备!$F:$F,0),MATCH(S$2,英雄装备!$1:$1,0)-5),装备属性!$A:$C,3,0),VLOOKUP(INDEX(英雄装备!$F:$BZ,MATCH($H3,英雄装备!$F:$F,0),MATCH(S$2,英雄装备!$1:$1,0)-4),装备属性!$A:$C,3,0),VLOOKUP(INDEX(英雄装备!$F:$BZ,MATCH($H3,英雄装备!$F:$F,0),MATCH(S$2,英雄装备!$1:$1,0)-3),装备属性!$A:$C,3,0),VLOOKUP(INDEX(英雄装备!$F:$BZ,MATCH($H3,英雄装备!$F:$F,0),MATCH(S$2,英雄装备!$1:$1,0)-2),装备属性!$A:$C,3,0),VLOOKUP(INDEX(英雄装备!$F:$BZ,MATCH($H3,英雄装备!$F:$F,0),MATCH(S$2,英雄装备!$1:$1,0)-1),装备属性!$A:$C,3,0),VLOOKUP(INDEX(英雄装备!$F:$BZ,MATCH($H3,英雄装备!$F:$F,0),MATCH(S$2,英雄装备!$1:$1,0)),装备属性!$A:$C,3,0))</f>
        <v>85</v>
      </c>
      <c r="T3" s="51">
        <f>MAX(VLOOKUP(INDEX(英雄装备!$F:$BZ,MATCH($H3,英雄装备!$F:$F,0),MATCH(T$2,英雄装备!$1:$1,0)-5),装备属性!$A:$C,3,0),VLOOKUP(INDEX(英雄装备!$F:$BZ,MATCH($H3,英雄装备!$F:$F,0),MATCH(T$2,英雄装备!$1:$1,0)-4),装备属性!$A:$C,3,0),VLOOKUP(INDEX(英雄装备!$F:$BZ,MATCH($H3,英雄装备!$F:$F,0),MATCH(T$2,英雄装备!$1:$1,0)-3),装备属性!$A:$C,3,0),VLOOKUP(INDEX(英雄装备!$F:$BZ,MATCH($H3,英雄装备!$F:$F,0),MATCH(T$2,英雄装备!$1:$1,0)-2),装备属性!$A:$C,3,0),VLOOKUP(INDEX(英雄装备!$F:$BZ,MATCH($H3,英雄装备!$F:$F,0),MATCH(T$2,英雄装备!$1:$1,0)-1),装备属性!$A:$C,3,0))</f>
        <v>88</v>
      </c>
      <c r="W3" s="49" t="str">
        <f>IF($V$2&lt;3,"","绿+1")</f>
        <v>绿+1</v>
      </c>
      <c r="X3" s="49" t="str">
        <f>VLOOKUP(单英雄!$C$2,英雄装备!$F:$BZ,14,0)</f>
        <v>敏捷之刃</v>
      </c>
      <c r="Y3" s="49" t="str">
        <f>VLOOKUP(单英雄!$C$2,英雄装备!$F:$BZ,15,0)</f>
        <v>大魔杖</v>
      </c>
      <c r="Z3" s="49" t="str">
        <f>VLOOKUP(单英雄!$C$2,英雄装备!$F:$BZ,16,0)</f>
        <v>吸血面具</v>
      </c>
      <c r="AA3" s="49" t="str">
        <f>VLOOKUP(单英雄!$C$2,英雄装备!$F:$BZ,17,0)</f>
        <v>天鹰之戒</v>
      </c>
      <c r="AB3" s="49" t="str">
        <f>VLOOKUP(单英雄!$C$2,英雄装备!$F:$BZ,18,0)</f>
        <v>敏捷系带</v>
      </c>
      <c r="AC3" s="49" t="str">
        <f>VLOOKUP(单英雄!$C$2,英雄装备!$F:$BZ,19,0)</f>
        <v>鞋</v>
      </c>
      <c r="AG3" s="234"/>
      <c r="AH3" s="232" t="s">
        <v>1077</v>
      </c>
      <c r="AI3" s="50" t="s">
        <v>103</v>
      </c>
      <c r="AJ3" s="50" t="s">
        <v>14</v>
      </c>
      <c r="AK3" s="50" t="s">
        <v>47</v>
      </c>
      <c r="AL3" s="50" t="s">
        <v>35</v>
      </c>
      <c r="AM3" s="50" t="s">
        <v>38</v>
      </c>
      <c r="AN3" s="50" t="s">
        <v>34</v>
      </c>
      <c r="AO3" s="50" t="s">
        <v>56</v>
      </c>
      <c r="AP3" s="50" t="s">
        <v>84</v>
      </c>
      <c r="AQ3" s="50" t="s">
        <v>98</v>
      </c>
      <c r="AR3" s="50" t="s">
        <v>2099</v>
      </c>
      <c r="AS3" s="119" t="s">
        <v>1874</v>
      </c>
      <c r="AT3" s="50" t="s">
        <v>91</v>
      </c>
      <c r="AU3" s="50" t="s">
        <v>13</v>
      </c>
      <c r="AV3" s="50" t="s">
        <v>18</v>
      </c>
      <c r="AW3" s="51" t="s">
        <v>71</v>
      </c>
      <c r="AX3" s="50" t="s">
        <v>130</v>
      </c>
      <c r="AY3" s="141" t="s">
        <v>2096</v>
      </c>
      <c r="AZ3" s="141" t="s">
        <v>2097</v>
      </c>
    </row>
    <row r="4" spans="1:52">
      <c r="B4" s="49" t="str">
        <f>英雄初始!A5</f>
        <v>斧王</v>
      </c>
      <c r="E4" s="49" t="s">
        <v>1060</v>
      </c>
      <c r="H4" s="50" t="s">
        <v>158</v>
      </c>
      <c r="I4" s="51">
        <f>MAX(VLOOKUP(INDEX(英雄装备!$F:$BZ,MATCH($H4,英雄装备!$F:$F,0),MATCH(I$2,英雄装备!$1:$1,0)-5),装备属性!$A:$C,3,0),VLOOKUP(INDEX(英雄装备!$F:$BZ,MATCH($H4,英雄装备!$F:$F,0),MATCH(I$2,英雄装备!$1:$1,0)-4),装备属性!$A:$C,3,0),VLOOKUP(INDEX(英雄装备!$F:$BZ,MATCH($H4,英雄装备!$F:$F,0),MATCH(I$2,英雄装备!$1:$1,0)-3),装备属性!$A:$C,3,0),VLOOKUP(INDEX(英雄装备!$F:$BZ,MATCH($H4,英雄装备!$F:$F,0),MATCH(I$2,英雄装备!$1:$1,0)-2),装备属性!$A:$C,3,0),VLOOKUP(INDEX(英雄装备!$F:$BZ,MATCH($H4,英雄装备!$F:$F,0),MATCH(I$2,英雄装备!$1:$1,0)-1),装备属性!$A:$C,3,0),VLOOKUP(INDEX(英雄装备!$F:$BZ,MATCH($H4,英雄装备!$F:$F,0),MATCH(I$2,英雄装备!$1:$1,0)),装备属性!$A:$C,3,0))</f>
        <v>2</v>
      </c>
      <c r="J4" s="51">
        <f>MAX(VLOOKUP(INDEX(英雄装备!$F:$BZ,MATCH($H4,英雄装备!$F:$F,0),MATCH(J$2,英雄装备!$1:$1,0)-5),装备属性!$A:$C,3,0),VLOOKUP(INDEX(英雄装备!$F:$BZ,MATCH($H4,英雄装备!$F:$F,0),MATCH(J$2,英雄装备!$1:$1,0)-4),装备属性!$A:$C,3,0),VLOOKUP(INDEX(英雄装备!$F:$BZ,MATCH($H4,英雄装备!$F:$F,0),MATCH(J$2,英雄装备!$1:$1,0)-3),装备属性!$A:$C,3,0),VLOOKUP(INDEX(英雄装备!$F:$BZ,MATCH($H4,英雄装备!$F:$F,0),MATCH(J$2,英雄装备!$1:$1,0)-2),装备属性!$A:$C,3,0),VLOOKUP(INDEX(英雄装备!$F:$BZ,MATCH($H4,英雄装备!$F:$F,0),MATCH(J$2,英雄装备!$1:$1,0)-1),装备属性!$A:$C,3,0),VLOOKUP(INDEX(英雄装备!$F:$BZ,MATCH($H4,英雄装备!$F:$F,0),MATCH(J$2,英雄装备!$1:$1,0)),装备属性!$A:$C,3,0))</f>
        <v>10</v>
      </c>
      <c r="K4" s="51">
        <f>MAX(VLOOKUP(INDEX(英雄装备!$F:$BZ,MATCH($H4,英雄装备!$F:$F,0),MATCH(K$2,英雄装备!$1:$1,0)-5),装备属性!$A:$C,3,0),VLOOKUP(INDEX(英雄装备!$F:$BZ,MATCH($H4,英雄装备!$F:$F,0),MATCH(K$2,英雄装备!$1:$1,0)-4),装备属性!$A:$C,3,0),VLOOKUP(INDEX(英雄装备!$F:$BZ,MATCH($H4,英雄装备!$F:$F,0),MATCH(K$2,英雄装备!$1:$1,0)-3),装备属性!$A:$C,3,0),VLOOKUP(INDEX(英雄装备!$F:$BZ,MATCH($H4,英雄装备!$F:$F,0),MATCH(K$2,英雄装备!$1:$1,0)-2),装备属性!$A:$C,3,0),VLOOKUP(INDEX(英雄装备!$F:$BZ,MATCH($H4,英雄装备!$F:$F,0),MATCH(K$2,英雄装备!$1:$1,0)-1),装备属性!$A:$C,3,0),VLOOKUP(INDEX(英雄装备!$F:$BZ,MATCH($H4,英雄装备!$F:$F,0),MATCH(K$2,英雄装备!$1:$1,0)),装备属性!$A:$C,3,0))</f>
        <v>22</v>
      </c>
      <c r="L4" s="51">
        <f>MAX(VLOOKUP(INDEX(英雄装备!$F:$BZ,MATCH($H4,英雄装备!$F:$F,0),MATCH(L$2,英雄装备!$1:$1,0)-5),装备属性!$A:$C,3,0),VLOOKUP(INDEX(英雄装备!$F:$BZ,MATCH($H4,英雄装备!$F:$F,0),MATCH(L$2,英雄装备!$1:$1,0)-4),装备属性!$A:$C,3,0),VLOOKUP(INDEX(英雄装备!$F:$BZ,MATCH($H4,英雄装备!$F:$F,0),MATCH(L$2,英雄装备!$1:$1,0)-3),装备属性!$A:$C,3,0),VLOOKUP(INDEX(英雄装备!$F:$BZ,MATCH($H4,英雄装备!$F:$F,0),MATCH(L$2,英雄装备!$1:$1,0)-2),装备属性!$A:$C,3,0),VLOOKUP(INDEX(英雄装备!$F:$BZ,MATCH($H4,英雄装备!$F:$F,0),MATCH(L$2,英雄装备!$1:$1,0)-1),装备属性!$A:$C,3,0),VLOOKUP(INDEX(英雄装备!$F:$BZ,MATCH($H4,英雄装备!$F:$F,0),MATCH(L$2,英雄装备!$1:$1,0)),装备属性!$A:$C,3,0))</f>
        <v>34</v>
      </c>
      <c r="M4" s="51">
        <f>MAX(VLOOKUP(INDEX(英雄装备!$F:$BZ,MATCH($H4,英雄装备!$F:$F,0),MATCH(M$2,英雄装备!$1:$1,0)-5),装备属性!$A:$C,3,0),VLOOKUP(INDEX(英雄装备!$F:$BZ,MATCH($H4,英雄装备!$F:$F,0),MATCH(M$2,英雄装备!$1:$1,0)-4),装备属性!$A:$C,3,0),VLOOKUP(INDEX(英雄装备!$F:$BZ,MATCH($H4,英雄装备!$F:$F,0),MATCH(M$2,英雄装备!$1:$1,0)-3),装备属性!$A:$C,3,0),VLOOKUP(INDEX(英雄装备!$F:$BZ,MATCH($H4,英雄装备!$F:$F,0),MATCH(M$2,英雄装备!$1:$1,0)-2),装备属性!$A:$C,3,0),VLOOKUP(INDEX(英雄装备!$F:$BZ,MATCH($H4,英雄装备!$F:$F,0),MATCH(M$2,英雄装备!$1:$1,0)-1),装备属性!$A:$C,3,0),VLOOKUP(INDEX(英雄装备!$F:$BZ,MATCH($H4,英雄装备!$F:$F,0),MATCH(M$2,英雄装备!$1:$1,0)),装备属性!$A:$C,3,0))</f>
        <v>43</v>
      </c>
      <c r="N4" s="51">
        <f>MAX(VLOOKUP(INDEX(英雄装备!$F:$BZ,MATCH($H4,英雄装备!$F:$F,0),MATCH(N$2,英雄装备!$1:$1,0)-5),装备属性!$A:$C,3,0),VLOOKUP(INDEX(英雄装备!$F:$BZ,MATCH($H4,英雄装备!$F:$F,0),MATCH(N$2,英雄装备!$1:$1,0)-4),装备属性!$A:$C,3,0),VLOOKUP(INDEX(英雄装备!$F:$BZ,MATCH($H4,英雄装备!$F:$F,0),MATCH(N$2,英雄装备!$1:$1,0)-3),装备属性!$A:$C,3,0),VLOOKUP(INDEX(英雄装备!$F:$BZ,MATCH($H4,英雄装备!$F:$F,0),MATCH(N$2,英雄装备!$1:$1,0)-2),装备属性!$A:$C,3,0),VLOOKUP(INDEX(英雄装备!$F:$BZ,MATCH($H4,英雄装备!$F:$F,0),MATCH(N$2,英雄装备!$1:$1,0)-1),装备属性!$A:$C,3,0),VLOOKUP(INDEX(英雄装备!$F:$BZ,MATCH($H4,英雄装备!$F:$F,0),MATCH(N$2,英雄装备!$1:$1,0)),装备属性!$A:$C,3,0))</f>
        <v>51</v>
      </c>
      <c r="O4" s="51">
        <f>MAX(VLOOKUP(INDEX(英雄装备!$F:$BZ,MATCH($H4,英雄装备!$F:$F,0),MATCH(O$2,英雄装备!$1:$1,0)-5),装备属性!$A:$C,3,0),VLOOKUP(INDEX(英雄装备!$F:$BZ,MATCH($H4,英雄装备!$F:$F,0),MATCH(O$2,英雄装备!$1:$1,0)-4),装备属性!$A:$C,3,0),VLOOKUP(INDEX(英雄装备!$F:$BZ,MATCH($H4,英雄装备!$F:$F,0),MATCH(O$2,英雄装备!$1:$1,0)-3),装备属性!$A:$C,3,0),VLOOKUP(INDEX(英雄装备!$F:$BZ,MATCH($H4,英雄装备!$F:$F,0),MATCH(O$2,英雄装备!$1:$1,0)-2),装备属性!$A:$C,3,0),VLOOKUP(INDEX(英雄装备!$F:$BZ,MATCH($H4,英雄装备!$F:$F,0),MATCH(O$2,英雄装备!$1:$1,0)-1),装备属性!$A:$C,3,0),VLOOKUP(INDEX(英雄装备!$F:$BZ,MATCH($H4,英雄装备!$F:$F,0),MATCH(O$2,英雄装备!$1:$1,0)),装备属性!$A:$C,3,0))</f>
        <v>59</v>
      </c>
      <c r="P4" s="51">
        <f>MAX(VLOOKUP(INDEX(英雄装备!$F:$BZ,MATCH($H4,英雄装备!$F:$F,0),MATCH(P$2,英雄装备!$1:$1,0)-5),装备属性!$A:$C,3,0),VLOOKUP(INDEX(英雄装备!$F:$BZ,MATCH($H4,英雄装备!$F:$F,0),MATCH(P$2,英雄装备!$1:$1,0)-4),装备属性!$A:$C,3,0),VLOOKUP(INDEX(英雄装备!$F:$BZ,MATCH($H4,英雄装备!$F:$F,0),MATCH(P$2,英雄装备!$1:$1,0)-3),装备属性!$A:$C,3,0),VLOOKUP(INDEX(英雄装备!$F:$BZ,MATCH($H4,英雄装备!$F:$F,0),MATCH(P$2,英雄装备!$1:$1,0)-2),装备属性!$A:$C,3,0),VLOOKUP(INDEX(英雄装备!$F:$BZ,MATCH($H4,英雄装备!$F:$F,0),MATCH(P$2,英雄装备!$1:$1,0)-1),装备属性!$A:$C,3,0),VLOOKUP(INDEX(英雄装备!$F:$BZ,MATCH($H4,英雄装备!$F:$F,0),MATCH(P$2,英雄装备!$1:$1,0)),装备属性!$A:$C,3,0))</f>
        <v>72</v>
      </c>
      <c r="Q4" s="51">
        <f>MAX(VLOOKUP(INDEX(英雄装备!$F:$BZ,MATCH($H4,英雄装备!$F:$F,0),MATCH(Q$2,英雄装备!$1:$1,0)-5),装备属性!$A:$C,3,0),VLOOKUP(INDEX(英雄装备!$F:$BZ,MATCH($H4,英雄装备!$F:$F,0),MATCH(Q$2,英雄装备!$1:$1,0)-4),装备属性!$A:$C,3,0),VLOOKUP(INDEX(英雄装备!$F:$BZ,MATCH($H4,英雄装备!$F:$F,0),MATCH(Q$2,英雄装备!$1:$1,0)-3),装备属性!$A:$C,3,0),VLOOKUP(INDEX(英雄装备!$F:$BZ,MATCH($H4,英雄装备!$F:$F,0),MATCH(Q$2,英雄装备!$1:$1,0)-2),装备属性!$A:$C,3,0),VLOOKUP(INDEX(英雄装备!$F:$BZ,MATCH($H4,英雄装备!$F:$F,0),MATCH(Q$2,英雄装备!$1:$1,0)-1),装备属性!$A:$C,3,0),VLOOKUP(INDEX(英雄装备!$F:$BZ,MATCH($H4,英雄装备!$F:$F,0),MATCH(Q$2,英雄装备!$1:$1,0)),装备属性!$A:$C,3,0))</f>
        <v>79</v>
      </c>
      <c r="R4" s="51">
        <f>MAX(VLOOKUP(INDEX(英雄装备!$F:$BZ,MATCH($H4,英雄装备!$F:$F,0),MATCH(R$2,英雄装备!$1:$1,0)-5),装备属性!$A:$C,3,0),VLOOKUP(INDEX(英雄装备!$F:$BZ,MATCH($H4,英雄装备!$F:$F,0),MATCH(R$2,英雄装备!$1:$1,0)-4),装备属性!$A:$C,3,0),VLOOKUP(INDEX(英雄装备!$F:$BZ,MATCH($H4,英雄装备!$F:$F,0),MATCH(R$2,英雄装备!$1:$1,0)-3),装备属性!$A:$C,3,0),VLOOKUP(INDEX(英雄装备!$F:$BZ,MATCH($H4,英雄装备!$F:$F,0),MATCH(R$2,英雄装备!$1:$1,0)-2),装备属性!$A:$C,3,0),VLOOKUP(INDEX(英雄装备!$F:$BZ,MATCH($H4,英雄装备!$F:$F,0),MATCH(R$2,英雄装备!$1:$1,0)-1),装备属性!$A:$C,3,0),VLOOKUP(INDEX(英雄装备!$F:$BZ,MATCH($H4,英雄装备!$F:$F,0),MATCH(R$2,英雄装备!$1:$1,0)),装备属性!$A:$C,3,0))</f>
        <v>80</v>
      </c>
      <c r="S4" s="51">
        <f>MAX(VLOOKUP(INDEX(英雄装备!$F:$BZ,MATCH($H4,英雄装备!$F:$F,0),MATCH(S$2,英雄装备!$1:$1,0)-5),装备属性!$A:$C,3,0),VLOOKUP(INDEX(英雄装备!$F:$BZ,MATCH($H4,英雄装备!$F:$F,0),MATCH(S$2,英雄装备!$1:$1,0)-4),装备属性!$A:$C,3,0),VLOOKUP(INDEX(英雄装备!$F:$BZ,MATCH($H4,英雄装备!$F:$F,0),MATCH(S$2,英雄装备!$1:$1,0)-3),装备属性!$A:$C,3,0),VLOOKUP(INDEX(英雄装备!$F:$BZ,MATCH($H4,英雄装备!$F:$F,0),MATCH(S$2,英雄装备!$1:$1,0)-2),装备属性!$A:$C,3,0),VLOOKUP(INDEX(英雄装备!$F:$BZ,MATCH($H4,英雄装备!$F:$F,0),MATCH(S$2,英雄装备!$1:$1,0)-1),装备属性!$A:$C,3,0),VLOOKUP(INDEX(英雄装备!$F:$BZ,MATCH($H4,英雄装备!$F:$F,0),MATCH(S$2,英雄装备!$1:$1,0)),装备属性!$A:$C,3,0))</f>
        <v>85</v>
      </c>
      <c r="T4" s="51">
        <f>MAX(VLOOKUP(INDEX(英雄装备!$F:$BZ,MATCH($H4,英雄装备!$F:$F,0),MATCH(T$2,英雄装备!$1:$1,0)-5),装备属性!$A:$C,3,0),VLOOKUP(INDEX(英雄装备!$F:$BZ,MATCH($H4,英雄装备!$F:$F,0),MATCH(T$2,英雄装备!$1:$1,0)-4),装备属性!$A:$C,3,0),VLOOKUP(INDEX(英雄装备!$F:$BZ,MATCH($H4,英雄装备!$F:$F,0),MATCH(T$2,英雄装备!$1:$1,0)-3),装备属性!$A:$C,3,0),VLOOKUP(INDEX(英雄装备!$F:$BZ,MATCH($H4,英雄装备!$F:$F,0),MATCH(T$2,英雄装备!$1:$1,0)-2),装备属性!$A:$C,3,0),VLOOKUP(INDEX(英雄装备!$F:$BZ,MATCH($H4,英雄装备!$F:$F,0),MATCH(T$2,英雄装备!$1:$1,0)-1),装备属性!$A:$C,3,0))</f>
        <v>88</v>
      </c>
      <c r="W4" s="49" t="str">
        <f>IF($V$2&lt;4,"","蓝")</f>
        <v>蓝</v>
      </c>
      <c r="X4" s="49" t="str">
        <f>VLOOKUP(单英雄!$C$2,英雄装备!$F:$BZ,20,0)</f>
        <v>散华</v>
      </c>
      <c r="Y4" s="49" t="str">
        <f>VLOOKUP(单英雄!$C$2,英雄装备!$F:$BZ,21,0)</f>
        <v>蓝杖</v>
      </c>
      <c r="Z4" s="49" t="str">
        <f>VLOOKUP(单英雄!$C$2,英雄装备!$F:$BZ,22,0)</f>
        <v>秘银锤</v>
      </c>
      <c r="AA4" s="49" t="str">
        <f>VLOOKUP(单英雄!$C$2,英雄装备!$F:$BZ,23,0)</f>
        <v>冲锋盾</v>
      </c>
      <c r="AB4" s="49" t="str">
        <f>VLOOKUP(单英雄!$C$2,英雄装备!$F:$BZ,24,0)</f>
        <v>圣殿指环</v>
      </c>
      <c r="AC4" s="49" t="str">
        <f>VLOOKUP(单英雄!$C$2,英雄装备!$F:$BZ,25,0)</f>
        <v>相位鞋</v>
      </c>
      <c r="AG4" s="234"/>
      <c r="AH4" s="232"/>
      <c r="AI4" s="49">
        <f>AI14+AI19+(AJ1-AF7)*18</f>
        <v>24478.6</v>
      </c>
      <c r="AJ4" s="49">
        <f>AJ14+AJ19+(AP1-VLOOKUP(单英雄!$G$2,中介表格1!$AE$7:$AF$9,2,0))+(AL1-AF8)*0.4</f>
        <v>2848.5600000000004</v>
      </c>
      <c r="AK4" s="49">
        <f>AK14+AK19+(AN1-AF9)*2.4</f>
        <v>1850.9199999999998</v>
      </c>
      <c r="AL4" s="49">
        <f>AL14+AL19+(AJ1-AF7)*0.15+(AL1-AF8)*0.08</f>
        <v>344.43700000000001</v>
      </c>
      <c r="AM4" s="49">
        <f>AM14+AM19+(AN1-AF9)/10</f>
        <v>112.58</v>
      </c>
      <c r="AN4" s="49">
        <f>AN14+AN19+(AL1-AF8)*0.4</f>
        <v>798.16000000000008</v>
      </c>
      <c r="AO4" s="49">
        <f t="shared" ref="AO4:AZ4" si="0">AO14+AO19</f>
        <v>22</v>
      </c>
      <c r="AP4" s="49">
        <f t="shared" si="0"/>
        <v>20</v>
      </c>
      <c r="AQ4" s="49">
        <f t="shared" si="0"/>
        <v>0</v>
      </c>
      <c r="AR4" s="49">
        <f t="shared" si="0"/>
        <v>105</v>
      </c>
      <c r="AS4" s="49">
        <f t="shared" si="0"/>
        <v>0</v>
      </c>
      <c r="AT4" s="49">
        <f t="shared" si="0"/>
        <v>30</v>
      </c>
      <c r="AU4" s="49">
        <f t="shared" si="0"/>
        <v>2230</v>
      </c>
      <c r="AV4" s="49">
        <f t="shared" si="0"/>
        <v>322</v>
      </c>
      <c r="AW4" s="49">
        <f t="shared" si="0"/>
        <v>12</v>
      </c>
      <c r="AX4" s="140">
        <f t="shared" si="0"/>
        <v>15</v>
      </c>
      <c r="AY4" s="140">
        <f t="shared" si="0"/>
        <v>0</v>
      </c>
      <c r="AZ4" s="140">
        <f t="shared" si="0"/>
        <v>0</v>
      </c>
    </row>
    <row r="5" spans="1:52" ht="13.5" customHeight="1">
      <c r="B5" s="49" t="str">
        <f>英雄初始!A6</f>
        <v>骷髅王</v>
      </c>
      <c r="E5" s="49" t="s">
        <v>1061</v>
      </c>
      <c r="G5" s="233" t="str">
        <f>IF(单英雄!$C$5="白","",IF($G$3&gt;单英雄!$C$4,"你输入的级别无法达到当前卡色，请重新输入",""))</f>
        <v/>
      </c>
      <c r="H5" s="50" t="s">
        <v>159</v>
      </c>
      <c r="I5" s="51">
        <f>MAX(VLOOKUP(INDEX(英雄装备!$F:$BZ,MATCH($H5,英雄装备!$F:$F,0),MATCH(I$2,英雄装备!$1:$1,0)-5),装备属性!$A:$C,3,0),VLOOKUP(INDEX(英雄装备!$F:$BZ,MATCH($H5,英雄装备!$F:$F,0),MATCH(I$2,英雄装备!$1:$1,0)-4),装备属性!$A:$C,3,0),VLOOKUP(INDEX(英雄装备!$F:$BZ,MATCH($H5,英雄装备!$F:$F,0),MATCH(I$2,英雄装备!$1:$1,0)-3),装备属性!$A:$C,3,0),VLOOKUP(INDEX(英雄装备!$F:$BZ,MATCH($H5,英雄装备!$F:$F,0),MATCH(I$2,英雄装备!$1:$1,0)-2),装备属性!$A:$C,3,0),VLOOKUP(INDEX(英雄装备!$F:$BZ,MATCH($H5,英雄装备!$F:$F,0),MATCH(I$2,英雄装备!$1:$1,0)-1),装备属性!$A:$C,3,0),VLOOKUP(INDEX(英雄装备!$F:$BZ,MATCH($H5,英雄装备!$F:$F,0),MATCH(I$2,英雄装备!$1:$1,0)),装备属性!$A:$C,3,0))</f>
        <v>2</v>
      </c>
      <c r="J5" s="51">
        <f>MAX(VLOOKUP(INDEX(英雄装备!$F:$BZ,MATCH($H5,英雄装备!$F:$F,0),MATCH(J$2,英雄装备!$1:$1,0)-5),装备属性!$A:$C,3,0),VLOOKUP(INDEX(英雄装备!$F:$BZ,MATCH($H5,英雄装备!$F:$F,0),MATCH(J$2,英雄装备!$1:$1,0)-4),装备属性!$A:$C,3,0),VLOOKUP(INDEX(英雄装备!$F:$BZ,MATCH($H5,英雄装备!$F:$F,0),MATCH(J$2,英雄装备!$1:$1,0)-3),装备属性!$A:$C,3,0),VLOOKUP(INDEX(英雄装备!$F:$BZ,MATCH($H5,英雄装备!$F:$F,0),MATCH(J$2,英雄装备!$1:$1,0)-2),装备属性!$A:$C,3,0),VLOOKUP(INDEX(英雄装备!$F:$BZ,MATCH($H5,英雄装备!$F:$F,0),MATCH(J$2,英雄装备!$1:$1,0)-1),装备属性!$A:$C,3,0),VLOOKUP(INDEX(英雄装备!$F:$BZ,MATCH($H5,英雄装备!$F:$F,0),MATCH(J$2,英雄装备!$1:$1,0)),装备属性!$A:$C,3,0))</f>
        <v>10</v>
      </c>
      <c r="K5" s="51">
        <f>MAX(VLOOKUP(INDEX(英雄装备!$F:$BZ,MATCH($H5,英雄装备!$F:$F,0),MATCH(K$2,英雄装备!$1:$1,0)-5),装备属性!$A:$C,3,0),VLOOKUP(INDEX(英雄装备!$F:$BZ,MATCH($H5,英雄装备!$F:$F,0),MATCH(K$2,英雄装备!$1:$1,0)-4),装备属性!$A:$C,3,0),VLOOKUP(INDEX(英雄装备!$F:$BZ,MATCH($H5,英雄装备!$F:$F,0),MATCH(K$2,英雄装备!$1:$1,0)-3),装备属性!$A:$C,3,0),VLOOKUP(INDEX(英雄装备!$F:$BZ,MATCH($H5,英雄装备!$F:$F,0),MATCH(K$2,英雄装备!$1:$1,0)-2),装备属性!$A:$C,3,0),VLOOKUP(INDEX(英雄装备!$F:$BZ,MATCH($H5,英雄装备!$F:$F,0),MATCH(K$2,英雄装备!$1:$1,0)-1),装备属性!$A:$C,3,0),VLOOKUP(INDEX(英雄装备!$F:$BZ,MATCH($H5,英雄装备!$F:$F,0),MATCH(K$2,英雄装备!$1:$1,0)),装备属性!$A:$C,3,0))</f>
        <v>26</v>
      </c>
      <c r="L5" s="51">
        <f>MAX(VLOOKUP(INDEX(英雄装备!$F:$BZ,MATCH($H5,英雄装备!$F:$F,0),MATCH(L$2,英雄装备!$1:$1,0)-5),装备属性!$A:$C,3,0),VLOOKUP(INDEX(英雄装备!$F:$BZ,MATCH($H5,英雄装备!$F:$F,0),MATCH(L$2,英雄装备!$1:$1,0)-4),装备属性!$A:$C,3,0),VLOOKUP(INDEX(英雄装备!$F:$BZ,MATCH($H5,英雄装备!$F:$F,0),MATCH(L$2,英雄装备!$1:$1,0)-3),装备属性!$A:$C,3,0),VLOOKUP(INDEX(英雄装备!$F:$BZ,MATCH($H5,英雄装备!$F:$F,0),MATCH(L$2,英雄装备!$1:$1,0)-2),装备属性!$A:$C,3,0),VLOOKUP(INDEX(英雄装备!$F:$BZ,MATCH($H5,英雄装备!$F:$F,0),MATCH(L$2,英雄装备!$1:$1,0)-1),装备属性!$A:$C,3,0),VLOOKUP(INDEX(英雄装备!$F:$BZ,MATCH($H5,英雄装备!$F:$F,0),MATCH(L$2,英雄装备!$1:$1,0)),装备属性!$A:$C,3,0))</f>
        <v>35</v>
      </c>
      <c r="M5" s="51">
        <f>MAX(VLOOKUP(INDEX(英雄装备!$F:$BZ,MATCH($H5,英雄装备!$F:$F,0),MATCH(M$2,英雄装备!$1:$1,0)-5),装备属性!$A:$C,3,0),VLOOKUP(INDEX(英雄装备!$F:$BZ,MATCH($H5,英雄装备!$F:$F,0),MATCH(M$2,英雄装备!$1:$1,0)-4),装备属性!$A:$C,3,0),VLOOKUP(INDEX(英雄装备!$F:$BZ,MATCH($H5,英雄装备!$F:$F,0),MATCH(M$2,英雄装备!$1:$1,0)-3),装备属性!$A:$C,3,0),VLOOKUP(INDEX(英雄装备!$F:$BZ,MATCH($H5,英雄装备!$F:$F,0),MATCH(M$2,英雄装备!$1:$1,0)-2),装备属性!$A:$C,3,0),VLOOKUP(INDEX(英雄装备!$F:$BZ,MATCH($H5,英雄装备!$F:$F,0),MATCH(M$2,英雄装备!$1:$1,0)-1),装备属性!$A:$C,3,0),VLOOKUP(INDEX(英雄装备!$F:$BZ,MATCH($H5,英雄装备!$F:$F,0),MATCH(M$2,英雄装备!$1:$1,0)),装备属性!$A:$C,3,0))</f>
        <v>36</v>
      </c>
      <c r="N5" s="51">
        <f>MAX(VLOOKUP(INDEX(英雄装备!$F:$BZ,MATCH($H5,英雄装备!$F:$F,0),MATCH(N$2,英雄装备!$1:$1,0)-5),装备属性!$A:$C,3,0),VLOOKUP(INDEX(英雄装备!$F:$BZ,MATCH($H5,英雄装备!$F:$F,0),MATCH(N$2,英雄装备!$1:$1,0)-4),装备属性!$A:$C,3,0),VLOOKUP(INDEX(英雄装备!$F:$BZ,MATCH($H5,英雄装备!$F:$F,0),MATCH(N$2,英雄装备!$1:$1,0)-3),装备属性!$A:$C,3,0),VLOOKUP(INDEX(英雄装备!$F:$BZ,MATCH($H5,英雄装备!$F:$F,0),MATCH(N$2,英雄装备!$1:$1,0)-2),装备属性!$A:$C,3,0),VLOOKUP(INDEX(英雄装备!$F:$BZ,MATCH($H5,英雄装备!$F:$F,0),MATCH(N$2,英雄装备!$1:$1,0)-1),装备属性!$A:$C,3,0),VLOOKUP(INDEX(英雄装备!$F:$BZ,MATCH($H5,英雄装备!$F:$F,0),MATCH(N$2,英雄装备!$1:$1,0)),装备属性!$A:$C,3,0))</f>
        <v>52</v>
      </c>
      <c r="O5" s="51">
        <f>MAX(VLOOKUP(INDEX(英雄装备!$F:$BZ,MATCH($H5,英雄装备!$F:$F,0),MATCH(O$2,英雄装备!$1:$1,0)-5),装备属性!$A:$C,3,0),VLOOKUP(INDEX(英雄装备!$F:$BZ,MATCH($H5,英雄装备!$F:$F,0),MATCH(O$2,英雄装备!$1:$1,0)-4),装备属性!$A:$C,3,0),VLOOKUP(INDEX(英雄装备!$F:$BZ,MATCH($H5,英雄装备!$F:$F,0),MATCH(O$2,英雄装备!$1:$1,0)-3),装备属性!$A:$C,3,0),VLOOKUP(INDEX(英雄装备!$F:$BZ,MATCH($H5,英雄装备!$F:$F,0),MATCH(O$2,英雄装备!$1:$1,0)-2),装备属性!$A:$C,3,0),VLOOKUP(INDEX(英雄装备!$F:$BZ,MATCH($H5,英雄装备!$F:$F,0),MATCH(O$2,英雄装备!$1:$1,0)-1),装备属性!$A:$C,3,0),VLOOKUP(INDEX(英雄装备!$F:$BZ,MATCH($H5,英雄装备!$F:$F,0),MATCH(O$2,英雄装备!$1:$1,0)),装备属性!$A:$C,3,0))</f>
        <v>62</v>
      </c>
      <c r="P5" s="51">
        <f>MAX(VLOOKUP(INDEX(英雄装备!$F:$BZ,MATCH($H5,英雄装备!$F:$F,0),MATCH(P$2,英雄装备!$1:$1,0)-5),装备属性!$A:$C,3,0),VLOOKUP(INDEX(英雄装备!$F:$BZ,MATCH($H5,英雄装备!$F:$F,0),MATCH(P$2,英雄装备!$1:$1,0)-4),装备属性!$A:$C,3,0),VLOOKUP(INDEX(英雄装备!$F:$BZ,MATCH($H5,英雄装备!$F:$F,0),MATCH(P$2,英雄装备!$1:$1,0)-3),装备属性!$A:$C,3,0),VLOOKUP(INDEX(英雄装备!$F:$BZ,MATCH($H5,英雄装备!$F:$F,0),MATCH(P$2,英雄装备!$1:$1,0)-2),装备属性!$A:$C,3,0),VLOOKUP(INDEX(英雄装备!$F:$BZ,MATCH($H5,英雄装备!$F:$F,0),MATCH(P$2,英雄装备!$1:$1,0)-1),装备属性!$A:$C,3,0),VLOOKUP(INDEX(英雄装备!$F:$BZ,MATCH($H5,英雄装备!$F:$F,0),MATCH(P$2,英雄装备!$1:$1,0)),装备属性!$A:$C,3,0))</f>
        <v>72</v>
      </c>
      <c r="Q5" s="51">
        <f>MAX(VLOOKUP(INDEX(英雄装备!$F:$BZ,MATCH($H5,英雄装备!$F:$F,0),MATCH(Q$2,英雄装备!$1:$1,0)-5),装备属性!$A:$C,3,0),VLOOKUP(INDEX(英雄装备!$F:$BZ,MATCH($H5,英雄装备!$F:$F,0),MATCH(Q$2,英雄装备!$1:$1,0)-4),装备属性!$A:$C,3,0),VLOOKUP(INDEX(英雄装备!$F:$BZ,MATCH($H5,英雄装备!$F:$F,0),MATCH(Q$2,英雄装备!$1:$1,0)-3),装备属性!$A:$C,3,0),VLOOKUP(INDEX(英雄装备!$F:$BZ,MATCH($H5,英雄装备!$F:$F,0),MATCH(Q$2,英雄装备!$1:$1,0)-2),装备属性!$A:$C,3,0),VLOOKUP(INDEX(英雄装备!$F:$BZ,MATCH($H5,英雄装备!$F:$F,0),MATCH(Q$2,英雄装备!$1:$1,0)-1),装备属性!$A:$C,3,0),VLOOKUP(INDEX(英雄装备!$F:$BZ,MATCH($H5,英雄装备!$F:$F,0),MATCH(Q$2,英雄装备!$1:$1,0)),装备属性!$A:$C,3,0))</f>
        <v>80</v>
      </c>
      <c r="R5" s="51">
        <f>MAX(VLOOKUP(INDEX(英雄装备!$F:$BZ,MATCH($H5,英雄装备!$F:$F,0),MATCH(R$2,英雄装备!$1:$1,0)-5),装备属性!$A:$C,3,0),VLOOKUP(INDEX(英雄装备!$F:$BZ,MATCH($H5,英雄装备!$F:$F,0),MATCH(R$2,英雄装备!$1:$1,0)-4),装备属性!$A:$C,3,0),VLOOKUP(INDEX(英雄装备!$F:$BZ,MATCH($H5,英雄装备!$F:$F,0),MATCH(R$2,英雄装备!$1:$1,0)-3),装备属性!$A:$C,3,0),VLOOKUP(INDEX(英雄装备!$F:$BZ,MATCH($H5,英雄装备!$F:$F,0),MATCH(R$2,英雄装备!$1:$1,0)-2),装备属性!$A:$C,3,0),VLOOKUP(INDEX(英雄装备!$F:$BZ,MATCH($H5,英雄装备!$F:$F,0),MATCH(R$2,英雄装备!$1:$1,0)-1),装备属性!$A:$C,3,0),VLOOKUP(INDEX(英雄装备!$F:$BZ,MATCH($H5,英雄装备!$F:$F,0),MATCH(R$2,英雄装备!$1:$1,0)),装备属性!$A:$C,3,0))</f>
        <v>79</v>
      </c>
      <c r="S5" s="51">
        <f>MAX(VLOOKUP(INDEX(英雄装备!$F:$BZ,MATCH($H5,英雄装备!$F:$F,0),MATCH(S$2,英雄装备!$1:$1,0)-5),装备属性!$A:$C,3,0),VLOOKUP(INDEX(英雄装备!$F:$BZ,MATCH($H5,英雄装备!$F:$F,0),MATCH(S$2,英雄装备!$1:$1,0)-4),装备属性!$A:$C,3,0),VLOOKUP(INDEX(英雄装备!$F:$BZ,MATCH($H5,英雄装备!$F:$F,0),MATCH(S$2,英雄装备!$1:$1,0)-3),装备属性!$A:$C,3,0),VLOOKUP(INDEX(英雄装备!$F:$BZ,MATCH($H5,英雄装备!$F:$F,0),MATCH(S$2,英雄装备!$1:$1,0)-2),装备属性!$A:$C,3,0),VLOOKUP(INDEX(英雄装备!$F:$BZ,MATCH($H5,英雄装备!$F:$F,0),MATCH(S$2,英雄装备!$1:$1,0)-1),装备属性!$A:$C,3,0),VLOOKUP(INDEX(英雄装备!$F:$BZ,MATCH($H5,英雄装备!$F:$F,0),MATCH(S$2,英雄装备!$1:$1,0)),装备属性!$A:$C,3,0))</f>
        <v>84</v>
      </c>
      <c r="T5" s="51">
        <f>MAX(VLOOKUP(INDEX(英雄装备!$F:$BZ,MATCH($H5,英雄装备!$F:$F,0),MATCH(T$2,英雄装备!$1:$1,0)-5),装备属性!$A:$C,3,0),VLOOKUP(INDEX(英雄装备!$F:$BZ,MATCH($H5,英雄装备!$F:$F,0),MATCH(T$2,英雄装备!$1:$1,0)-4),装备属性!$A:$C,3,0),VLOOKUP(INDEX(英雄装备!$F:$BZ,MATCH($H5,英雄装备!$F:$F,0),MATCH(T$2,英雄装备!$1:$1,0)-3),装备属性!$A:$C,3,0),VLOOKUP(INDEX(英雄装备!$F:$BZ,MATCH($H5,英雄装备!$F:$F,0),MATCH(T$2,英雄装备!$1:$1,0)-2),装备属性!$A:$C,3,0),VLOOKUP(INDEX(英雄装备!$F:$BZ,MATCH($H5,英雄装备!$F:$F,0),MATCH(T$2,英雄装备!$1:$1,0)-1),装备属性!$A:$C,3,0))</f>
        <v>87</v>
      </c>
      <c r="W5" s="49" t="str">
        <f>IF($V$2&lt;5,"","蓝+1")</f>
        <v>蓝+1</v>
      </c>
      <c r="X5" s="49" t="str">
        <f>VLOOKUP(单英雄!$C$2,英雄装备!$F:$BZ,26,0)</f>
        <v>双刀</v>
      </c>
      <c r="Y5" s="49" t="str">
        <f>VLOOKUP(单英雄!$C$2,英雄装备!$F:$BZ,27,0)</f>
        <v>黑黄</v>
      </c>
      <c r="Z5" s="49" t="str">
        <f>VLOOKUP(单英雄!$C$2,英雄装备!$F:$BZ,28,0)</f>
        <v>支配</v>
      </c>
      <c r="AA5" s="49" t="str">
        <f>VLOOKUP(单英雄!$C$2,英雄装备!$F:$BZ,29,0)</f>
        <v>古之耐歌</v>
      </c>
      <c r="AB5" s="49" t="str">
        <f>VLOOKUP(单英雄!$C$2,英雄装备!$F:$BZ,30,0)</f>
        <v>敏捷系带</v>
      </c>
      <c r="AC5" s="49" t="str">
        <f>VLOOKUP(单英雄!$C$2,英雄装备!$F:$BZ,31,0)</f>
        <v>相位鞋</v>
      </c>
    </row>
    <row r="6" spans="1:52">
      <c r="B6" s="49" t="str">
        <f>英雄初始!A7</f>
        <v>全能骑士</v>
      </c>
      <c r="G6" s="233"/>
      <c r="H6" s="50" t="s">
        <v>160</v>
      </c>
      <c r="I6" s="51">
        <f>MAX(VLOOKUP(INDEX(英雄装备!$F:$BZ,MATCH($H6,英雄装备!$F:$F,0),MATCH(I$2,英雄装备!$1:$1,0)-5),装备属性!$A:$C,3,0),VLOOKUP(INDEX(英雄装备!$F:$BZ,MATCH($H6,英雄装备!$F:$F,0),MATCH(I$2,英雄装备!$1:$1,0)-4),装备属性!$A:$C,3,0),VLOOKUP(INDEX(英雄装备!$F:$BZ,MATCH($H6,英雄装备!$F:$F,0),MATCH(I$2,英雄装备!$1:$1,0)-3),装备属性!$A:$C,3,0),VLOOKUP(INDEX(英雄装备!$F:$BZ,MATCH($H6,英雄装备!$F:$F,0),MATCH(I$2,英雄装备!$1:$1,0)-2),装备属性!$A:$C,3,0),VLOOKUP(INDEX(英雄装备!$F:$BZ,MATCH($H6,英雄装备!$F:$F,0),MATCH(I$2,英雄装备!$1:$1,0)-1),装备属性!$A:$C,3,0),VLOOKUP(INDEX(英雄装备!$F:$BZ,MATCH($H6,英雄装备!$F:$F,0),MATCH(I$2,英雄装备!$1:$1,0)),装备属性!$A:$C,3,0))</f>
        <v>2</v>
      </c>
      <c r="J6" s="51">
        <f>MAX(VLOOKUP(INDEX(英雄装备!$F:$BZ,MATCH($H6,英雄装备!$F:$F,0),MATCH(J$2,英雄装备!$1:$1,0)-5),装备属性!$A:$C,3,0),VLOOKUP(INDEX(英雄装备!$F:$BZ,MATCH($H6,英雄装备!$F:$F,0),MATCH(J$2,英雄装备!$1:$1,0)-4),装备属性!$A:$C,3,0),VLOOKUP(INDEX(英雄装备!$F:$BZ,MATCH($H6,英雄装备!$F:$F,0),MATCH(J$2,英雄装备!$1:$1,0)-3),装备属性!$A:$C,3,0),VLOOKUP(INDEX(英雄装备!$F:$BZ,MATCH($H6,英雄装备!$F:$F,0),MATCH(J$2,英雄装备!$1:$1,0)-2),装备属性!$A:$C,3,0),VLOOKUP(INDEX(英雄装备!$F:$BZ,MATCH($H6,英雄装备!$F:$F,0),MATCH(J$2,英雄装备!$1:$1,0)-1),装备属性!$A:$C,3,0),VLOOKUP(INDEX(英雄装备!$F:$BZ,MATCH($H6,英雄装备!$F:$F,0),MATCH(J$2,英雄装备!$1:$1,0)),装备属性!$A:$C,3,0))</f>
        <v>12</v>
      </c>
      <c r="K6" s="51">
        <f>MAX(VLOOKUP(INDEX(英雄装备!$F:$BZ,MATCH($H6,英雄装备!$F:$F,0),MATCH(K$2,英雄装备!$1:$1,0)-5),装备属性!$A:$C,3,0),VLOOKUP(INDEX(英雄装备!$F:$BZ,MATCH($H6,英雄装备!$F:$F,0),MATCH(K$2,英雄装备!$1:$1,0)-4),装备属性!$A:$C,3,0),VLOOKUP(INDEX(英雄装备!$F:$BZ,MATCH($H6,英雄装备!$F:$F,0),MATCH(K$2,英雄装备!$1:$1,0)-3),装备属性!$A:$C,3,0),VLOOKUP(INDEX(英雄装备!$F:$BZ,MATCH($H6,英雄装备!$F:$F,0),MATCH(K$2,英雄装备!$1:$1,0)-2),装备属性!$A:$C,3,0),VLOOKUP(INDEX(英雄装备!$F:$BZ,MATCH($H6,英雄装备!$F:$F,0),MATCH(K$2,英雄装备!$1:$1,0)-1),装备属性!$A:$C,3,0),VLOOKUP(INDEX(英雄装备!$F:$BZ,MATCH($H6,英雄装备!$F:$F,0),MATCH(K$2,英雄装备!$1:$1,0)),装备属性!$A:$C,3,0))</f>
        <v>21</v>
      </c>
      <c r="L6" s="51">
        <f>MAX(VLOOKUP(INDEX(英雄装备!$F:$BZ,MATCH($H6,英雄装备!$F:$F,0),MATCH(L$2,英雄装备!$1:$1,0)-5),装备属性!$A:$C,3,0),VLOOKUP(INDEX(英雄装备!$F:$BZ,MATCH($H6,英雄装备!$F:$F,0),MATCH(L$2,英雄装备!$1:$1,0)-4),装备属性!$A:$C,3,0),VLOOKUP(INDEX(英雄装备!$F:$BZ,MATCH($H6,英雄装备!$F:$F,0),MATCH(L$2,英雄装备!$1:$1,0)-3),装备属性!$A:$C,3,0),VLOOKUP(INDEX(英雄装备!$F:$BZ,MATCH($H6,英雄装备!$F:$F,0),MATCH(L$2,英雄装备!$1:$1,0)-2),装备属性!$A:$C,3,0),VLOOKUP(INDEX(英雄装备!$F:$BZ,MATCH($H6,英雄装备!$F:$F,0),MATCH(L$2,英雄装备!$1:$1,0)-1),装备属性!$A:$C,3,0),VLOOKUP(INDEX(英雄装备!$F:$BZ,MATCH($H6,英雄装备!$F:$F,0),MATCH(L$2,英雄装备!$1:$1,0)),装备属性!$A:$C,3,0))</f>
        <v>36</v>
      </c>
      <c r="M6" s="51">
        <f>MAX(VLOOKUP(INDEX(英雄装备!$F:$BZ,MATCH($H6,英雄装备!$F:$F,0),MATCH(M$2,英雄装备!$1:$1,0)-5),装备属性!$A:$C,3,0),VLOOKUP(INDEX(英雄装备!$F:$BZ,MATCH($H6,英雄装备!$F:$F,0),MATCH(M$2,英雄装备!$1:$1,0)-4),装备属性!$A:$C,3,0),VLOOKUP(INDEX(英雄装备!$F:$BZ,MATCH($H6,英雄装备!$F:$F,0),MATCH(M$2,英雄装备!$1:$1,0)-3),装备属性!$A:$C,3,0),VLOOKUP(INDEX(英雄装备!$F:$BZ,MATCH($H6,英雄装备!$F:$F,0),MATCH(M$2,英雄装备!$1:$1,0)-2),装备属性!$A:$C,3,0),VLOOKUP(INDEX(英雄装备!$F:$BZ,MATCH($H6,英雄装备!$F:$F,0),MATCH(M$2,英雄装备!$1:$1,0)-1),装备属性!$A:$C,3,0),VLOOKUP(INDEX(英雄装备!$F:$BZ,MATCH($H6,英雄装备!$F:$F,0),MATCH(M$2,英雄装备!$1:$1,0)),装备属性!$A:$C,3,0))</f>
        <v>43</v>
      </c>
      <c r="N6" s="51">
        <f>MAX(VLOOKUP(INDEX(英雄装备!$F:$BZ,MATCH($H6,英雄装备!$F:$F,0),MATCH(N$2,英雄装备!$1:$1,0)-5),装备属性!$A:$C,3,0),VLOOKUP(INDEX(英雄装备!$F:$BZ,MATCH($H6,英雄装备!$F:$F,0),MATCH(N$2,英雄装备!$1:$1,0)-4),装备属性!$A:$C,3,0),VLOOKUP(INDEX(英雄装备!$F:$BZ,MATCH($H6,英雄装备!$F:$F,0),MATCH(N$2,英雄装备!$1:$1,0)-3),装备属性!$A:$C,3,0),VLOOKUP(INDEX(英雄装备!$F:$BZ,MATCH($H6,英雄装备!$F:$F,0),MATCH(N$2,英雄装备!$1:$1,0)-2),装备属性!$A:$C,3,0),VLOOKUP(INDEX(英雄装备!$F:$BZ,MATCH($H6,英雄装备!$F:$F,0),MATCH(N$2,英雄装备!$1:$1,0)-1),装备属性!$A:$C,3,0),VLOOKUP(INDEX(英雄装备!$F:$BZ,MATCH($H6,英雄装备!$F:$F,0),MATCH(N$2,英雄装备!$1:$1,0)),装备属性!$A:$C,3,0))</f>
        <v>52</v>
      </c>
      <c r="O6" s="51">
        <f>MAX(VLOOKUP(INDEX(英雄装备!$F:$BZ,MATCH($H6,英雄装备!$F:$F,0),MATCH(O$2,英雄装备!$1:$1,0)-5),装备属性!$A:$C,3,0),VLOOKUP(INDEX(英雄装备!$F:$BZ,MATCH($H6,英雄装备!$F:$F,0),MATCH(O$2,英雄装备!$1:$1,0)-4),装备属性!$A:$C,3,0),VLOOKUP(INDEX(英雄装备!$F:$BZ,MATCH($H6,英雄装备!$F:$F,0),MATCH(O$2,英雄装备!$1:$1,0)-3),装备属性!$A:$C,3,0),VLOOKUP(INDEX(英雄装备!$F:$BZ,MATCH($H6,英雄装备!$F:$F,0),MATCH(O$2,英雄装备!$1:$1,0)-2),装备属性!$A:$C,3,0),VLOOKUP(INDEX(英雄装备!$F:$BZ,MATCH($H6,英雄装备!$F:$F,0),MATCH(O$2,英雄装备!$1:$1,0)-1),装备属性!$A:$C,3,0),VLOOKUP(INDEX(英雄装备!$F:$BZ,MATCH($H6,英雄装备!$F:$F,0),MATCH(O$2,英雄装备!$1:$1,0)),装备属性!$A:$C,3,0))</f>
        <v>59</v>
      </c>
      <c r="P6" s="51">
        <f>MAX(VLOOKUP(INDEX(英雄装备!$F:$BZ,MATCH($H6,英雄装备!$F:$F,0),MATCH(P$2,英雄装备!$1:$1,0)-5),装备属性!$A:$C,3,0),VLOOKUP(INDEX(英雄装备!$F:$BZ,MATCH($H6,英雄装备!$F:$F,0),MATCH(P$2,英雄装备!$1:$1,0)-4),装备属性!$A:$C,3,0),VLOOKUP(INDEX(英雄装备!$F:$BZ,MATCH($H6,英雄装备!$F:$F,0),MATCH(P$2,英雄装备!$1:$1,0)-3),装备属性!$A:$C,3,0),VLOOKUP(INDEX(英雄装备!$F:$BZ,MATCH($H6,英雄装备!$F:$F,0),MATCH(P$2,英雄装备!$1:$1,0)-2),装备属性!$A:$C,3,0),VLOOKUP(INDEX(英雄装备!$F:$BZ,MATCH($H6,英雄装备!$F:$F,0),MATCH(P$2,英雄装备!$1:$1,0)-1),装备属性!$A:$C,3,0),VLOOKUP(INDEX(英雄装备!$F:$BZ,MATCH($H6,英雄装备!$F:$F,0),MATCH(P$2,英雄装备!$1:$1,0)),装备属性!$A:$C,3,0))</f>
        <v>72</v>
      </c>
      <c r="Q6" s="51">
        <f>MAX(VLOOKUP(INDEX(英雄装备!$F:$BZ,MATCH($H6,英雄装备!$F:$F,0),MATCH(Q$2,英雄装备!$1:$1,0)-5),装备属性!$A:$C,3,0),VLOOKUP(INDEX(英雄装备!$F:$BZ,MATCH($H6,英雄装备!$F:$F,0),MATCH(Q$2,英雄装备!$1:$1,0)-4),装备属性!$A:$C,3,0),VLOOKUP(INDEX(英雄装备!$F:$BZ,MATCH($H6,英雄装备!$F:$F,0),MATCH(Q$2,英雄装备!$1:$1,0)-3),装备属性!$A:$C,3,0),VLOOKUP(INDEX(英雄装备!$F:$BZ,MATCH($H6,英雄装备!$F:$F,0),MATCH(Q$2,英雄装备!$1:$1,0)-2),装备属性!$A:$C,3,0),VLOOKUP(INDEX(英雄装备!$F:$BZ,MATCH($H6,英雄装备!$F:$F,0),MATCH(Q$2,英雄装备!$1:$1,0)-1),装备属性!$A:$C,3,0),VLOOKUP(INDEX(英雄装备!$F:$BZ,MATCH($H6,英雄装备!$F:$F,0),MATCH(Q$2,英雄装备!$1:$1,0)),装备属性!$A:$C,3,0))</f>
        <v>80</v>
      </c>
      <c r="R6" s="51">
        <f>MAX(VLOOKUP(INDEX(英雄装备!$F:$BZ,MATCH($H6,英雄装备!$F:$F,0),MATCH(R$2,英雄装备!$1:$1,0)-5),装备属性!$A:$C,3,0),VLOOKUP(INDEX(英雄装备!$F:$BZ,MATCH($H6,英雄装备!$F:$F,0),MATCH(R$2,英雄装备!$1:$1,0)-4),装备属性!$A:$C,3,0),VLOOKUP(INDEX(英雄装备!$F:$BZ,MATCH($H6,英雄装备!$F:$F,0),MATCH(R$2,英雄装备!$1:$1,0)-3),装备属性!$A:$C,3,0),VLOOKUP(INDEX(英雄装备!$F:$BZ,MATCH($H6,英雄装备!$F:$F,0),MATCH(R$2,英雄装备!$1:$1,0)-2),装备属性!$A:$C,3,0),VLOOKUP(INDEX(英雄装备!$F:$BZ,MATCH($H6,英雄装备!$F:$F,0),MATCH(R$2,英雄装备!$1:$1,0)-1),装备属性!$A:$C,3,0),VLOOKUP(INDEX(英雄装备!$F:$BZ,MATCH($H6,英雄装备!$F:$F,0),MATCH(R$2,英雄装备!$1:$1,0)),装备属性!$A:$C,3,0))</f>
        <v>80</v>
      </c>
      <c r="S6" s="51">
        <f>MAX(VLOOKUP(INDEX(英雄装备!$F:$BZ,MATCH($H6,英雄装备!$F:$F,0),MATCH(S$2,英雄装备!$1:$1,0)-5),装备属性!$A:$C,3,0),VLOOKUP(INDEX(英雄装备!$F:$BZ,MATCH($H6,英雄装备!$F:$F,0),MATCH(S$2,英雄装备!$1:$1,0)-4),装备属性!$A:$C,3,0),VLOOKUP(INDEX(英雄装备!$F:$BZ,MATCH($H6,英雄装备!$F:$F,0),MATCH(S$2,英雄装备!$1:$1,0)-3),装备属性!$A:$C,3,0),VLOOKUP(INDEX(英雄装备!$F:$BZ,MATCH($H6,英雄装备!$F:$F,0),MATCH(S$2,英雄装备!$1:$1,0)-2),装备属性!$A:$C,3,0),VLOOKUP(INDEX(英雄装备!$F:$BZ,MATCH($H6,英雄装备!$F:$F,0),MATCH(S$2,英雄装备!$1:$1,0)-1),装备属性!$A:$C,3,0),VLOOKUP(INDEX(英雄装备!$F:$BZ,MATCH($H6,英雄装备!$F:$F,0),MATCH(S$2,英雄装备!$1:$1,0)),装备属性!$A:$C,3,0))</f>
        <v>84</v>
      </c>
      <c r="T6" s="51">
        <f>MAX(VLOOKUP(INDEX(英雄装备!$F:$BZ,MATCH($H6,英雄装备!$F:$F,0),MATCH(T$2,英雄装备!$1:$1,0)-5),装备属性!$A:$C,3,0),VLOOKUP(INDEX(英雄装备!$F:$BZ,MATCH($H6,英雄装备!$F:$F,0),MATCH(T$2,英雄装备!$1:$1,0)-4),装备属性!$A:$C,3,0),VLOOKUP(INDEX(英雄装备!$F:$BZ,MATCH($H6,英雄装备!$F:$F,0),MATCH(T$2,英雄装备!$1:$1,0)-3),装备属性!$A:$C,3,0),VLOOKUP(INDEX(英雄装备!$F:$BZ,MATCH($H6,英雄装备!$F:$F,0),MATCH(T$2,英雄装备!$1:$1,0)-2),装备属性!$A:$C,3,0),VLOOKUP(INDEX(英雄装备!$F:$BZ,MATCH($H6,英雄装备!$F:$F,0),MATCH(T$2,英雄装备!$1:$1,0)-1),装备属性!$A:$C,3,0))</f>
        <v>87</v>
      </c>
      <c r="V6" s="49">
        <v>80</v>
      </c>
      <c r="W6" s="49" t="str">
        <f>IF($V$2&lt;6,"","蓝+2")</f>
        <v>蓝+2</v>
      </c>
      <c r="X6" s="49" t="str">
        <f>VLOOKUP(单英雄!$C$2,英雄装备!$F:$BZ,32,0)</f>
        <v>分身斧</v>
      </c>
      <c r="Y6" s="49" t="str">
        <f>VLOOKUP(单英雄!$C$2,英雄装备!$F:$BZ,33,0)</f>
        <v>洛萨</v>
      </c>
      <c r="Z6" s="49" t="str">
        <f>VLOOKUP(单英雄!$C$2,英雄装备!$F:$BZ,34,0)</f>
        <v>暗灭</v>
      </c>
      <c r="AA6" s="49" t="str">
        <f>VLOOKUP(单英雄!$C$2,英雄装备!$F:$BZ,35,0)</f>
        <v>散华</v>
      </c>
      <c r="AB6" s="49" t="str">
        <f>VLOOKUP(单英雄!$C$2,英雄装备!$F:$BZ,36,0)</f>
        <v>吸血面具</v>
      </c>
      <c r="AC6" s="49" t="str">
        <f>VLOOKUP(单英雄!$C$2,英雄装备!$F:$BZ,37,0)</f>
        <v>敏捷假腿</v>
      </c>
      <c r="AE6" s="48" t="s">
        <v>1100</v>
      </c>
      <c r="AG6" s="232" t="s">
        <v>1076</v>
      </c>
      <c r="AH6" s="232" t="s">
        <v>203</v>
      </c>
      <c r="AI6" s="232" t="s">
        <v>3</v>
      </c>
      <c r="AJ6" s="232">
        <f>SUM(AH111:AH116,AH119:AH124,AJ133)</f>
        <v>161</v>
      </c>
      <c r="AK6" s="232" t="s">
        <v>4</v>
      </c>
      <c r="AL6" s="232">
        <f>SUM(AI111:AI116,AI119:AI124,AL133)</f>
        <v>436</v>
      </c>
      <c r="AM6" s="232" t="s">
        <v>5</v>
      </c>
      <c r="AN6" s="232">
        <f>SUM(AJ111:AJ116,AJ119:AJ124,AN133)</f>
        <v>61</v>
      </c>
      <c r="AO6" s="232" t="s">
        <v>1098</v>
      </c>
      <c r="AP6" s="232">
        <f>IF(单英雄!$G$2="力量",AJ6,IF(单英雄!$G$2="敏捷",AL6,AN6))</f>
        <v>436</v>
      </c>
    </row>
    <row r="7" spans="1:52">
      <c r="B7" s="49" t="str">
        <f>英雄初始!A8</f>
        <v>神灵武士</v>
      </c>
      <c r="D7" s="48" t="s">
        <v>1257</v>
      </c>
      <c r="E7" s="49" t="str">
        <f>VLOOKUP(单英雄!$C$2,英雄初始!$A:$L,2,0)</f>
        <v>前排</v>
      </c>
      <c r="G7" s="233"/>
      <c r="H7" s="50" t="s">
        <v>161</v>
      </c>
      <c r="I7" s="51">
        <f>MAX(VLOOKUP(INDEX(英雄装备!$F:$BZ,MATCH($H7,英雄装备!$F:$F,0),MATCH(I$2,英雄装备!$1:$1,0)-5),装备属性!$A:$C,3,0),VLOOKUP(INDEX(英雄装备!$F:$BZ,MATCH($H7,英雄装备!$F:$F,0),MATCH(I$2,英雄装备!$1:$1,0)-4),装备属性!$A:$C,3,0),VLOOKUP(INDEX(英雄装备!$F:$BZ,MATCH($H7,英雄装备!$F:$F,0),MATCH(I$2,英雄装备!$1:$1,0)-3),装备属性!$A:$C,3,0),VLOOKUP(INDEX(英雄装备!$F:$BZ,MATCH($H7,英雄装备!$F:$F,0),MATCH(I$2,英雄装备!$1:$1,0)-2),装备属性!$A:$C,3,0),VLOOKUP(INDEX(英雄装备!$F:$BZ,MATCH($H7,英雄装备!$F:$F,0),MATCH(I$2,英雄装备!$1:$1,0)-1),装备属性!$A:$C,3,0),VLOOKUP(INDEX(英雄装备!$F:$BZ,MATCH($H7,英雄装备!$F:$F,0),MATCH(I$2,英雄装备!$1:$1,0)),装备属性!$A:$C,3,0))</f>
        <v>2</v>
      </c>
      <c r="J7" s="51">
        <f>MAX(VLOOKUP(INDEX(英雄装备!$F:$BZ,MATCH($H7,英雄装备!$F:$F,0),MATCH(J$2,英雄装备!$1:$1,0)-5),装备属性!$A:$C,3,0),VLOOKUP(INDEX(英雄装备!$F:$BZ,MATCH($H7,英雄装备!$F:$F,0),MATCH(J$2,英雄装备!$1:$1,0)-4),装备属性!$A:$C,3,0),VLOOKUP(INDEX(英雄装备!$F:$BZ,MATCH($H7,英雄装备!$F:$F,0),MATCH(J$2,英雄装备!$1:$1,0)-3),装备属性!$A:$C,3,0),VLOOKUP(INDEX(英雄装备!$F:$BZ,MATCH($H7,英雄装备!$F:$F,0),MATCH(J$2,英雄装备!$1:$1,0)-2),装备属性!$A:$C,3,0),VLOOKUP(INDEX(英雄装备!$F:$BZ,MATCH($H7,英雄装备!$F:$F,0),MATCH(J$2,英雄装备!$1:$1,0)-1),装备属性!$A:$C,3,0),VLOOKUP(INDEX(英雄装备!$F:$BZ,MATCH($H7,英雄装备!$F:$F,0),MATCH(J$2,英雄装备!$1:$1,0)),装备属性!$A:$C,3,0))</f>
        <v>13</v>
      </c>
      <c r="K7" s="51">
        <f>MAX(VLOOKUP(INDEX(英雄装备!$F:$BZ,MATCH($H7,英雄装备!$F:$F,0),MATCH(K$2,英雄装备!$1:$1,0)-5),装备属性!$A:$C,3,0),VLOOKUP(INDEX(英雄装备!$F:$BZ,MATCH($H7,英雄装备!$F:$F,0),MATCH(K$2,英雄装备!$1:$1,0)-4),装备属性!$A:$C,3,0),VLOOKUP(INDEX(英雄装备!$F:$BZ,MATCH($H7,英雄装备!$F:$F,0),MATCH(K$2,英雄装备!$1:$1,0)-3),装备属性!$A:$C,3,0),VLOOKUP(INDEX(英雄装备!$F:$BZ,MATCH($H7,英雄装备!$F:$F,0),MATCH(K$2,英雄装备!$1:$1,0)-2),装备属性!$A:$C,3,0),VLOOKUP(INDEX(英雄装备!$F:$BZ,MATCH($H7,英雄装备!$F:$F,0),MATCH(K$2,英雄装备!$1:$1,0)-1),装备属性!$A:$C,3,0),VLOOKUP(INDEX(英雄装备!$F:$BZ,MATCH($H7,英雄装备!$F:$F,0),MATCH(K$2,英雄装备!$1:$1,0)),装备属性!$A:$C,3,0))</f>
        <v>18</v>
      </c>
      <c r="L7" s="51">
        <f>MAX(VLOOKUP(INDEX(英雄装备!$F:$BZ,MATCH($H7,英雄装备!$F:$F,0),MATCH(L$2,英雄装备!$1:$1,0)-5),装备属性!$A:$C,3,0),VLOOKUP(INDEX(英雄装备!$F:$BZ,MATCH($H7,英雄装备!$F:$F,0),MATCH(L$2,英雄装备!$1:$1,0)-4),装备属性!$A:$C,3,0),VLOOKUP(INDEX(英雄装备!$F:$BZ,MATCH($H7,英雄装备!$F:$F,0),MATCH(L$2,英雄装备!$1:$1,0)-3),装备属性!$A:$C,3,0),VLOOKUP(INDEX(英雄装备!$F:$BZ,MATCH($H7,英雄装备!$F:$F,0),MATCH(L$2,英雄装备!$1:$1,0)-2),装备属性!$A:$C,3,0),VLOOKUP(INDEX(英雄装备!$F:$BZ,MATCH($H7,英雄装备!$F:$F,0),MATCH(L$2,英雄装备!$1:$1,0)-1),装备属性!$A:$C,3,0),VLOOKUP(INDEX(英雄装备!$F:$BZ,MATCH($H7,英雄装备!$F:$F,0),MATCH(L$2,英雄装备!$1:$1,0)),装备属性!$A:$C,3,0))</f>
        <v>32</v>
      </c>
      <c r="M7" s="51">
        <f>MAX(VLOOKUP(INDEX(英雄装备!$F:$BZ,MATCH($H7,英雄装备!$F:$F,0),MATCH(M$2,英雄装备!$1:$1,0)-5),装备属性!$A:$C,3,0),VLOOKUP(INDEX(英雄装备!$F:$BZ,MATCH($H7,英雄装备!$F:$F,0),MATCH(M$2,英雄装备!$1:$1,0)-4),装备属性!$A:$C,3,0),VLOOKUP(INDEX(英雄装备!$F:$BZ,MATCH($H7,英雄装备!$F:$F,0),MATCH(M$2,英雄装备!$1:$1,0)-3),装备属性!$A:$C,3,0),VLOOKUP(INDEX(英雄装备!$F:$BZ,MATCH($H7,英雄装备!$F:$F,0),MATCH(M$2,英雄装备!$1:$1,0)-2),装备属性!$A:$C,3,0),VLOOKUP(INDEX(英雄装备!$F:$BZ,MATCH($H7,英雄装备!$F:$F,0),MATCH(M$2,英雄装备!$1:$1,0)-1),装备属性!$A:$C,3,0),VLOOKUP(INDEX(英雄装备!$F:$BZ,MATCH($H7,英雄装备!$F:$F,0),MATCH(M$2,英雄装备!$1:$1,0)),装备属性!$A:$C,3,0))</f>
        <v>43</v>
      </c>
      <c r="N7" s="51">
        <f>MAX(VLOOKUP(INDEX(英雄装备!$F:$BZ,MATCH($H7,英雄装备!$F:$F,0),MATCH(N$2,英雄装备!$1:$1,0)-5),装备属性!$A:$C,3,0),VLOOKUP(INDEX(英雄装备!$F:$BZ,MATCH($H7,英雄装备!$F:$F,0),MATCH(N$2,英雄装备!$1:$1,0)-4),装备属性!$A:$C,3,0),VLOOKUP(INDEX(英雄装备!$F:$BZ,MATCH($H7,英雄装备!$F:$F,0),MATCH(N$2,英雄装备!$1:$1,0)-3),装备属性!$A:$C,3,0),VLOOKUP(INDEX(英雄装备!$F:$BZ,MATCH($H7,英雄装备!$F:$F,0),MATCH(N$2,英雄装备!$1:$1,0)-2),装备属性!$A:$C,3,0),VLOOKUP(INDEX(英雄装备!$F:$BZ,MATCH($H7,英雄装备!$F:$F,0),MATCH(N$2,英雄装备!$1:$1,0)-1),装备属性!$A:$C,3,0),VLOOKUP(INDEX(英雄装备!$F:$BZ,MATCH($H7,英雄装备!$F:$F,0),MATCH(N$2,英雄装备!$1:$1,0)),装备属性!$A:$C,3,0))</f>
        <v>51</v>
      </c>
      <c r="O7" s="51">
        <f>MAX(VLOOKUP(INDEX(英雄装备!$F:$BZ,MATCH($H7,英雄装备!$F:$F,0),MATCH(O$2,英雄装备!$1:$1,0)-5),装备属性!$A:$C,3,0),VLOOKUP(INDEX(英雄装备!$F:$BZ,MATCH($H7,英雄装备!$F:$F,0),MATCH(O$2,英雄装备!$1:$1,0)-4),装备属性!$A:$C,3,0),VLOOKUP(INDEX(英雄装备!$F:$BZ,MATCH($H7,英雄装备!$F:$F,0),MATCH(O$2,英雄装备!$1:$1,0)-3),装备属性!$A:$C,3,0),VLOOKUP(INDEX(英雄装备!$F:$BZ,MATCH($H7,英雄装备!$F:$F,0),MATCH(O$2,英雄装备!$1:$1,0)-2),装备属性!$A:$C,3,0),VLOOKUP(INDEX(英雄装备!$F:$BZ,MATCH($H7,英雄装备!$F:$F,0),MATCH(O$2,英雄装备!$1:$1,0)-1),装备属性!$A:$C,3,0),VLOOKUP(INDEX(英雄装备!$F:$BZ,MATCH($H7,英雄装备!$F:$F,0),MATCH(O$2,英雄装备!$1:$1,0)),装备属性!$A:$C,3,0))</f>
        <v>64</v>
      </c>
      <c r="P7" s="51">
        <f>MAX(VLOOKUP(INDEX(英雄装备!$F:$BZ,MATCH($H7,英雄装备!$F:$F,0),MATCH(P$2,英雄装备!$1:$1,0)-5),装备属性!$A:$C,3,0),VLOOKUP(INDEX(英雄装备!$F:$BZ,MATCH($H7,英雄装备!$F:$F,0),MATCH(P$2,英雄装备!$1:$1,0)-4),装备属性!$A:$C,3,0),VLOOKUP(INDEX(英雄装备!$F:$BZ,MATCH($H7,英雄装备!$F:$F,0),MATCH(P$2,英雄装备!$1:$1,0)-3),装备属性!$A:$C,3,0),VLOOKUP(INDEX(英雄装备!$F:$BZ,MATCH($H7,英雄装备!$F:$F,0),MATCH(P$2,英雄装备!$1:$1,0)-2),装备属性!$A:$C,3,0),VLOOKUP(INDEX(英雄装备!$F:$BZ,MATCH($H7,英雄装备!$F:$F,0),MATCH(P$2,英雄装备!$1:$1,0)-1),装备属性!$A:$C,3,0),VLOOKUP(INDEX(英雄装备!$F:$BZ,MATCH($H7,英雄装备!$F:$F,0),MATCH(P$2,英雄装备!$1:$1,0)),装备属性!$A:$C,3,0))</f>
        <v>72</v>
      </c>
      <c r="Q7" s="51">
        <f>MAX(VLOOKUP(INDEX(英雄装备!$F:$BZ,MATCH($H7,英雄装备!$F:$F,0),MATCH(Q$2,英雄装备!$1:$1,0)-5),装备属性!$A:$C,3,0),VLOOKUP(INDEX(英雄装备!$F:$BZ,MATCH($H7,英雄装备!$F:$F,0),MATCH(Q$2,英雄装备!$1:$1,0)-4),装备属性!$A:$C,3,0),VLOOKUP(INDEX(英雄装备!$F:$BZ,MATCH($H7,英雄装备!$F:$F,0),MATCH(Q$2,英雄装备!$1:$1,0)-3),装备属性!$A:$C,3,0),VLOOKUP(INDEX(英雄装备!$F:$BZ,MATCH($H7,英雄装备!$F:$F,0),MATCH(Q$2,英雄装备!$1:$1,0)-2),装备属性!$A:$C,3,0),VLOOKUP(INDEX(英雄装备!$F:$BZ,MATCH($H7,英雄装备!$F:$F,0),MATCH(Q$2,英雄装备!$1:$1,0)-1),装备属性!$A:$C,3,0),VLOOKUP(INDEX(英雄装备!$F:$BZ,MATCH($H7,英雄装备!$F:$F,0),MATCH(Q$2,英雄装备!$1:$1,0)),装备属性!$A:$C,3,0))</f>
        <v>78</v>
      </c>
      <c r="R7" s="51">
        <f>MAX(VLOOKUP(INDEX(英雄装备!$F:$BZ,MATCH($H7,英雄装备!$F:$F,0),MATCH(R$2,英雄装备!$1:$1,0)-5),装备属性!$A:$C,3,0),VLOOKUP(INDEX(英雄装备!$F:$BZ,MATCH($H7,英雄装备!$F:$F,0),MATCH(R$2,英雄装备!$1:$1,0)-4),装备属性!$A:$C,3,0),VLOOKUP(INDEX(英雄装备!$F:$BZ,MATCH($H7,英雄装备!$F:$F,0),MATCH(R$2,英雄装备!$1:$1,0)-3),装备属性!$A:$C,3,0),VLOOKUP(INDEX(英雄装备!$F:$BZ,MATCH($H7,英雄装备!$F:$F,0),MATCH(R$2,英雄装备!$1:$1,0)-2),装备属性!$A:$C,3,0),VLOOKUP(INDEX(英雄装备!$F:$BZ,MATCH($H7,英雄装备!$F:$F,0),MATCH(R$2,英雄装备!$1:$1,0)-1),装备属性!$A:$C,3,0),VLOOKUP(INDEX(英雄装备!$F:$BZ,MATCH($H7,英雄装备!$F:$F,0),MATCH(R$2,英雄装备!$1:$1,0)),装备属性!$A:$C,3,0))</f>
        <v>80</v>
      </c>
      <c r="S7" s="51">
        <f>MAX(VLOOKUP(INDEX(英雄装备!$F:$BZ,MATCH($H7,英雄装备!$F:$F,0),MATCH(S$2,英雄装备!$1:$1,0)-5),装备属性!$A:$C,3,0),VLOOKUP(INDEX(英雄装备!$F:$BZ,MATCH($H7,英雄装备!$F:$F,0),MATCH(S$2,英雄装备!$1:$1,0)-4),装备属性!$A:$C,3,0),VLOOKUP(INDEX(英雄装备!$F:$BZ,MATCH($H7,英雄装备!$F:$F,0),MATCH(S$2,英雄装备!$1:$1,0)-3),装备属性!$A:$C,3,0),VLOOKUP(INDEX(英雄装备!$F:$BZ,MATCH($H7,英雄装备!$F:$F,0),MATCH(S$2,英雄装备!$1:$1,0)-2),装备属性!$A:$C,3,0),VLOOKUP(INDEX(英雄装备!$F:$BZ,MATCH($H7,英雄装备!$F:$F,0),MATCH(S$2,英雄装备!$1:$1,0)-1),装备属性!$A:$C,3,0),VLOOKUP(INDEX(英雄装备!$F:$BZ,MATCH($H7,英雄装备!$F:$F,0),MATCH(S$2,英雄装备!$1:$1,0)),装备属性!$A:$C,3,0))</f>
        <v>85</v>
      </c>
      <c r="T7" s="51">
        <f>MAX(VLOOKUP(INDEX(英雄装备!$F:$BZ,MATCH($H7,英雄装备!$F:$F,0),MATCH(T$2,英雄装备!$1:$1,0)-5),装备属性!$A:$C,3,0),VLOOKUP(INDEX(英雄装备!$F:$BZ,MATCH($H7,英雄装备!$F:$F,0),MATCH(T$2,英雄装备!$1:$1,0)-4),装备属性!$A:$C,3,0),VLOOKUP(INDEX(英雄装备!$F:$BZ,MATCH($H7,英雄装备!$F:$F,0),MATCH(T$2,英雄装备!$1:$1,0)-3),装备属性!$A:$C,3,0),VLOOKUP(INDEX(英雄装备!$F:$BZ,MATCH($H7,英雄装备!$F:$F,0),MATCH(T$2,英雄装备!$1:$1,0)-2),装备属性!$A:$C,3,0),VLOOKUP(INDEX(英雄装备!$F:$BZ,MATCH($H7,英雄装备!$F:$F,0),MATCH(T$2,英雄装备!$1:$1,0)-1),装备属性!$A:$C,3,0))</f>
        <v>87</v>
      </c>
      <c r="W7" s="49" t="str">
        <f>IF($V$2&lt;7,"","紫")</f>
        <v>紫</v>
      </c>
      <c r="X7" s="49" t="str">
        <f>VLOOKUP(单英雄!$C$2,英雄装备!$F:$BZ,38,0)</f>
        <v>金箍棒</v>
      </c>
      <c r="Y7" s="49" t="str">
        <f>VLOOKUP(单英雄!$C$2,英雄装备!$F:$BZ,39,0)</f>
        <v>狂战斧</v>
      </c>
      <c r="Z7" s="49" t="str">
        <f>VLOOKUP(单英雄!$C$2,英雄装备!$F:$BZ,40,0)</f>
        <v>疯脸</v>
      </c>
      <c r="AA7" s="49" t="str">
        <f>VLOOKUP(单英雄!$C$2,英雄装备!$F:$BZ,41,0)</f>
        <v>冲锋盾</v>
      </c>
      <c r="AB7" s="49" t="str">
        <f>VLOOKUP(单英雄!$C$2,英雄装备!$F:$BZ,42,0)</f>
        <v>敏捷系带</v>
      </c>
      <c r="AC7" s="49" t="str">
        <f>VLOOKUP(单英雄!$C$2,英雄装备!$F:$BZ,43,0)</f>
        <v>敏捷假腿</v>
      </c>
      <c r="AE7" s="49" t="s">
        <v>1101</v>
      </c>
      <c r="AF7" s="49">
        <f>VLOOKUP(单英雄!$C$2,英雄初始!$A:$K,3,0)</f>
        <v>22</v>
      </c>
      <c r="AG7" s="232"/>
      <c r="AH7" s="232"/>
      <c r="AI7" s="232"/>
      <c r="AJ7" s="232"/>
      <c r="AK7" s="232"/>
      <c r="AL7" s="232"/>
      <c r="AM7" s="232"/>
      <c r="AN7" s="232"/>
      <c r="AO7" s="232"/>
      <c r="AP7" s="232"/>
    </row>
    <row r="8" spans="1:52">
      <c r="B8" s="49" t="str">
        <f>英雄初始!A9</f>
        <v>神牛</v>
      </c>
      <c r="G8" s="233"/>
      <c r="H8" s="50" t="s">
        <v>162</v>
      </c>
      <c r="I8" s="51">
        <f>MAX(VLOOKUP(INDEX(英雄装备!$F:$BZ,MATCH($H8,英雄装备!$F:$F,0),MATCH(I$2,英雄装备!$1:$1,0)-5),装备属性!$A:$C,3,0),VLOOKUP(INDEX(英雄装备!$F:$BZ,MATCH($H8,英雄装备!$F:$F,0),MATCH(I$2,英雄装备!$1:$1,0)-4),装备属性!$A:$C,3,0),VLOOKUP(INDEX(英雄装备!$F:$BZ,MATCH($H8,英雄装备!$F:$F,0),MATCH(I$2,英雄装备!$1:$1,0)-3),装备属性!$A:$C,3,0),VLOOKUP(INDEX(英雄装备!$F:$BZ,MATCH($H8,英雄装备!$F:$F,0),MATCH(I$2,英雄装备!$1:$1,0)-2),装备属性!$A:$C,3,0),VLOOKUP(INDEX(英雄装备!$F:$BZ,MATCH($H8,英雄装备!$F:$F,0),MATCH(I$2,英雄装备!$1:$1,0)-1),装备属性!$A:$C,3,0),VLOOKUP(INDEX(英雄装备!$F:$BZ,MATCH($H8,英雄装备!$F:$F,0),MATCH(I$2,英雄装备!$1:$1,0)),装备属性!$A:$C,3,0))</f>
        <v>2</v>
      </c>
      <c r="J8" s="51">
        <f>MAX(VLOOKUP(INDEX(英雄装备!$F:$BZ,MATCH($H8,英雄装备!$F:$F,0),MATCH(J$2,英雄装备!$1:$1,0)-5),装备属性!$A:$C,3,0),VLOOKUP(INDEX(英雄装备!$F:$BZ,MATCH($H8,英雄装备!$F:$F,0),MATCH(J$2,英雄装备!$1:$1,0)-4),装备属性!$A:$C,3,0),VLOOKUP(INDEX(英雄装备!$F:$BZ,MATCH($H8,英雄装备!$F:$F,0),MATCH(J$2,英雄装备!$1:$1,0)-3),装备属性!$A:$C,3,0),VLOOKUP(INDEX(英雄装备!$F:$BZ,MATCH($H8,英雄装备!$F:$F,0),MATCH(J$2,英雄装备!$1:$1,0)-2),装备属性!$A:$C,3,0),VLOOKUP(INDEX(英雄装备!$F:$BZ,MATCH($H8,英雄装备!$F:$F,0),MATCH(J$2,英雄装备!$1:$1,0)-1),装备属性!$A:$C,3,0),VLOOKUP(INDEX(英雄装备!$F:$BZ,MATCH($H8,英雄装备!$F:$F,0),MATCH(J$2,英雄装备!$1:$1,0)),装备属性!$A:$C,3,0))</f>
        <v>10</v>
      </c>
      <c r="K8" s="51">
        <f>MAX(VLOOKUP(INDEX(英雄装备!$F:$BZ,MATCH($H8,英雄装备!$F:$F,0),MATCH(K$2,英雄装备!$1:$1,0)-5),装备属性!$A:$C,3,0),VLOOKUP(INDEX(英雄装备!$F:$BZ,MATCH($H8,英雄装备!$F:$F,0),MATCH(K$2,英雄装备!$1:$1,0)-4),装备属性!$A:$C,3,0),VLOOKUP(INDEX(英雄装备!$F:$BZ,MATCH($H8,英雄装备!$F:$F,0),MATCH(K$2,英雄装备!$1:$1,0)-3),装备属性!$A:$C,3,0),VLOOKUP(INDEX(英雄装备!$F:$BZ,MATCH($H8,英雄装备!$F:$F,0),MATCH(K$2,英雄装备!$1:$1,0)-2),装备属性!$A:$C,3,0),VLOOKUP(INDEX(英雄装备!$F:$BZ,MATCH($H8,英雄装备!$F:$F,0),MATCH(K$2,英雄装备!$1:$1,0)-1),装备属性!$A:$C,3,0),VLOOKUP(INDEX(英雄装备!$F:$BZ,MATCH($H8,英雄装备!$F:$F,0),MATCH(K$2,英雄装备!$1:$1,0)),装备属性!$A:$C,3,0))</f>
        <v>21</v>
      </c>
      <c r="L8" s="51">
        <f>MAX(VLOOKUP(INDEX(英雄装备!$F:$BZ,MATCH($H8,英雄装备!$F:$F,0),MATCH(L$2,英雄装备!$1:$1,0)-5),装备属性!$A:$C,3,0),VLOOKUP(INDEX(英雄装备!$F:$BZ,MATCH($H8,英雄装备!$F:$F,0),MATCH(L$2,英雄装备!$1:$1,0)-4),装备属性!$A:$C,3,0),VLOOKUP(INDEX(英雄装备!$F:$BZ,MATCH($H8,英雄装备!$F:$F,0),MATCH(L$2,英雄装备!$1:$1,0)-3),装备属性!$A:$C,3,0),VLOOKUP(INDEX(英雄装备!$F:$BZ,MATCH($H8,英雄装备!$F:$F,0),MATCH(L$2,英雄装备!$1:$1,0)-2),装备属性!$A:$C,3,0),VLOOKUP(INDEX(英雄装备!$F:$BZ,MATCH($H8,英雄装备!$F:$F,0),MATCH(L$2,英雄装备!$1:$1,0)-1),装备属性!$A:$C,3,0),VLOOKUP(INDEX(英雄装备!$F:$BZ,MATCH($H8,英雄装备!$F:$F,0),MATCH(L$2,英雄装备!$1:$1,0)),装备属性!$A:$C,3,0))</f>
        <v>35</v>
      </c>
      <c r="M8" s="51">
        <f>MAX(VLOOKUP(INDEX(英雄装备!$F:$BZ,MATCH($H8,英雄装备!$F:$F,0),MATCH(M$2,英雄装备!$1:$1,0)-5),装备属性!$A:$C,3,0),VLOOKUP(INDEX(英雄装备!$F:$BZ,MATCH($H8,英雄装备!$F:$F,0),MATCH(M$2,英雄装备!$1:$1,0)-4),装备属性!$A:$C,3,0),VLOOKUP(INDEX(英雄装备!$F:$BZ,MATCH($H8,英雄装备!$F:$F,0),MATCH(M$2,英雄装备!$1:$1,0)-3),装备属性!$A:$C,3,0),VLOOKUP(INDEX(英雄装备!$F:$BZ,MATCH($H8,英雄装备!$F:$F,0),MATCH(M$2,英雄装备!$1:$1,0)-2),装备属性!$A:$C,3,0),VLOOKUP(INDEX(英雄装备!$F:$BZ,MATCH($H8,英雄装备!$F:$F,0),MATCH(M$2,英雄装备!$1:$1,0)-1),装备属性!$A:$C,3,0),VLOOKUP(INDEX(英雄装备!$F:$BZ,MATCH($H8,英雄装备!$F:$F,0),MATCH(M$2,英雄装备!$1:$1,0)),装备属性!$A:$C,3,0))</f>
        <v>41</v>
      </c>
      <c r="N8" s="51">
        <f>MAX(VLOOKUP(INDEX(英雄装备!$F:$BZ,MATCH($H8,英雄装备!$F:$F,0),MATCH(N$2,英雄装备!$1:$1,0)-5),装备属性!$A:$C,3,0),VLOOKUP(INDEX(英雄装备!$F:$BZ,MATCH($H8,英雄装备!$F:$F,0),MATCH(N$2,英雄装备!$1:$1,0)-4),装备属性!$A:$C,3,0),VLOOKUP(INDEX(英雄装备!$F:$BZ,MATCH($H8,英雄装备!$F:$F,0),MATCH(N$2,英雄装备!$1:$1,0)-3),装备属性!$A:$C,3,0),VLOOKUP(INDEX(英雄装备!$F:$BZ,MATCH($H8,英雄装备!$F:$F,0),MATCH(N$2,英雄装备!$1:$1,0)-2),装备属性!$A:$C,3,0),VLOOKUP(INDEX(英雄装备!$F:$BZ,MATCH($H8,英雄装备!$F:$F,0),MATCH(N$2,英雄装备!$1:$1,0)-1),装备属性!$A:$C,3,0),VLOOKUP(INDEX(英雄装备!$F:$BZ,MATCH($H8,英雄装备!$F:$F,0),MATCH(N$2,英雄装备!$1:$1,0)),装备属性!$A:$C,3,0))</f>
        <v>52</v>
      </c>
      <c r="O8" s="51">
        <f>MAX(VLOOKUP(INDEX(英雄装备!$F:$BZ,MATCH($H8,英雄装备!$F:$F,0),MATCH(O$2,英雄装备!$1:$1,0)-5),装备属性!$A:$C,3,0),VLOOKUP(INDEX(英雄装备!$F:$BZ,MATCH($H8,英雄装备!$F:$F,0),MATCH(O$2,英雄装备!$1:$1,0)-4),装备属性!$A:$C,3,0),VLOOKUP(INDEX(英雄装备!$F:$BZ,MATCH($H8,英雄装备!$F:$F,0),MATCH(O$2,英雄装备!$1:$1,0)-3),装备属性!$A:$C,3,0),VLOOKUP(INDEX(英雄装备!$F:$BZ,MATCH($H8,英雄装备!$F:$F,0),MATCH(O$2,英雄装备!$1:$1,0)-2),装备属性!$A:$C,3,0),VLOOKUP(INDEX(英雄装备!$F:$BZ,MATCH($H8,英雄装备!$F:$F,0),MATCH(O$2,英雄装备!$1:$1,0)-1),装备属性!$A:$C,3,0),VLOOKUP(INDEX(英雄装备!$F:$BZ,MATCH($H8,英雄装备!$F:$F,0),MATCH(O$2,英雄装备!$1:$1,0)),装备属性!$A:$C,3,0))</f>
        <v>62</v>
      </c>
      <c r="P8" s="51">
        <f>MAX(VLOOKUP(INDEX(英雄装备!$F:$BZ,MATCH($H8,英雄装备!$F:$F,0),MATCH(P$2,英雄装备!$1:$1,0)-5),装备属性!$A:$C,3,0),VLOOKUP(INDEX(英雄装备!$F:$BZ,MATCH($H8,英雄装备!$F:$F,0),MATCH(P$2,英雄装备!$1:$1,0)-4),装备属性!$A:$C,3,0),VLOOKUP(INDEX(英雄装备!$F:$BZ,MATCH($H8,英雄装备!$F:$F,0),MATCH(P$2,英雄装备!$1:$1,0)-3),装备属性!$A:$C,3,0),VLOOKUP(INDEX(英雄装备!$F:$BZ,MATCH($H8,英雄装备!$F:$F,0),MATCH(P$2,英雄装备!$1:$1,0)-2),装备属性!$A:$C,3,0),VLOOKUP(INDEX(英雄装备!$F:$BZ,MATCH($H8,英雄装备!$F:$F,0),MATCH(P$2,英雄装备!$1:$1,0)-1),装备属性!$A:$C,3,0),VLOOKUP(INDEX(英雄装备!$F:$BZ,MATCH($H8,英雄装备!$F:$F,0),MATCH(P$2,英雄装备!$1:$1,0)),装备属性!$A:$C,3,0))</f>
        <v>70</v>
      </c>
      <c r="Q8" s="51">
        <f>MAX(VLOOKUP(INDEX(英雄装备!$F:$BZ,MATCH($H8,英雄装备!$F:$F,0),MATCH(Q$2,英雄装备!$1:$1,0)-5),装备属性!$A:$C,3,0),VLOOKUP(INDEX(英雄装备!$F:$BZ,MATCH($H8,英雄装备!$F:$F,0),MATCH(Q$2,英雄装备!$1:$1,0)-4),装备属性!$A:$C,3,0),VLOOKUP(INDEX(英雄装备!$F:$BZ,MATCH($H8,英雄装备!$F:$F,0),MATCH(Q$2,英雄装备!$1:$1,0)-3),装备属性!$A:$C,3,0),VLOOKUP(INDEX(英雄装备!$F:$BZ,MATCH($H8,英雄装备!$F:$F,0),MATCH(Q$2,英雄装备!$1:$1,0)-2),装备属性!$A:$C,3,0),VLOOKUP(INDEX(英雄装备!$F:$BZ,MATCH($H8,英雄装备!$F:$F,0),MATCH(Q$2,英雄装备!$1:$1,0)-1),装备属性!$A:$C,3,0),VLOOKUP(INDEX(英雄装备!$F:$BZ,MATCH($H8,英雄装备!$F:$F,0),MATCH(Q$2,英雄装备!$1:$1,0)),装备属性!$A:$C,3,0))</f>
        <v>77</v>
      </c>
      <c r="R8" s="51">
        <f>MAX(VLOOKUP(INDEX(英雄装备!$F:$BZ,MATCH($H8,英雄装备!$F:$F,0),MATCH(R$2,英雄装备!$1:$1,0)-5),装备属性!$A:$C,3,0),VLOOKUP(INDEX(英雄装备!$F:$BZ,MATCH($H8,英雄装备!$F:$F,0),MATCH(R$2,英雄装备!$1:$1,0)-4),装备属性!$A:$C,3,0),VLOOKUP(INDEX(英雄装备!$F:$BZ,MATCH($H8,英雄装备!$F:$F,0),MATCH(R$2,英雄装备!$1:$1,0)-3),装备属性!$A:$C,3,0),VLOOKUP(INDEX(英雄装备!$F:$BZ,MATCH($H8,英雄装备!$F:$F,0),MATCH(R$2,英雄装备!$1:$1,0)-2),装备属性!$A:$C,3,0),VLOOKUP(INDEX(英雄装备!$F:$BZ,MATCH($H8,英雄装备!$F:$F,0),MATCH(R$2,英雄装备!$1:$1,0)-1),装备属性!$A:$C,3,0),VLOOKUP(INDEX(英雄装备!$F:$BZ,MATCH($H8,英雄装备!$F:$F,0),MATCH(R$2,英雄装备!$1:$1,0)),装备属性!$A:$C,3,0))</f>
        <v>72</v>
      </c>
      <c r="S8" s="51">
        <f>MAX(VLOOKUP(INDEX(英雄装备!$F:$BZ,MATCH($H8,英雄装备!$F:$F,0),MATCH(S$2,英雄装备!$1:$1,0)-5),装备属性!$A:$C,3,0),VLOOKUP(INDEX(英雄装备!$F:$BZ,MATCH($H8,英雄装备!$F:$F,0),MATCH(S$2,英雄装备!$1:$1,0)-4),装备属性!$A:$C,3,0),VLOOKUP(INDEX(英雄装备!$F:$BZ,MATCH($H8,英雄装备!$F:$F,0),MATCH(S$2,英雄装备!$1:$1,0)-3),装备属性!$A:$C,3,0),VLOOKUP(INDEX(英雄装备!$F:$BZ,MATCH($H8,英雄装备!$F:$F,0),MATCH(S$2,英雄装备!$1:$1,0)-2),装备属性!$A:$C,3,0),VLOOKUP(INDEX(英雄装备!$F:$BZ,MATCH($H8,英雄装备!$F:$F,0),MATCH(S$2,英雄装备!$1:$1,0)-1),装备属性!$A:$C,3,0),VLOOKUP(INDEX(英雄装备!$F:$BZ,MATCH($H8,英雄装备!$F:$F,0),MATCH(S$2,英雄装备!$1:$1,0)),装备属性!$A:$C,3,0))</f>
        <v>84</v>
      </c>
      <c r="T8" s="51">
        <f>MAX(VLOOKUP(INDEX(英雄装备!$F:$BZ,MATCH($H8,英雄装备!$F:$F,0),MATCH(T$2,英雄装备!$1:$1,0)-5),装备属性!$A:$C,3,0),VLOOKUP(INDEX(英雄装备!$F:$BZ,MATCH($H8,英雄装备!$F:$F,0),MATCH(T$2,英雄装备!$1:$1,0)-4),装备属性!$A:$C,3,0),VLOOKUP(INDEX(英雄装备!$F:$BZ,MATCH($H8,英雄装备!$F:$F,0),MATCH(T$2,英雄装备!$1:$1,0)-3),装备属性!$A:$C,3,0),VLOOKUP(INDEX(英雄装备!$F:$BZ,MATCH($H8,英雄装备!$F:$F,0),MATCH(T$2,英雄装备!$1:$1,0)-2),装备属性!$A:$C,3,0),VLOOKUP(INDEX(英雄装备!$F:$BZ,MATCH($H8,英雄装备!$F:$F,0),MATCH(T$2,英雄装备!$1:$1,0)-1),装备属性!$A:$C,3,0))</f>
        <v>88</v>
      </c>
      <c r="W8" s="49" t="str">
        <f>IF($V$2&lt;8,"","紫+1")</f>
        <v>紫+1</v>
      </c>
      <c r="X8" s="49" t="str">
        <f>VLOOKUP(单英雄!$C$2,英雄装备!$F:$BZ,44,0)</f>
        <v>蝴蝶</v>
      </c>
      <c r="Y8" s="49" t="str">
        <f>VLOOKUP(单英雄!$C$2,英雄装备!$F:$BZ,45,0)</f>
        <v>强袭</v>
      </c>
      <c r="Z8" s="49" t="str">
        <f>VLOOKUP(单英雄!$C$2,英雄装备!$F:$BZ,46,0)</f>
        <v>碎骨锤</v>
      </c>
      <c r="AA8" s="49" t="str">
        <f>VLOOKUP(单英雄!$C$2,英雄装备!$F:$BZ,47,0)</f>
        <v>大剑</v>
      </c>
      <c r="AB8" s="49" t="str">
        <f>VLOOKUP(单英雄!$C$2,英雄装备!$F:$BZ,48,0)</f>
        <v>支配</v>
      </c>
      <c r="AC8" s="49" t="str">
        <f>VLOOKUP(单英雄!$C$2,英雄装备!$F:$BZ,49,0)</f>
        <v>飞鞋</v>
      </c>
      <c r="AE8" s="49" t="s">
        <v>1102</v>
      </c>
      <c r="AF8" s="49">
        <f>VLOOKUP(单英雄!$C$2,英雄初始!$A:$K,4,0)</f>
        <v>24</v>
      </c>
      <c r="AG8" s="232"/>
      <c r="AH8" s="232" t="s">
        <v>1077</v>
      </c>
      <c r="AI8" s="50" t="s">
        <v>103</v>
      </c>
      <c r="AJ8" s="50" t="s">
        <v>14</v>
      </c>
      <c r="AK8" s="50" t="s">
        <v>47</v>
      </c>
      <c r="AL8" s="50" t="s">
        <v>35</v>
      </c>
      <c r="AM8" s="50" t="s">
        <v>38</v>
      </c>
      <c r="AN8" s="50" t="s">
        <v>34</v>
      </c>
      <c r="AO8" s="50" t="s">
        <v>56</v>
      </c>
      <c r="AP8" s="50" t="s">
        <v>84</v>
      </c>
      <c r="AQ8" s="50" t="s">
        <v>98</v>
      </c>
      <c r="AR8" s="50" t="s">
        <v>2099</v>
      </c>
      <c r="AS8" s="119" t="s">
        <v>1874</v>
      </c>
      <c r="AT8" s="50" t="s">
        <v>91</v>
      </c>
      <c r="AU8" s="50" t="s">
        <v>13</v>
      </c>
      <c r="AV8" s="50" t="s">
        <v>18</v>
      </c>
      <c r="AW8" s="51" t="s">
        <v>71</v>
      </c>
      <c r="AX8" s="50" t="s">
        <v>130</v>
      </c>
      <c r="AY8" s="141" t="s">
        <v>2096</v>
      </c>
      <c r="AZ8" s="141" t="s">
        <v>2097</v>
      </c>
    </row>
    <row r="9" spans="1:52">
      <c r="B9" s="49" t="str">
        <f>英雄初始!A10</f>
        <v>死骑</v>
      </c>
      <c r="G9" s="233"/>
      <c r="H9" s="50" t="s">
        <v>1260</v>
      </c>
      <c r="I9" s="51">
        <f>MAX(VLOOKUP(INDEX(英雄装备!$F:$BZ,MATCH($H9,英雄装备!$F:$F,0),MATCH(I$2,英雄装备!$1:$1,0)-5),装备属性!$A:$C,3,0),VLOOKUP(INDEX(英雄装备!$F:$BZ,MATCH($H9,英雄装备!$F:$F,0),MATCH(I$2,英雄装备!$1:$1,0)-4),装备属性!$A:$C,3,0),VLOOKUP(INDEX(英雄装备!$F:$BZ,MATCH($H9,英雄装备!$F:$F,0),MATCH(I$2,英雄装备!$1:$1,0)-3),装备属性!$A:$C,3,0),VLOOKUP(INDEX(英雄装备!$F:$BZ,MATCH($H9,英雄装备!$F:$F,0),MATCH(I$2,英雄装备!$1:$1,0)-2),装备属性!$A:$C,3,0),VLOOKUP(INDEX(英雄装备!$F:$BZ,MATCH($H9,英雄装备!$F:$F,0),MATCH(I$2,英雄装备!$1:$1,0)-1),装备属性!$A:$C,3,0),VLOOKUP(INDEX(英雄装备!$F:$BZ,MATCH($H9,英雄装备!$F:$F,0),MATCH(I$2,英雄装备!$1:$1,0)),装备属性!$A:$C,3,0))</f>
        <v>2</v>
      </c>
      <c r="J9" s="51">
        <f>MAX(VLOOKUP(INDEX(英雄装备!$F:$BZ,MATCH($H9,英雄装备!$F:$F,0),MATCH(J$2,英雄装备!$1:$1,0)-5),装备属性!$A:$C,3,0),VLOOKUP(INDEX(英雄装备!$F:$BZ,MATCH($H9,英雄装备!$F:$F,0),MATCH(J$2,英雄装备!$1:$1,0)-4),装备属性!$A:$C,3,0),VLOOKUP(INDEX(英雄装备!$F:$BZ,MATCH($H9,英雄装备!$F:$F,0),MATCH(J$2,英雄装备!$1:$1,0)-3),装备属性!$A:$C,3,0),VLOOKUP(INDEX(英雄装备!$F:$BZ,MATCH($H9,英雄装备!$F:$F,0),MATCH(J$2,英雄装备!$1:$1,0)-2),装备属性!$A:$C,3,0),VLOOKUP(INDEX(英雄装备!$F:$BZ,MATCH($H9,英雄装备!$F:$F,0),MATCH(J$2,英雄装备!$1:$1,0)-1),装备属性!$A:$C,3,0),VLOOKUP(INDEX(英雄装备!$F:$BZ,MATCH($H9,英雄装备!$F:$F,0),MATCH(J$2,英雄装备!$1:$1,0)),装备属性!$A:$C,3,0))</f>
        <v>10</v>
      </c>
      <c r="K9" s="51">
        <f>MAX(VLOOKUP(INDEX(英雄装备!$F:$BZ,MATCH($H9,英雄装备!$F:$F,0),MATCH(K$2,英雄装备!$1:$1,0)-5),装备属性!$A:$C,3,0),VLOOKUP(INDEX(英雄装备!$F:$BZ,MATCH($H9,英雄装备!$F:$F,0),MATCH(K$2,英雄装备!$1:$1,0)-4),装备属性!$A:$C,3,0),VLOOKUP(INDEX(英雄装备!$F:$BZ,MATCH($H9,英雄装备!$F:$F,0),MATCH(K$2,英雄装备!$1:$1,0)-3),装备属性!$A:$C,3,0),VLOOKUP(INDEX(英雄装备!$F:$BZ,MATCH($H9,英雄装备!$F:$F,0),MATCH(K$2,英雄装备!$1:$1,0)-2),装备属性!$A:$C,3,0),VLOOKUP(INDEX(英雄装备!$F:$BZ,MATCH($H9,英雄装备!$F:$F,0),MATCH(K$2,英雄装备!$1:$1,0)-1),装备属性!$A:$C,3,0),VLOOKUP(INDEX(英雄装备!$F:$BZ,MATCH($H9,英雄装备!$F:$F,0),MATCH(K$2,英雄装备!$1:$1,0)),装备属性!$A:$C,3,0))</f>
        <v>20</v>
      </c>
      <c r="L9" s="51">
        <f>MAX(VLOOKUP(INDEX(英雄装备!$F:$BZ,MATCH($H9,英雄装备!$F:$F,0),MATCH(L$2,英雄装备!$1:$1,0)-5),装备属性!$A:$C,3,0),VLOOKUP(INDEX(英雄装备!$F:$BZ,MATCH($H9,英雄装备!$F:$F,0),MATCH(L$2,英雄装备!$1:$1,0)-4),装备属性!$A:$C,3,0),VLOOKUP(INDEX(英雄装备!$F:$BZ,MATCH($H9,英雄装备!$F:$F,0),MATCH(L$2,英雄装备!$1:$1,0)-3),装备属性!$A:$C,3,0),VLOOKUP(INDEX(英雄装备!$F:$BZ,MATCH($H9,英雄装备!$F:$F,0),MATCH(L$2,英雄装备!$1:$1,0)-2),装备属性!$A:$C,3,0),VLOOKUP(INDEX(英雄装备!$F:$BZ,MATCH($H9,英雄装备!$F:$F,0),MATCH(L$2,英雄装备!$1:$1,0)-1),装备属性!$A:$C,3,0),VLOOKUP(INDEX(英雄装备!$F:$BZ,MATCH($H9,英雄装备!$F:$F,0),MATCH(L$2,英雄装备!$1:$1,0)),装备属性!$A:$C,3,0))</f>
        <v>32</v>
      </c>
      <c r="M9" s="51">
        <f>MAX(VLOOKUP(INDEX(英雄装备!$F:$BZ,MATCH($H9,英雄装备!$F:$F,0),MATCH(M$2,英雄装备!$1:$1,0)-5),装备属性!$A:$C,3,0),VLOOKUP(INDEX(英雄装备!$F:$BZ,MATCH($H9,英雄装备!$F:$F,0),MATCH(M$2,英雄装备!$1:$1,0)-4),装备属性!$A:$C,3,0),VLOOKUP(INDEX(英雄装备!$F:$BZ,MATCH($H9,英雄装备!$F:$F,0),MATCH(M$2,英雄装备!$1:$1,0)-3),装备属性!$A:$C,3,0),VLOOKUP(INDEX(英雄装备!$F:$BZ,MATCH($H9,英雄装备!$F:$F,0),MATCH(M$2,英雄装备!$1:$1,0)-2),装备属性!$A:$C,3,0),VLOOKUP(INDEX(英雄装备!$F:$BZ,MATCH($H9,英雄装备!$F:$F,0),MATCH(M$2,英雄装备!$1:$1,0)-1),装备属性!$A:$C,3,0),VLOOKUP(INDEX(英雄装备!$F:$BZ,MATCH($H9,英雄装备!$F:$F,0),MATCH(M$2,英雄装备!$1:$1,0)),装备属性!$A:$C,3,0))</f>
        <v>37</v>
      </c>
      <c r="N9" s="51">
        <f>MAX(VLOOKUP(INDEX(英雄装备!$F:$BZ,MATCH($H9,英雄装备!$F:$F,0),MATCH(N$2,英雄装备!$1:$1,0)-5),装备属性!$A:$C,3,0),VLOOKUP(INDEX(英雄装备!$F:$BZ,MATCH($H9,英雄装备!$F:$F,0),MATCH(N$2,英雄装备!$1:$1,0)-4),装备属性!$A:$C,3,0),VLOOKUP(INDEX(英雄装备!$F:$BZ,MATCH($H9,英雄装备!$F:$F,0),MATCH(N$2,英雄装备!$1:$1,0)-3),装备属性!$A:$C,3,0),VLOOKUP(INDEX(英雄装备!$F:$BZ,MATCH($H9,英雄装备!$F:$F,0),MATCH(N$2,英雄装备!$1:$1,0)-2),装备属性!$A:$C,3,0),VLOOKUP(INDEX(英雄装备!$F:$BZ,MATCH($H9,英雄装备!$F:$F,0),MATCH(N$2,英雄装备!$1:$1,0)-1),装备属性!$A:$C,3,0),VLOOKUP(INDEX(英雄装备!$F:$BZ,MATCH($H9,英雄装备!$F:$F,0),MATCH(N$2,英雄装备!$1:$1,0)),装备属性!$A:$C,3,0))</f>
        <v>51</v>
      </c>
      <c r="O9" s="51">
        <f>MAX(VLOOKUP(INDEX(英雄装备!$F:$BZ,MATCH($H9,英雄装备!$F:$F,0),MATCH(O$2,英雄装备!$1:$1,0)-5),装备属性!$A:$C,3,0),VLOOKUP(INDEX(英雄装备!$F:$BZ,MATCH($H9,英雄装备!$F:$F,0),MATCH(O$2,英雄装备!$1:$1,0)-4),装备属性!$A:$C,3,0),VLOOKUP(INDEX(英雄装备!$F:$BZ,MATCH($H9,英雄装备!$F:$F,0),MATCH(O$2,英雄装备!$1:$1,0)-3),装备属性!$A:$C,3,0),VLOOKUP(INDEX(英雄装备!$F:$BZ,MATCH($H9,英雄装备!$F:$F,0),MATCH(O$2,英雄装备!$1:$1,0)-2),装备属性!$A:$C,3,0),VLOOKUP(INDEX(英雄装备!$F:$BZ,MATCH($H9,英雄装备!$F:$F,0),MATCH(O$2,英雄装备!$1:$1,0)-1),装备属性!$A:$C,3,0),VLOOKUP(INDEX(英雄装备!$F:$BZ,MATCH($H9,英雄装备!$F:$F,0),MATCH(O$2,英雄装备!$1:$1,0)),装备属性!$A:$C,3,0))</f>
        <v>65</v>
      </c>
      <c r="P9" s="51">
        <f>MAX(VLOOKUP(INDEX(英雄装备!$F:$BZ,MATCH($H9,英雄装备!$F:$F,0),MATCH(P$2,英雄装备!$1:$1,0)-5),装备属性!$A:$C,3,0),VLOOKUP(INDEX(英雄装备!$F:$BZ,MATCH($H9,英雄装备!$F:$F,0),MATCH(P$2,英雄装备!$1:$1,0)-4),装备属性!$A:$C,3,0),VLOOKUP(INDEX(英雄装备!$F:$BZ,MATCH($H9,英雄装备!$F:$F,0),MATCH(P$2,英雄装备!$1:$1,0)-3),装备属性!$A:$C,3,0),VLOOKUP(INDEX(英雄装备!$F:$BZ,MATCH($H9,英雄装备!$F:$F,0),MATCH(P$2,英雄装备!$1:$1,0)-2),装备属性!$A:$C,3,0),VLOOKUP(INDEX(英雄装备!$F:$BZ,MATCH($H9,英雄装备!$F:$F,0),MATCH(P$2,英雄装备!$1:$1,0)-1),装备属性!$A:$C,3,0),VLOOKUP(INDEX(英雄装备!$F:$BZ,MATCH($H9,英雄装备!$F:$F,0),MATCH(P$2,英雄装备!$1:$1,0)),装备属性!$A:$C,3,0))</f>
        <v>72</v>
      </c>
      <c r="Q9" s="51">
        <f>MAX(VLOOKUP(INDEX(英雄装备!$F:$BZ,MATCH($H9,英雄装备!$F:$F,0),MATCH(Q$2,英雄装备!$1:$1,0)-5),装备属性!$A:$C,3,0),VLOOKUP(INDEX(英雄装备!$F:$BZ,MATCH($H9,英雄装备!$F:$F,0),MATCH(Q$2,英雄装备!$1:$1,0)-4),装备属性!$A:$C,3,0),VLOOKUP(INDEX(英雄装备!$F:$BZ,MATCH($H9,英雄装备!$F:$F,0),MATCH(Q$2,英雄装备!$1:$1,0)-3),装备属性!$A:$C,3,0),VLOOKUP(INDEX(英雄装备!$F:$BZ,MATCH($H9,英雄装备!$F:$F,0),MATCH(Q$2,英雄装备!$1:$1,0)-2),装备属性!$A:$C,3,0),VLOOKUP(INDEX(英雄装备!$F:$BZ,MATCH($H9,英雄装备!$F:$F,0),MATCH(Q$2,英雄装备!$1:$1,0)-1),装备属性!$A:$C,3,0),VLOOKUP(INDEX(英雄装备!$F:$BZ,MATCH($H9,英雄装备!$F:$F,0),MATCH(Q$2,英雄装备!$1:$1,0)),装备属性!$A:$C,3,0))</f>
        <v>79</v>
      </c>
      <c r="R9" s="51">
        <f>MAX(VLOOKUP(INDEX(英雄装备!$F:$BZ,MATCH($H9,英雄装备!$F:$F,0),MATCH(R$2,英雄装备!$1:$1,0)-5),装备属性!$A:$C,3,0),VLOOKUP(INDEX(英雄装备!$F:$BZ,MATCH($H9,英雄装备!$F:$F,0),MATCH(R$2,英雄装备!$1:$1,0)-4),装备属性!$A:$C,3,0),VLOOKUP(INDEX(英雄装备!$F:$BZ,MATCH($H9,英雄装备!$F:$F,0),MATCH(R$2,英雄装备!$1:$1,0)-3),装备属性!$A:$C,3,0),VLOOKUP(INDEX(英雄装备!$F:$BZ,MATCH($H9,英雄装备!$F:$F,0),MATCH(R$2,英雄装备!$1:$1,0)-2),装备属性!$A:$C,3,0),VLOOKUP(INDEX(英雄装备!$F:$BZ,MATCH($H9,英雄装备!$F:$F,0),MATCH(R$2,英雄装备!$1:$1,0)-1),装备属性!$A:$C,3,0),VLOOKUP(INDEX(英雄装备!$F:$BZ,MATCH($H9,英雄装备!$F:$F,0),MATCH(R$2,英雄装备!$1:$1,0)),装备属性!$A:$C,3,0))</f>
        <v>80</v>
      </c>
      <c r="S9" s="51">
        <f>MAX(VLOOKUP(INDEX(英雄装备!$F:$BZ,MATCH($H9,英雄装备!$F:$F,0),MATCH(S$2,英雄装备!$1:$1,0)-5),装备属性!$A:$C,3,0),VLOOKUP(INDEX(英雄装备!$F:$BZ,MATCH($H9,英雄装备!$F:$F,0),MATCH(S$2,英雄装备!$1:$1,0)-4),装备属性!$A:$C,3,0),VLOOKUP(INDEX(英雄装备!$F:$BZ,MATCH($H9,英雄装备!$F:$F,0),MATCH(S$2,英雄装备!$1:$1,0)-3),装备属性!$A:$C,3,0),VLOOKUP(INDEX(英雄装备!$F:$BZ,MATCH($H9,英雄装备!$F:$F,0),MATCH(S$2,英雄装备!$1:$1,0)-2),装备属性!$A:$C,3,0),VLOOKUP(INDEX(英雄装备!$F:$BZ,MATCH($H9,英雄装备!$F:$F,0),MATCH(S$2,英雄装备!$1:$1,0)-1),装备属性!$A:$C,3,0),VLOOKUP(INDEX(英雄装备!$F:$BZ,MATCH($H9,英雄装备!$F:$F,0),MATCH(S$2,英雄装备!$1:$1,0)),装备属性!$A:$C,3,0))</f>
        <v>85</v>
      </c>
      <c r="T9" s="51">
        <f>MAX(VLOOKUP(INDEX(英雄装备!$F:$BZ,MATCH($H9,英雄装备!$F:$F,0),MATCH(T$2,英雄装备!$1:$1,0)-5),装备属性!$A:$C,3,0),VLOOKUP(INDEX(英雄装备!$F:$BZ,MATCH($H9,英雄装备!$F:$F,0),MATCH(T$2,英雄装备!$1:$1,0)-4),装备属性!$A:$C,3,0),VLOOKUP(INDEX(英雄装备!$F:$BZ,MATCH($H9,英雄装备!$F:$F,0),MATCH(T$2,英雄装备!$1:$1,0)-3),装备属性!$A:$C,3,0),VLOOKUP(INDEX(英雄装备!$F:$BZ,MATCH($H9,英雄装备!$F:$F,0),MATCH(T$2,英雄装备!$1:$1,0)-2),装备属性!$A:$C,3,0),VLOOKUP(INDEX(英雄装备!$F:$BZ,MATCH($H9,英雄装备!$F:$F,0),MATCH(T$2,英雄装备!$1:$1,0)-1),装备属性!$A:$C,3,0))</f>
        <v>89</v>
      </c>
      <c r="W9" s="49" t="str">
        <f>IF($V$2&lt;9,"","紫+2")</f>
        <v>紫+2</v>
      </c>
      <c r="X9" s="49" t="str">
        <f>VLOOKUP(单英雄!$C$2,英雄装备!$F:$BZ,50,0)</f>
        <v>撒旦</v>
      </c>
      <c r="Y9" s="49" t="str">
        <f>VLOOKUP(单英雄!$C$2,英雄装备!$F:$BZ,51,0)</f>
        <v>刷新珠</v>
      </c>
      <c r="Z9" s="49" t="str">
        <f>VLOOKUP(单英雄!$C$2,英雄装备!$F:$BZ,52,0)</f>
        <v>分身斧</v>
      </c>
      <c r="AA9" s="49" t="str">
        <f>VLOOKUP(单英雄!$C$2,英雄装备!$F:$BZ,53,0)</f>
        <v>蓝杖</v>
      </c>
      <c r="AB9" s="49" t="str">
        <f>VLOOKUP(单英雄!$C$2,英雄装备!$F:$BZ,54,0)</f>
        <v>敏捷系带</v>
      </c>
      <c r="AC9" s="49" t="str">
        <f>VLOOKUP(单英雄!$C$2,英雄装备!$F:$BZ,55,0)</f>
        <v>飞鞋</v>
      </c>
      <c r="AE9" s="49" t="s">
        <v>1103</v>
      </c>
      <c r="AF9" s="49">
        <f>VLOOKUP(单英雄!$C$2,英雄初始!$A:$K,5,0)</f>
        <v>15</v>
      </c>
      <c r="AG9" s="232"/>
      <c r="AH9" s="232"/>
      <c r="AI9" s="49">
        <f>SUM(AK111:AK116,AK119:AK124,AI136)+AJ6*18</f>
        <v>2898</v>
      </c>
      <c r="AJ9" s="49">
        <f>SUM(AL111:AL116,AL119:AL124,AJ136)+AP6+AL6*0.4</f>
        <v>1045.4000000000001</v>
      </c>
      <c r="AK9" s="49">
        <f>SUM(AM111:AM116,AM119:AM124,AK136)+AN6*2.4</f>
        <v>146.4</v>
      </c>
      <c r="AL9" s="49">
        <f>SUM(AN111:AN116,AN119:AN124,AL136)+AJ6*0.15+AL6*0.08</f>
        <v>59.03</v>
      </c>
      <c r="AM9" s="49">
        <f>SUM(AO111:AO116,AO119:AO124,AM136)+AN6/10</f>
        <v>6.1</v>
      </c>
      <c r="AN9" s="49">
        <f>SUM(AP111:AP116,AP119:AP124,AN136)+AL6*0.4</f>
        <v>259.39999999999998</v>
      </c>
      <c r="AO9" s="49">
        <f t="shared" ref="AO9:AW9" si="1">SUM(AQ111:AQ116,AQ119:AQ124,AO136)</f>
        <v>0</v>
      </c>
      <c r="AP9" s="49">
        <f t="shared" si="1"/>
        <v>0</v>
      </c>
      <c r="AQ9" s="49">
        <f t="shared" si="1"/>
        <v>0</v>
      </c>
      <c r="AR9" s="49">
        <f>SUM(AT111:AT116,AT119:AT124,AR136)</f>
        <v>0</v>
      </c>
      <c r="AS9" s="49">
        <f>SUM(AU111:AU116,AU119:AU124,AS136)</f>
        <v>0</v>
      </c>
      <c r="AT9" s="49">
        <f>SUM(AV111:AV116,AV119:AV124,AT136)</f>
        <v>0</v>
      </c>
      <c r="AU9" s="49">
        <f t="shared" si="1"/>
        <v>375</v>
      </c>
      <c r="AV9" s="49">
        <f t="shared" si="1"/>
        <v>100</v>
      </c>
      <c r="AW9" s="49">
        <f t="shared" si="1"/>
        <v>0</v>
      </c>
      <c r="AX9" s="140">
        <f>SUM(AZ111:AZ116,AZ119:AZ124,AX136)</f>
        <v>0</v>
      </c>
      <c r="AY9" s="140">
        <f>SUM(BA111:BA116,BA119:BA124,AY136)</f>
        <v>0</v>
      </c>
      <c r="AZ9" s="140">
        <f t="shared" ref="AZ9" si="2">SUM(BB111:BB116,BB119:BB124,AZ136)</f>
        <v>0</v>
      </c>
    </row>
    <row r="10" spans="1:52">
      <c r="B10" s="49" t="str">
        <f>英雄初始!A11</f>
        <v>小小</v>
      </c>
      <c r="G10" s="233"/>
      <c r="H10" s="52" t="s">
        <v>163</v>
      </c>
      <c r="I10" s="51">
        <f>MAX(VLOOKUP(INDEX(英雄装备!$F:$BZ,MATCH($H10,英雄装备!$F:$F,0),MATCH(I$2,英雄装备!$1:$1,0)-5),装备属性!$A:$C,3,0),VLOOKUP(INDEX(英雄装备!$F:$BZ,MATCH($H10,英雄装备!$F:$F,0),MATCH(I$2,英雄装备!$1:$1,0)-4),装备属性!$A:$C,3,0),VLOOKUP(INDEX(英雄装备!$F:$BZ,MATCH($H10,英雄装备!$F:$F,0),MATCH(I$2,英雄装备!$1:$1,0)-3),装备属性!$A:$C,3,0),VLOOKUP(INDEX(英雄装备!$F:$BZ,MATCH($H10,英雄装备!$F:$F,0),MATCH(I$2,英雄装备!$1:$1,0)-2),装备属性!$A:$C,3,0),VLOOKUP(INDEX(英雄装备!$F:$BZ,MATCH($H10,英雄装备!$F:$F,0),MATCH(I$2,英雄装备!$1:$1,0)-1),装备属性!$A:$C,3,0),VLOOKUP(INDEX(英雄装备!$F:$BZ,MATCH($H10,英雄装备!$F:$F,0),MATCH(I$2,英雄装备!$1:$1,0)),装备属性!$A:$C,3,0))</f>
        <v>2</v>
      </c>
      <c r="J10" s="51">
        <f>MAX(VLOOKUP(INDEX(英雄装备!$F:$BZ,MATCH($H10,英雄装备!$F:$F,0),MATCH(J$2,英雄装备!$1:$1,0)-5),装备属性!$A:$C,3,0),VLOOKUP(INDEX(英雄装备!$F:$BZ,MATCH($H10,英雄装备!$F:$F,0),MATCH(J$2,英雄装备!$1:$1,0)-4),装备属性!$A:$C,3,0),VLOOKUP(INDEX(英雄装备!$F:$BZ,MATCH($H10,英雄装备!$F:$F,0),MATCH(J$2,英雄装备!$1:$1,0)-3),装备属性!$A:$C,3,0),VLOOKUP(INDEX(英雄装备!$F:$BZ,MATCH($H10,英雄装备!$F:$F,0),MATCH(J$2,英雄装备!$1:$1,0)-2),装备属性!$A:$C,3,0),VLOOKUP(INDEX(英雄装备!$F:$BZ,MATCH($H10,英雄装备!$F:$F,0),MATCH(J$2,英雄装备!$1:$1,0)-1),装备属性!$A:$C,3,0),VLOOKUP(INDEX(英雄装备!$F:$BZ,MATCH($H10,英雄装备!$F:$F,0),MATCH(J$2,英雄装备!$1:$1,0)),装备属性!$A:$C,3,0))</f>
        <v>11</v>
      </c>
      <c r="K10" s="51">
        <f>MAX(VLOOKUP(INDEX(英雄装备!$F:$BZ,MATCH($H10,英雄装备!$F:$F,0),MATCH(K$2,英雄装备!$1:$1,0)-5),装备属性!$A:$C,3,0),VLOOKUP(INDEX(英雄装备!$F:$BZ,MATCH($H10,英雄装备!$F:$F,0),MATCH(K$2,英雄装备!$1:$1,0)-4),装备属性!$A:$C,3,0),VLOOKUP(INDEX(英雄装备!$F:$BZ,MATCH($H10,英雄装备!$F:$F,0),MATCH(K$2,英雄装备!$1:$1,0)-3),装备属性!$A:$C,3,0),VLOOKUP(INDEX(英雄装备!$F:$BZ,MATCH($H10,英雄装备!$F:$F,0),MATCH(K$2,英雄装备!$1:$1,0)-2),装备属性!$A:$C,3,0),VLOOKUP(INDEX(英雄装备!$F:$BZ,MATCH($H10,英雄装备!$F:$F,0),MATCH(K$2,英雄装备!$1:$1,0)-1),装备属性!$A:$C,3,0),VLOOKUP(INDEX(英雄装备!$F:$BZ,MATCH($H10,英雄装备!$F:$F,0),MATCH(K$2,英雄装备!$1:$1,0)),装备属性!$A:$C,3,0))</f>
        <v>27</v>
      </c>
      <c r="L10" s="51">
        <f>MAX(VLOOKUP(INDEX(英雄装备!$F:$BZ,MATCH($H10,英雄装备!$F:$F,0),MATCH(L$2,英雄装备!$1:$1,0)-5),装备属性!$A:$C,3,0),VLOOKUP(INDEX(英雄装备!$F:$BZ,MATCH($H10,英雄装备!$F:$F,0),MATCH(L$2,英雄装备!$1:$1,0)-4),装备属性!$A:$C,3,0),VLOOKUP(INDEX(英雄装备!$F:$BZ,MATCH($H10,英雄装备!$F:$F,0),MATCH(L$2,英雄装备!$1:$1,0)-3),装备属性!$A:$C,3,0),VLOOKUP(INDEX(英雄装备!$F:$BZ,MATCH($H10,英雄装备!$F:$F,0),MATCH(L$2,英雄装备!$1:$1,0)-2),装备属性!$A:$C,3,0),VLOOKUP(INDEX(英雄装备!$F:$BZ,MATCH($H10,英雄装备!$F:$F,0),MATCH(L$2,英雄装备!$1:$1,0)-1),装备属性!$A:$C,3,0),VLOOKUP(INDEX(英雄装备!$F:$BZ,MATCH($H10,英雄装备!$F:$F,0),MATCH(L$2,英雄装备!$1:$1,0)),装备属性!$A:$C,3,0))</f>
        <v>35</v>
      </c>
      <c r="M10" s="51">
        <f>MAX(VLOOKUP(INDEX(英雄装备!$F:$BZ,MATCH($H10,英雄装备!$F:$F,0),MATCH(M$2,英雄装备!$1:$1,0)-5),装备属性!$A:$C,3,0),VLOOKUP(INDEX(英雄装备!$F:$BZ,MATCH($H10,英雄装备!$F:$F,0),MATCH(M$2,英雄装备!$1:$1,0)-4),装备属性!$A:$C,3,0),VLOOKUP(INDEX(英雄装备!$F:$BZ,MATCH($H10,英雄装备!$F:$F,0),MATCH(M$2,英雄装备!$1:$1,0)-3),装备属性!$A:$C,3,0),VLOOKUP(INDEX(英雄装备!$F:$BZ,MATCH($H10,英雄装备!$F:$F,0),MATCH(M$2,英雄装备!$1:$1,0)-2),装备属性!$A:$C,3,0),VLOOKUP(INDEX(英雄装备!$F:$BZ,MATCH($H10,英雄装备!$F:$F,0),MATCH(M$2,英雄装备!$1:$1,0)-1),装备属性!$A:$C,3,0),VLOOKUP(INDEX(英雄装备!$F:$BZ,MATCH($H10,英雄装备!$F:$F,0),MATCH(M$2,英雄装备!$1:$1,0)),装备属性!$A:$C,3,0))</f>
        <v>43</v>
      </c>
      <c r="N10" s="51">
        <f>MAX(VLOOKUP(INDEX(英雄装备!$F:$BZ,MATCH($H10,英雄装备!$F:$F,0),MATCH(N$2,英雄装备!$1:$1,0)-5),装备属性!$A:$C,3,0),VLOOKUP(INDEX(英雄装备!$F:$BZ,MATCH($H10,英雄装备!$F:$F,0),MATCH(N$2,英雄装备!$1:$1,0)-4),装备属性!$A:$C,3,0),VLOOKUP(INDEX(英雄装备!$F:$BZ,MATCH($H10,英雄装备!$F:$F,0),MATCH(N$2,英雄装备!$1:$1,0)-3),装备属性!$A:$C,3,0),VLOOKUP(INDEX(英雄装备!$F:$BZ,MATCH($H10,英雄装备!$F:$F,0),MATCH(N$2,英雄装备!$1:$1,0)-2),装备属性!$A:$C,3,0),VLOOKUP(INDEX(英雄装备!$F:$BZ,MATCH($H10,英雄装备!$F:$F,0),MATCH(N$2,英雄装备!$1:$1,0)-1),装备属性!$A:$C,3,0),VLOOKUP(INDEX(英雄装备!$F:$BZ,MATCH($H10,英雄装备!$F:$F,0),MATCH(N$2,英雄装备!$1:$1,0)),装备属性!$A:$C,3,0))</f>
        <v>53</v>
      </c>
      <c r="O10" s="51">
        <f>MAX(VLOOKUP(INDEX(英雄装备!$F:$BZ,MATCH($H10,英雄装备!$F:$F,0),MATCH(O$2,英雄装备!$1:$1,0)-5),装备属性!$A:$C,3,0),VLOOKUP(INDEX(英雄装备!$F:$BZ,MATCH($H10,英雄装备!$F:$F,0),MATCH(O$2,英雄装备!$1:$1,0)-4),装备属性!$A:$C,3,0),VLOOKUP(INDEX(英雄装备!$F:$BZ,MATCH($H10,英雄装备!$F:$F,0),MATCH(O$2,英雄装备!$1:$1,0)-3),装备属性!$A:$C,3,0),VLOOKUP(INDEX(英雄装备!$F:$BZ,MATCH($H10,英雄装备!$F:$F,0),MATCH(O$2,英雄装备!$1:$1,0)-2),装备属性!$A:$C,3,0),VLOOKUP(INDEX(英雄装备!$F:$BZ,MATCH($H10,英雄装备!$F:$F,0),MATCH(O$2,英雄装备!$1:$1,0)-1),装备属性!$A:$C,3,0),VLOOKUP(INDEX(英雄装备!$F:$BZ,MATCH($H10,英雄装备!$F:$F,0),MATCH(O$2,英雄装备!$1:$1,0)),装备属性!$A:$C,3,0))</f>
        <v>64</v>
      </c>
      <c r="P10" s="51">
        <f>MAX(VLOOKUP(INDEX(英雄装备!$F:$BZ,MATCH($H10,英雄装备!$F:$F,0),MATCH(P$2,英雄装备!$1:$1,0)-5),装备属性!$A:$C,3,0),VLOOKUP(INDEX(英雄装备!$F:$BZ,MATCH($H10,英雄装备!$F:$F,0),MATCH(P$2,英雄装备!$1:$1,0)-4),装备属性!$A:$C,3,0),VLOOKUP(INDEX(英雄装备!$F:$BZ,MATCH($H10,英雄装备!$F:$F,0),MATCH(P$2,英雄装备!$1:$1,0)-3),装备属性!$A:$C,3,0),VLOOKUP(INDEX(英雄装备!$F:$BZ,MATCH($H10,英雄装备!$F:$F,0),MATCH(P$2,英雄装备!$1:$1,0)-2),装备属性!$A:$C,3,0),VLOOKUP(INDEX(英雄装备!$F:$BZ,MATCH($H10,英雄装备!$F:$F,0),MATCH(P$2,英雄装备!$1:$1,0)-1),装备属性!$A:$C,3,0),VLOOKUP(INDEX(英雄装备!$F:$BZ,MATCH($H10,英雄装备!$F:$F,0),MATCH(P$2,英雄装备!$1:$1,0)),装备属性!$A:$C,3,0))</f>
        <v>70</v>
      </c>
      <c r="Q10" s="51">
        <f>MAX(VLOOKUP(INDEX(英雄装备!$F:$BZ,MATCH($H10,英雄装备!$F:$F,0),MATCH(Q$2,英雄装备!$1:$1,0)-5),装备属性!$A:$C,3,0),VLOOKUP(INDEX(英雄装备!$F:$BZ,MATCH($H10,英雄装备!$F:$F,0),MATCH(Q$2,英雄装备!$1:$1,0)-4),装备属性!$A:$C,3,0),VLOOKUP(INDEX(英雄装备!$F:$BZ,MATCH($H10,英雄装备!$F:$F,0),MATCH(Q$2,英雄装备!$1:$1,0)-3),装备属性!$A:$C,3,0),VLOOKUP(INDEX(英雄装备!$F:$BZ,MATCH($H10,英雄装备!$F:$F,0),MATCH(Q$2,英雄装备!$1:$1,0)-2),装备属性!$A:$C,3,0),VLOOKUP(INDEX(英雄装备!$F:$BZ,MATCH($H10,英雄装备!$F:$F,0),MATCH(Q$2,英雄装备!$1:$1,0)-1),装备属性!$A:$C,3,0),VLOOKUP(INDEX(英雄装备!$F:$BZ,MATCH($H10,英雄装备!$F:$F,0),MATCH(Q$2,英雄装备!$1:$1,0)),装备属性!$A:$C,3,0))</f>
        <v>80</v>
      </c>
      <c r="R10" s="51">
        <f>MAX(VLOOKUP(INDEX(英雄装备!$F:$BZ,MATCH($H10,英雄装备!$F:$F,0),MATCH(R$2,英雄装备!$1:$1,0)-5),装备属性!$A:$C,3,0),VLOOKUP(INDEX(英雄装备!$F:$BZ,MATCH($H10,英雄装备!$F:$F,0),MATCH(R$2,英雄装备!$1:$1,0)-4),装备属性!$A:$C,3,0),VLOOKUP(INDEX(英雄装备!$F:$BZ,MATCH($H10,英雄装备!$F:$F,0),MATCH(R$2,英雄装备!$1:$1,0)-3),装备属性!$A:$C,3,0),VLOOKUP(INDEX(英雄装备!$F:$BZ,MATCH($H10,英雄装备!$F:$F,0),MATCH(R$2,英雄装备!$1:$1,0)-2),装备属性!$A:$C,3,0),VLOOKUP(INDEX(英雄装备!$F:$BZ,MATCH($H10,英雄装备!$F:$F,0),MATCH(R$2,英雄装备!$1:$1,0)-1),装备属性!$A:$C,3,0),VLOOKUP(INDEX(英雄装备!$F:$BZ,MATCH($H10,英雄装备!$F:$F,0),MATCH(R$2,英雄装备!$1:$1,0)),装备属性!$A:$C,3,0))</f>
        <v>79</v>
      </c>
      <c r="S10" s="51">
        <f>MAX(VLOOKUP(INDEX(英雄装备!$F:$BZ,MATCH($H10,英雄装备!$F:$F,0),MATCH(S$2,英雄装备!$1:$1,0)-5),装备属性!$A:$C,3,0),VLOOKUP(INDEX(英雄装备!$F:$BZ,MATCH($H10,英雄装备!$F:$F,0),MATCH(S$2,英雄装备!$1:$1,0)-4),装备属性!$A:$C,3,0),VLOOKUP(INDEX(英雄装备!$F:$BZ,MATCH($H10,英雄装备!$F:$F,0),MATCH(S$2,英雄装备!$1:$1,0)-3),装备属性!$A:$C,3,0),VLOOKUP(INDEX(英雄装备!$F:$BZ,MATCH($H10,英雄装备!$F:$F,0),MATCH(S$2,英雄装备!$1:$1,0)-2),装备属性!$A:$C,3,0),VLOOKUP(INDEX(英雄装备!$F:$BZ,MATCH($H10,英雄装备!$F:$F,0),MATCH(S$2,英雄装备!$1:$1,0)-1),装备属性!$A:$C,3,0),VLOOKUP(INDEX(英雄装备!$F:$BZ,MATCH($H10,英雄装备!$F:$F,0),MATCH(S$2,英雄装备!$1:$1,0)),装备属性!$A:$C,3,0))</f>
        <v>85</v>
      </c>
      <c r="T10" s="51">
        <f>MAX(VLOOKUP(INDEX(英雄装备!$F:$BZ,MATCH($H10,英雄装备!$F:$F,0),MATCH(T$2,英雄装备!$1:$1,0)-5),装备属性!$A:$C,3,0),VLOOKUP(INDEX(英雄装备!$F:$BZ,MATCH($H10,英雄装备!$F:$F,0),MATCH(T$2,英雄装备!$1:$1,0)-4),装备属性!$A:$C,3,0),VLOOKUP(INDEX(英雄装备!$F:$BZ,MATCH($H10,英雄装备!$F:$F,0),MATCH(T$2,英雄装备!$1:$1,0)-3),装备属性!$A:$C,3,0),VLOOKUP(INDEX(英雄装备!$F:$BZ,MATCH($H10,英雄装备!$F:$F,0),MATCH(T$2,英雄装备!$1:$1,0)-2),装备属性!$A:$C,3,0),VLOOKUP(INDEX(英雄装备!$F:$BZ,MATCH($H10,英雄装备!$F:$F,0),MATCH(T$2,英雄装备!$1:$1,0)-1),装备属性!$A:$C,3,0))</f>
        <v>87</v>
      </c>
      <c r="W10" s="49" t="str">
        <f>IF($V$2&lt;10,"","紫+3")</f>
        <v>紫+3</v>
      </c>
      <c r="X10" s="49" t="str">
        <f>VLOOKUP(单英雄!$C$2,英雄装备!$F:$BZ,56,0)</f>
        <v>深渊之刃</v>
      </c>
      <c r="Y10" s="49" t="str">
        <f>VLOOKUP(单英雄!$C$2,英雄装备!$F:$BZ,57,0)</f>
        <v>龙心</v>
      </c>
      <c r="Z10" s="49" t="str">
        <f>VLOOKUP(单英雄!$C$2,英雄装备!$F:$BZ,58,0)</f>
        <v>狂战斧</v>
      </c>
      <c r="AA10" s="49" t="str">
        <f>VLOOKUP(单英雄!$C$2,英雄装备!$F:$BZ,59,0)</f>
        <v>黑黄</v>
      </c>
      <c r="AB10" s="49" t="str">
        <f>VLOOKUP(单英雄!$C$2,英雄装备!$F:$BZ,60,0)</f>
        <v>冲锋盾</v>
      </c>
      <c r="AC10" s="49" t="str">
        <f>VLOOKUP(单英雄!$C$2,英雄装备!$F:$BZ,61,0)</f>
        <v>飞鞋</v>
      </c>
    </row>
    <row r="11" spans="1:52">
      <c r="B11" s="49" t="str">
        <f>英雄初始!A12</f>
        <v>熊猫酒仙</v>
      </c>
      <c r="D11" s="48" t="s">
        <v>1062</v>
      </c>
      <c r="E11" s="49" t="str">
        <f>进阶奖励!$A15</f>
        <v>白</v>
      </c>
      <c r="F11" s="49">
        <v>1</v>
      </c>
      <c r="G11" s="146">
        <f>VLOOKUP(单英雄!$C$2,中介表格1!$H:$T,2,0)</f>
        <v>2</v>
      </c>
      <c r="H11" s="54" t="s">
        <v>164</v>
      </c>
      <c r="I11" s="51">
        <f>MAX(VLOOKUP(INDEX(英雄装备!$F:$BZ,MATCH($H11,英雄装备!$F:$F,0),MATCH(I$2,英雄装备!$1:$1,0)-5),装备属性!$A:$C,3,0),VLOOKUP(INDEX(英雄装备!$F:$BZ,MATCH($H11,英雄装备!$F:$F,0),MATCH(I$2,英雄装备!$1:$1,0)-4),装备属性!$A:$C,3,0),VLOOKUP(INDEX(英雄装备!$F:$BZ,MATCH($H11,英雄装备!$F:$F,0),MATCH(I$2,英雄装备!$1:$1,0)-3),装备属性!$A:$C,3,0),VLOOKUP(INDEX(英雄装备!$F:$BZ,MATCH($H11,英雄装备!$F:$F,0),MATCH(I$2,英雄装备!$1:$1,0)-2),装备属性!$A:$C,3,0),VLOOKUP(INDEX(英雄装备!$F:$BZ,MATCH($H11,英雄装备!$F:$F,0),MATCH(I$2,英雄装备!$1:$1,0)-1),装备属性!$A:$C,3,0),VLOOKUP(INDEX(英雄装备!$F:$BZ,MATCH($H11,英雄装备!$F:$F,0),MATCH(I$2,英雄装备!$1:$1,0)),装备属性!$A:$C,3,0))</f>
        <v>2</v>
      </c>
      <c r="J11" s="51">
        <f>MAX(VLOOKUP(INDEX(英雄装备!$F:$BZ,MATCH($H11,英雄装备!$F:$F,0),MATCH(J$2,英雄装备!$1:$1,0)-5),装备属性!$A:$C,3,0),VLOOKUP(INDEX(英雄装备!$F:$BZ,MATCH($H11,英雄装备!$F:$F,0),MATCH(J$2,英雄装备!$1:$1,0)-4),装备属性!$A:$C,3,0),VLOOKUP(INDEX(英雄装备!$F:$BZ,MATCH($H11,英雄装备!$F:$F,0),MATCH(J$2,英雄装备!$1:$1,0)-3),装备属性!$A:$C,3,0),VLOOKUP(INDEX(英雄装备!$F:$BZ,MATCH($H11,英雄装备!$F:$F,0),MATCH(J$2,英雄装备!$1:$1,0)-2),装备属性!$A:$C,3,0),VLOOKUP(INDEX(英雄装备!$F:$BZ,MATCH($H11,英雄装备!$F:$F,0),MATCH(J$2,英雄装备!$1:$1,0)-1),装备属性!$A:$C,3,0),VLOOKUP(INDEX(英雄装备!$F:$BZ,MATCH($H11,英雄装备!$F:$F,0),MATCH(J$2,英雄装备!$1:$1,0)),装备属性!$A:$C,3,0))</f>
        <v>10</v>
      </c>
      <c r="K11" s="51">
        <f>MAX(VLOOKUP(INDEX(英雄装备!$F:$BZ,MATCH($H11,英雄装备!$F:$F,0),MATCH(K$2,英雄装备!$1:$1,0)-5),装备属性!$A:$C,3,0),VLOOKUP(INDEX(英雄装备!$F:$BZ,MATCH($H11,英雄装备!$F:$F,0),MATCH(K$2,英雄装备!$1:$1,0)-4),装备属性!$A:$C,3,0),VLOOKUP(INDEX(英雄装备!$F:$BZ,MATCH($H11,英雄装备!$F:$F,0),MATCH(K$2,英雄装备!$1:$1,0)-3),装备属性!$A:$C,3,0),VLOOKUP(INDEX(英雄装备!$F:$BZ,MATCH($H11,英雄装备!$F:$F,0),MATCH(K$2,英雄装备!$1:$1,0)-2),装备属性!$A:$C,3,0),VLOOKUP(INDEX(英雄装备!$F:$BZ,MATCH($H11,英雄装备!$F:$F,0),MATCH(K$2,英雄装备!$1:$1,0)-1),装备属性!$A:$C,3,0),VLOOKUP(INDEX(英雄装备!$F:$BZ,MATCH($H11,英雄装备!$F:$F,0),MATCH(K$2,英雄装备!$1:$1,0)),装备属性!$A:$C,3,0))</f>
        <v>21</v>
      </c>
      <c r="L11" s="51">
        <f>MAX(VLOOKUP(INDEX(英雄装备!$F:$BZ,MATCH($H11,英雄装备!$F:$F,0),MATCH(L$2,英雄装备!$1:$1,0)-5),装备属性!$A:$C,3,0),VLOOKUP(INDEX(英雄装备!$F:$BZ,MATCH($H11,英雄装备!$F:$F,0),MATCH(L$2,英雄装备!$1:$1,0)-4),装备属性!$A:$C,3,0),VLOOKUP(INDEX(英雄装备!$F:$BZ,MATCH($H11,英雄装备!$F:$F,0),MATCH(L$2,英雄装备!$1:$1,0)-3),装备属性!$A:$C,3,0),VLOOKUP(INDEX(英雄装备!$F:$BZ,MATCH($H11,英雄装备!$F:$F,0),MATCH(L$2,英雄装备!$1:$1,0)-2),装备属性!$A:$C,3,0),VLOOKUP(INDEX(英雄装备!$F:$BZ,MATCH($H11,英雄装备!$F:$F,0),MATCH(L$2,英雄装备!$1:$1,0)-1),装备属性!$A:$C,3,0),VLOOKUP(INDEX(英雄装备!$F:$BZ,MATCH($H11,英雄装备!$F:$F,0),MATCH(L$2,英雄装备!$1:$1,0)),装备属性!$A:$C,3,0))</f>
        <v>35</v>
      </c>
      <c r="M11" s="51">
        <f>MAX(VLOOKUP(INDEX(英雄装备!$F:$BZ,MATCH($H11,英雄装备!$F:$F,0),MATCH(M$2,英雄装备!$1:$1,0)-5),装备属性!$A:$C,3,0),VLOOKUP(INDEX(英雄装备!$F:$BZ,MATCH($H11,英雄装备!$F:$F,0),MATCH(M$2,英雄装备!$1:$1,0)-4),装备属性!$A:$C,3,0),VLOOKUP(INDEX(英雄装备!$F:$BZ,MATCH($H11,英雄装备!$F:$F,0),MATCH(M$2,英雄装备!$1:$1,0)-3),装备属性!$A:$C,3,0),VLOOKUP(INDEX(英雄装备!$F:$BZ,MATCH($H11,英雄装备!$F:$F,0),MATCH(M$2,英雄装备!$1:$1,0)-2),装备属性!$A:$C,3,0),VLOOKUP(INDEX(英雄装备!$F:$BZ,MATCH($H11,英雄装备!$F:$F,0),MATCH(M$2,英雄装备!$1:$1,0)-1),装备属性!$A:$C,3,0),VLOOKUP(INDEX(英雄装备!$F:$BZ,MATCH($H11,英雄装备!$F:$F,0),MATCH(M$2,英雄装备!$1:$1,0)),装备属性!$A:$C,3,0))</f>
        <v>41</v>
      </c>
      <c r="N11" s="51">
        <f>MAX(VLOOKUP(INDEX(英雄装备!$F:$BZ,MATCH($H11,英雄装备!$F:$F,0),MATCH(N$2,英雄装备!$1:$1,0)-5),装备属性!$A:$C,3,0),VLOOKUP(INDEX(英雄装备!$F:$BZ,MATCH($H11,英雄装备!$F:$F,0),MATCH(N$2,英雄装备!$1:$1,0)-4),装备属性!$A:$C,3,0),VLOOKUP(INDEX(英雄装备!$F:$BZ,MATCH($H11,英雄装备!$F:$F,0),MATCH(N$2,英雄装备!$1:$1,0)-3),装备属性!$A:$C,3,0),VLOOKUP(INDEX(英雄装备!$F:$BZ,MATCH($H11,英雄装备!$F:$F,0),MATCH(N$2,英雄装备!$1:$1,0)-2),装备属性!$A:$C,3,0),VLOOKUP(INDEX(英雄装备!$F:$BZ,MATCH($H11,英雄装备!$F:$F,0),MATCH(N$2,英雄装备!$1:$1,0)-1),装备属性!$A:$C,3,0),VLOOKUP(INDEX(英雄装备!$F:$BZ,MATCH($H11,英雄装备!$F:$F,0),MATCH(N$2,英雄装备!$1:$1,0)),装备属性!$A:$C,3,0))</f>
        <v>52</v>
      </c>
      <c r="O11" s="51">
        <f>MAX(VLOOKUP(INDEX(英雄装备!$F:$BZ,MATCH($H11,英雄装备!$F:$F,0),MATCH(O$2,英雄装备!$1:$1,0)-5),装备属性!$A:$C,3,0),VLOOKUP(INDEX(英雄装备!$F:$BZ,MATCH($H11,英雄装备!$F:$F,0),MATCH(O$2,英雄装备!$1:$1,0)-4),装备属性!$A:$C,3,0),VLOOKUP(INDEX(英雄装备!$F:$BZ,MATCH($H11,英雄装备!$F:$F,0),MATCH(O$2,英雄装备!$1:$1,0)-3),装备属性!$A:$C,3,0),VLOOKUP(INDEX(英雄装备!$F:$BZ,MATCH($H11,英雄装备!$F:$F,0),MATCH(O$2,英雄装备!$1:$1,0)-2),装备属性!$A:$C,3,0),VLOOKUP(INDEX(英雄装备!$F:$BZ,MATCH($H11,英雄装备!$F:$F,0),MATCH(O$2,英雄装备!$1:$1,0)-1),装备属性!$A:$C,3,0),VLOOKUP(INDEX(英雄装备!$F:$BZ,MATCH($H11,英雄装备!$F:$F,0),MATCH(O$2,英雄装备!$1:$1,0)),装备属性!$A:$C,3,0))</f>
        <v>62</v>
      </c>
      <c r="P11" s="51">
        <f>MAX(VLOOKUP(INDEX(英雄装备!$F:$BZ,MATCH($H11,英雄装备!$F:$F,0),MATCH(P$2,英雄装备!$1:$1,0)-5),装备属性!$A:$C,3,0),VLOOKUP(INDEX(英雄装备!$F:$BZ,MATCH($H11,英雄装备!$F:$F,0),MATCH(P$2,英雄装备!$1:$1,0)-4),装备属性!$A:$C,3,0),VLOOKUP(INDEX(英雄装备!$F:$BZ,MATCH($H11,英雄装备!$F:$F,0),MATCH(P$2,英雄装备!$1:$1,0)-3),装备属性!$A:$C,3,0),VLOOKUP(INDEX(英雄装备!$F:$BZ,MATCH($H11,英雄装备!$F:$F,0),MATCH(P$2,英雄装备!$1:$1,0)-2),装备属性!$A:$C,3,0),VLOOKUP(INDEX(英雄装备!$F:$BZ,MATCH($H11,英雄装备!$F:$F,0),MATCH(P$2,英雄装备!$1:$1,0)-1),装备属性!$A:$C,3,0),VLOOKUP(INDEX(英雄装备!$F:$BZ,MATCH($H11,英雄装备!$F:$F,0),MATCH(P$2,英雄装备!$1:$1,0)),装备属性!$A:$C,3,0))</f>
        <v>70</v>
      </c>
      <c r="Q11" s="51">
        <f>MAX(VLOOKUP(INDEX(英雄装备!$F:$BZ,MATCH($H11,英雄装备!$F:$F,0),MATCH(Q$2,英雄装备!$1:$1,0)-5),装备属性!$A:$C,3,0),VLOOKUP(INDEX(英雄装备!$F:$BZ,MATCH($H11,英雄装备!$F:$F,0),MATCH(Q$2,英雄装备!$1:$1,0)-4),装备属性!$A:$C,3,0),VLOOKUP(INDEX(英雄装备!$F:$BZ,MATCH($H11,英雄装备!$F:$F,0),MATCH(Q$2,英雄装备!$1:$1,0)-3),装备属性!$A:$C,3,0),VLOOKUP(INDEX(英雄装备!$F:$BZ,MATCH($H11,英雄装备!$F:$F,0),MATCH(Q$2,英雄装备!$1:$1,0)-2),装备属性!$A:$C,3,0),VLOOKUP(INDEX(英雄装备!$F:$BZ,MATCH($H11,英雄装备!$F:$F,0),MATCH(Q$2,英雄装备!$1:$1,0)-1),装备属性!$A:$C,3,0),VLOOKUP(INDEX(英雄装备!$F:$BZ,MATCH($H11,英雄装备!$F:$F,0),MATCH(Q$2,英雄装备!$1:$1,0)),装备属性!$A:$C,3,0))</f>
        <v>72</v>
      </c>
      <c r="R11" s="51">
        <f>MAX(VLOOKUP(INDEX(英雄装备!$F:$BZ,MATCH($H11,英雄装备!$F:$F,0),MATCH(R$2,英雄装备!$1:$1,0)-5),装备属性!$A:$C,3,0),VLOOKUP(INDEX(英雄装备!$F:$BZ,MATCH($H11,英雄装备!$F:$F,0),MATCH(R$2,英雄装备!$1:$1,0)-4),装备属性!$A:$C,3,0),VLOOKUP(INDEX(英雄装备!$F:$BZ,MATCH($H11,英雄装备!$F:$F,0),MATCH(R$2,英雄装备!$1:$1,0)-3),装备属性!$A:$C,3,0),VLOOKUP(INDEX(英雄装备!$F:$BZ,MATCH($H11,英雄装备!$F:$F,0),MATCH(R$2,英雄装备!$1:$1,0)-2),装备属性!$A:$C,3,0),VLOOKUP(INDEX(英雄装备!$F:$BZ,MATCH($H11,英雄装备!$F:$F,0),MATCH(R$2,英雄装备!$1:$1,0)-1),装备属性!$A:$C,3,0),VLOOKUP(INDEX(英雄装备!$F:$BZ,MATCH($H11,英雄装备!$F:$F,0),MATCH(R$2,英雄装备!$1:$1,0)),装备属性!$A:$C,3,0))</f>
        <v>80</v>
      </c>
      <c r="S11" s="51">
        <f>MAX(VLOOKUP(INDEX(英雄装备!$F:$BZ,MATCH($H11,英雄装备!$F:$F,0),MATCH(S$2,英雄装备!$1:$1,0)-5),装备属性!$A:$C,3,0),VLOOKUP(INDEX(英雄装备!$F:$BZ,MATCH($H11,英雄装备!$F:$F,0),MATCH(S$2,英雄装备!$1:$1,0)-4),装备属性!$A:$C,3,0),VLOOKUP(INDEX(英雄装备!$F:$BZ,MATCH($H11,英雄装备!$F:$F,0),MATCH(S$2,英雄装备!$1:$1,0)-3),装备属性!$A:$C,3,0),VLOOKUP(INDEX(英雄装备!$F:$BZ,MATCH($H11,英雄装备!$F:$F,0),MATCH(S$2,英雄装备!$1:$1,0)-2),装备属性!$A:$C,3,0),VLOOKUP(INDEX(英雄装备!$F:$BZ,MATCH($H11,英雄装备!$F:$F,0),MATCH(S$2,英雄装备!$1:$1,0)-1),装备属性!$A:$C,3,0),VLOOKUP(INDEX(英雄装备!$F:$BZ,MATCH($H11,英雄装备!$F:$F,0),MATCH(S$2,英雄装备!$1:$1,0)),装备属性!$A:$C,3,0))</f>
        <v>84</v>
      </c>
      <c r="T11" s="51">
        <f>MAX(VLOOKUP(INDEX(英雄装备!$F:$BZ,MATCH($H11,英雄装备!$F:$F,0),MATCH(T$2,英雄装备!$1:$1,0)-5),装备属性!$A:$C,3,0),VLOOKUP(INDEX(英雄装备!$F:$BZ,MATCH($H11,英雄装备!$F:$F,0),MATCH(T$2,英雄装备!$1:$1,0)-4),装备属性!$A:$C,3,0),VLOOKUP(INDEX(英雄装备!$F:$BZ,MATCH($H11,英雄装备!$F:$F,0),MATCH(T$2,英雄装备!$1:$1,0)-3),装备属性!$A:$C,3,0),VLOOKUP(INDEX(英雄装备!$F:$BZ,MATCH($H11,英雄装备!$F:$F,0),MATCH(T$2,英雄装备!$1:$1,0)-2),装备属性!$A:$C,3,0),VLOOKUP(INDEX(英雄装备!$F:$BZ,MATCH($H11,英雄装备!$F:$F,0),MATCH(T$2,英雄装备!$1:$1,0)-1),装备属性!$A:$C,3,0))</f>
        <v>88</v>
      </c>
      <c r="U11" s="112"/>
      <c r="V11" s="112"/>
      <c r="W11" s="112" t="str">
        <f>IF($V$2&lt;11,"","紫+4")</f>
        <v>紫+4</v>
      </c>
      <c r="X11" s="138" t="str">
        <f>VLOOKUP(单英雄!$C$2,英雄装备!$F:$BZ,62,0)</f>
        <v>十字军巨盾</v>
      </c>
      <c r="Y11" s="138" t="str">
        <f>VLOOKUP(单英雄!$C$2,英雄装备!$F:$BZ,63,0)</f>
        <v>鹰羽指环</v>
      </c>
      <c r="Z11" s="138" t="str">
        <f>VLOOKUP(单英雄!$C$2,英雄装备!$F:$BZ,64,0)</f>
        <v>林肯</v>
      </c>
      <c r="AA11" s="138" t="str">
        <f>VLOOKUP(单英雄!$C$2,英雄装备!$F:$BZ,65,0)</f>
        <v>神圣种子</v>
      </c>
      <c r="AB11" s="138" t="str">
        <f>VLOOKUP(单英雄!$C$2,英雄装备!$F:$BZ,66,0)</f>
        <v>极限球</v>
      </c>
      <c r="AC11" s="138" t="str">
        <f>VLOOKUP(单英雄!$C$2,英雄装备!$F:$BZ,67,0)</f>
        <v>疾行鞋</v>
      </c>
      <c r="AG11" s="232" t="s">
        <v>1097</v>
      </c>
      <c r="AH11" s="232" t="s">
        <v>203</v>
      </c>
      <c r="AI11" s="232" t="s">
        <v>3</v>
      </c>
      <c r="AJ11" s="232">
        <f>IFERROR(VLOOKUP($V$2-1,$AF$97:$BB$108,3,0),0)</f>
        <v>450</v>
      </c>
      <c r="AK11" s="232" t="s">
        <v>4</v>
      </c>
      <c r="AL11" s="232">
        <f>IFERROR(VLOOKUP($V$2-1,$AF$97:$BB$108,4,0),0)</f>
        <v>414</v>
      </c>
      <c r="AM11" s="232" t="s">
        <v>5</v>
      </c>
      <c r="AN11" s="232">
        <f>IFERROR(VLOOKUP($V$2-1,$AF$97:$BB$108,5,0),0)</f>
        <v>250</v>
      </c>
    </row>
    <row r="12" spans="1:52">
      <c r="B12" s="49" t="str">
        <f>英雄初始!A13</f>
        <v>白虎</v>
      </c>
      <c r="E12" s="49" t="str">
        <f>进阶奖励!$A16</f>
        <v>绿</v>
      </c>
      <c r="F12" s="49">
        <v>2</v>
      </c>
      <c r="G12" s="146">
        <f>VLOOKUP(单英雄!$C$2,中介表格1!$H:$T,3,0)</f>
        <v>10</v>
      </c>
      <c r="H12" s="54" t="s">
        <v>165</v>
      </c>
      <c r="I12" s="51">
        <f>MAX(VLOOKUP(INDEX(英雄装备!$F:$BZ,MATCH($H12,英雄装备!$F:$F,0),MATCH(I$2,英雄装备!$1:$1,0)-5),装备属性!$A:$C,3,0),VLOOKUP(INDEX(英雄装备!$F:$BZ,MATCH($H12,英雄装备!$F:$F,0),MATCH(I$2,英雄装备!$1:$1,0)-4),装备属性!$A:$C,3,0),VLOOKUP(INDEX(英雄装备!$F:$BZ,MATCH($H12,英雄装备!$F:$F,0),MATCH(I$2,英雄装备!$1:$1,0)-3),装备属性!$A:$C,3,0),VLOOKUP(INDEX(英雄装备!$F:$BZ,MATCH($H12,英雄装备!$F:$F,0),MATCH(I$2,英雄装备!$1:$1,0)-2),装备属性!$A:$C,3,0),VLOOKUP(INDEX(英雄装备!$F:$BZ,MATCH($H12,英雄装备!$F:$F,0),MATCH(I$2,英雄装备!$1:$1,0)-1),装备属性!$A:$C,3,0),VLOOKUP(INDEX(英雄装备!$F:$BZ,MATCH($H12,英雄装备!$F:$F,0),MATCH(I$2,英雄装备!$1:$1,0)),装备属性!$A:$C,3,0))</f>
        <v>2</v>
      </c>
      <c r="J12" s="51">
        <f>MAX(VLOOKUP(INDEX(英雄装备!$F:$BZ,MATCH($H12,英雄装备!$F:$F,0),MATCH(J$2,英雄装备!$1:$1,0)-5),装备属性!$A:$C,3,0),VLOOKUP(INDEX(英雄装备!$F:$BZ,MATCH($H12,英雄装备!$F:$F,0),MATCH(J$2,英雄装备!$1:$1,0)-4),装备属性!$A:$C,3,0),VLOOKUP(INDEX(英雄装备!$F:$BZ,MATCH($H12,英雄装备!$F:$F,0),MATCH(J$2,英雄装备!$1:$1,0)-3),装备属性!$A:$C,3,0),VLOOKUP(INDEX(英雄装备!$F:$BZ,MATCH($H12,英雄装备!$F:$F,0),MATCH(J$2,英雄装备!$1:$1,0)-2),装备属性!$A:$C,3,0),VLOOKUP(INDEX(英雄装备!$F:$BZ,MATCH($H12,英雄装备!$F:$F,0),MATCH(J$2,英雄装备!$1:$1,0)-1),装备属性!$A:$C,3,0),VLOOKUP(INDEX(英雄装备!$F:$BZ,MATCH($H12,英雄装备!$F:$F,0),MATCH(J$2,英雄装备!$1:$1,0)),装备属性!$A:$C,3,0))</f>
        <v>10</v>
      </c>
      <c r="K12" s="51">
        <f>MAX(VLOOKUP(INDEX(英雄装备!$F:$BZ,MATCH($H12,英雄装备!$F:$F,0),MATCH(K$2,英雄装备!$1:$1,0)-5),装备属性!$A:$C,3,0),VLOOKUP(INDEX(英雄装备!$F:$BZ,MATCH($H12,英雄装备!$F:$F,0),MATCH(K$2,英雄装备!$1:$1,0)-4),装备属性!$A:$C,3,0),VLOOKUP(INDEX(英雄装备!$F:$BZ,MATCH($H12,英雄装备!$F:$F,0),MATCH(K$2,英雄装备!$1:$1,0)-3),装备属性!$A:$C,3,0),VLOOKUP(INDEX(英雄装备!$F:$BZ,MATCH($H12,英雄装备!$F:$F,0),MATCH(K$2,英雄装备!$1:$1,0)-2),装备属性!$A:$C,3,0),VLOOKUP(INDEX(英雄装备!$F:$BZ,MATCH($H12,英雄装备!$F:$F,0),MATCH(K$2,英雄装备!$1:$1,0)-1),装备属性!$A:$C,3,0),VLOOKUP(INDEX(英雄装备!$F:$BZ,MATCH($H12,英雄装备!$F:$F,0),MATCH(K$2,英雄装备!$1:$1,0)),装备属性!$A:$C,3,0))</f>
        <v>26</v>
      </c>
      <c r="L12" s="51">
        <f>MAX(VLOOKUP(INDEX(英雄装备!$F:$BZ,MATCH($H12,英雄装备!$F:$F,0),MATCH(L$2,英雄装备!$1:$1,0)-5),装备属性!$A:$C,3,0),VLOOKUP(INDEX(英雄装备!$F:$BZ,MATCH($H12,英雄装备!$F:$F,0),MATCH(L$2,英雄装备!$1:$1,0)-4),装备属性!$A:$C,3,0),VLOOKUP(INDEX(英雄装备!$F:$BZ,MATCH($H12,英雄装备!$F:$F,0),MATCH(L$2,英雄装备!$1:$1,0)-3),装备属性!$A:$C,3,0),VLOOKUP(INDEX(英雄装备!$F:$BZ,MATCH($H12,英雄装备!$F:$F,0),MATCH(L$2,英雄装备!$1:$1,0)-2),装备属性!$A:$C,3,0),VLOOKUP(INDEX(英雄装备!$F:$BZ,MATCH($H12,英雄装备!$F:$F,0),MATCH(L$2,英雄装备!$1:$1,0)-1),装备属性!$A:$C,3,0),VLOOKUP(INDEX(英雄装备!$F:$BZ,MATCH($H12,英雄装备!$F:$F,0),MATCH(L$2,英雄装备!$1:$1,0)),装备属性!$A:$C,3,0))</f>
        <v>35</v>
      </c>
      <c r="M12" s="51">
        <f>MAX(VLOOKUP(INDEX(英雄装备!$F:$BZ,MATCH($H12,英雄装备!$F:$F,0),MATCH(M$2,英雄装备!$1:$1,0)-5),装备属性!$A:$C,3,0),VLOOKUP(INDEX(英雄装备!$F:$BZ,MATCH($H12,英雄装备!$F:$F,0),MATCH(M$2,英雄装备!$1:$1,0)-4),装备属性!$A:$C,3,0),VLOOKUP(INDEX(英雄装备!$F:$BZ,MATCH($H12,英雄装备!$F:$F,0),MATCH(M$2,英雄装备!$1:$1,0)-3),装备属性!$A:$C,3,0),VLOOKUP(INDEX(英雄装备!$F:$BZ,MATCH($H12,英雄装备!$F:$F,0),MATCH(M$2,英雄装备!$1:$1,0)-2),装备属性!$A:$C,3,0),VLOOKUP(INDEX(英雄装备!$F:$BZ,MATCH($H12,英雄装备!$F:$F,0),MATCH(M$2,英雄装备!$1:$1,0)-1),装备属性!$A:$C,3,0),VLOOKUP(INDEX(英雄装备!$F:$BZ,MATCH($H12,英雄装备!$F:$F,0),MATCH(M$2,英雄装备!$1:$1,0)),装备属性!$A:$C,3,0))</f>
        <v>42</v>
      </c>
      <c r="N12" s="51">
        <f>MAX(VLOOKUP(INDEX(英雄装备!$F:$BZ,MATCH($H12,英雄装备!$F:$F,0),MATCH(N$2,英雄装备!$1:$1,0)-5),装备属性!$A:$C,3,0),VLOOKUP(INDEX(英雄装备!$F:$BZ,MATCH($H12,英雄装备!$F:$F,0),MATCH(N$2,英雄装备!$1:$1,0)-4),装备属性!$A:$C,3,0),VLOOKUP(INDEX(英雄装备!$F:$BZ,MATCH($H12,英雄装备!$F:$F,0),MATCH(N$2,英雄装备!$1:$1,0)-3),装备属性!$A:$C,3,0),VLOOKUP(INDEX(英雄装备!$F:$BZ,MATCH($H12,英雄装备!$F:$F,0),MATCH(N$2,英雄装备!$1:$1,0)-2),装备属性!$A:$C,3,0),VLOOKUP(INDEX(英雄装备!$F:$BZ,MATCH($H12,英雄装备!$F:$F,0),MATCH(N$2,英雄装备!$1:$1,0)-1),装备属性!$A:$C,3,0),VLOOKUP(INDEX(英雄装备!$F:$BZ,MATCH($H12,英雄装备!$F:$F,0),MATCH(N$2,英雄装备!$1:$1,0)),装备属性!$A:$C,3,0))</f>
        <v>53</v>
      </c>
      <c r="O12" s="51">
        <f>MAX(VLOOKUP(INDEX(英雄装备!$F:$BZ,MATCH($H12,英雄装备!$F:$F,0),MATCH(O$2,英雄装备!$1:$1,0)-5),装备属性!$A:$C,3,0),VLOOKUP(INDEX(英雄装备!$F:$BZ,MATCH($H12,英雄装备!$F:$F,0),MATCH(O$2,英雄装备!$1:$1,0)-4),装备属性!$A:$C,3,0),VLOOKUP(INDEX(英雄装备!$F:$BZ,MATCH($H12,英雄装备!$F:$F,0),MATCH(O$2,英雄装备!$1:$1,0)-3),装备属性!$A:$C,3,0),VLOOKUP(INDEX(英雄装备!$F:$BZ,MATCH($H12,英雄装备!$F:$F,0),MATCH(O$2,英雄装备!$1:$1,0)-2),装备属性!$A:$C,3,0),VLOOKUP(INDEX(英雄装备!$F:$BZ,MATCH($H12,英雄装备!$F:$F,0),MATCH(O$2,英雄装备!$1:$1,0)-1),装备属性!$A:$C,3,0),VLOOKUP(INDEX(英雄装备!$F:$BZ,MATCH($H12,英雄装备!$F:$F,0),MATCH(O$2,英雄装备!$1:$1,0)),装备属性!$A:$C,3,0))</f>
        <v>62</v>
      </c>
      <c r="P12" s="51">
        <f>MAX(VLOOKUP(INDEX(英雄装备!$F:$BZ,MATCH($H12,英雄装备!$F:$F,0),MATCH(P$2,英雄装备!$1:$1,0)-5),装备属性!$A:$C,3,0),VLOOKUP(INDEX(英雄装备!$F:$BZ,MATCH($H12,英雄装备!$F:$F,0),MATCH(P$2,英雄装备!$1:$1,0)-4),装备属性!$A:$C,3,0),VLOOKUP(INDEX(英雄装备!$F:$BZ,MATCH($H12,英雄装备!$F:$F,0),MATCH(P$2,英雄装备!$1:$1,0)-3),装备属性!$A:$C,3,0),VLOOKUP(INDEX(英雄装备!$F:$BZ,MATCH($H12,英雄装备!$F:$F,0),MATCH(P$2,英雄装备!$1:$1,0)-2),装备属性!$A:$C,3,0),VLOOKUP(INDEX(英雄装备!$F:$BZ,MATCH($H12,英雄装备!$F:$F,0),MATCH(P$2,英雄装备!$1:$1,0)-1),装备属性!$A:$C,3,0),VLOOKUP(INDEX(英雄装备!$F:$BZ,MATCH($H12,英雄装备!$F:$F,0),MATCH(P$2,英雄装备!$1:$1,0)),装备属性!$A:$C,3,0))</f>
        <v>70</v>
      </c>
      <c r="Q12" s="51">
        <f>MAX(VLOOKUP(INDEX(英雄装备!$F:$BZ,MATCH($H12,英雄装备!$F:$F,0),MATCH(Q$2,英雄装备!$1:$1,0)-5),装备属性!$A:$C,3,0),VLOOKUP(INDEX(英雄装备!$F:$BZ,MATCH($H12,英雄装备!$F:$F,0),MATCH(Q$2,英雄装备!$1:$1,0)-4),装备属性!$A:$C,3,0),VLOOKUP(INDEX(英雄装备!$F:$BZ,MATCH($H12,英雄装备!$F:$F,0),MATCH(Q$2,英雄装备!$1:$1,0)-3),装备属性!$A:$C,3,0),VLOOKUP(INDEX(英雄装备!$F:$BZ,MATCH($H12,英雄装备!$F:$F,0),MATCH(Q$2,英雄装备!$1:$1,0)-2),装备属性!$A:$C,3,0),VLOOKUP(INDEX(英雄装备!$F:$BZ,MATCH($H12,英雄装备!$F:$F,0),MATCH(Q$2,英雄装备!$1:$1,0)-1),装备属性!$A:$C,3,0),VLOOKUP(INDEX(英雄装备!$F:$BZ,MATCH($H12,英雄装备!$F:$F,0),MATCH(Q$2,英雄装备!$1:$1,0)),装备属性!$A:$C,3,0))</f>
        <v>79</v>
      </c>
      <c r="R12" s="51">
        <f>MAX(VLOOKUP(INDEX(英雄装备!$F:$BZ,MATCH($H12,英雄装备!$F:$F,0),MATCH(R$2,英雄装备!$1:$1,0)-5),装备属性!$A:$C,3,0),VLOOKUP(INDEX(英雄装备!$F:$BZ,MATCH($H12,英雄装备!$F:$F,0),MATCH(R$2,英雄装备!$1:$1,0)-4),装备属性!$A:$C,3,0),VLOOKUP(INDEX(英雄装备!$F:$BZ,MATCH($H12,英雄装备!$F:$F,0),MATCH(R$2,英雄装备!$1:$1,0)-3),装备属性!$A:$C,3,0),VLOOKUP(INDEX(英雄装备!$F:$BZ,MATCH($H12,英雄装备!$F:$F,0),MATCH(R$2,英雄装备!$1:$1,0)-2),装备属性!$A:$C,3,0),VLOOKUP(INDEX(英雄装备!$F:$BZ,MATCH($H12,英雄装备!$F:$F,0),MATCH(R$2,英雄装备!$1:$1,0)-1),装备属性!$A:$C,3,0),VLOOKUP(INDEX(英雄装备!$F:$BZ,MATCH($H12,英雄装备!$F:$F,0),MATCH(R$2,英雄装备!$1:$1,0)),装备属性!$A:$C,3,0))</f>
        <v>80</v>
      </c>
      <c r="S12" s="51">
        <f>MAX(VLOOKUP(INDEX(英雄装备!$F:$BZ,MATCH($H12,英雄装备!$F:$F,0),MATCH(S$2,英雄装备!$1:$1,0)-5),装备属性!$A:$C,3,0),VLOOKUP(INDEX(英雄装备!$F:$BZ,MATCH($H12,英雄装备!$F:$F,0),MATCH(S$2,英雄装备!$1:$1,0)-4),装备属性!$A:$C,3,0),VLOOKUP(INDEX(英雄装备!$F:$BZ,MATCH($H12,英雄装备!$F:$F,0),MATCH(S$2,英雄装备!$1:$1,0)-3),装备属性!$A:$C,3,0),VLOOKUP(INDEX(英雄装备!$F:$BZ,MATCH($H12,英雄装备!$F:$F,0),MATCH(S$2,英雄装备!$1:$1,0)-2),装备属性!$A:$C,3,0),VLOOKUP(INDEX(英雄装备!$F:$BZ,MATCH($H12,英雄装备!$F:$F,0),MATCH(S$2,英雄装备!$1:$1,0)-1),装备属性!$A:$C,3,0),VLOOKUP(INDEX(英雄装备!$F:$BZ,MATCH($H12,英雄装备!$F:$F,0),MATCH(S$2,英雄装备!$1:$1,0)),装备属性!$A:$C,3,0))</f>
        <v>85</v>
      </c>
      <c r="T12" s="51">
        <f>MAX(VLOOKUP(INDEX(英雄装备!$F:$BZ,MATCH($H12,英雄装备!$F:$F,0),MATCH(T$2,英雄装备!$1:$1,0)-5),装备属性!$A:$C,3,0),VLOOKUP(INDEX(英雄装备!$F:$BZ,MATCH($H12,英雄装备!$F:$F,0),MATCH(T$2,英雄装备!$1:$1,0)-4),装备属性!$A:$C,3,0),VLOOKUP(INDEX(英雄装备!$F:$BZ,MATCH($H12,英雄装备!$F:$F,0),MATCH(T$2,英雄装备!$1:$1,0)-3),装备属性!$A:$C,3,0),VLOOKUP(INDEX(英雄装备!$F:$BZ,MATCH($H12,英雄装备!$F:$F,0),MATCH(T$2,英雄装备!$1:$1,0)-2),装备属性!$A:$C,3,0),VLOOKUP(INDEX(英雄装备!$F:$BZ,MATCH($H12,英雄装备!$F:$F,0),MATCH(T$2,英雄装备!$1:$1,0)-1),装备属性!$A:$C,3,0))</f>
        <v>88</v>
      </c>
      <c r="U12" s="112"/>
      <c r="V12" s="112"/>
      <c r="W12" s="112" t="str">
        <f>IF($V$2&lt;12,"","橙")</f>
        <v>橙</v>
      </c>
      <c r="X12" s="138" t="str">
        <f>VLOOKUP(单英雄!$C$2,英雄装备!$F:$BZ,68,0)</f>
        <v>地覆</v>
      </c>
      <c r="Y12" s="138" t="str">
        <f>VLOOKUP(单英雄!$C$2,英雄装备!$F:$BZ,69,0)</f>
        <v>麒麟弯刀</v>
      </c>
      <c r="Z12" s="138" t="str">
        <f>VLOOKUP(单英雄!$C$2,英雄装备!$F:$BZ,70,0)</f>
        <v>振奋石</v>
      </c>
      <c r="AA12" s="138" t="str">
        <f>VLOOKUP(单英雄!$C$2,英雄装备!$F:$BZ,71,0)</f>
        <v>角鹰弓</v>
      </c>
      <c r="AB12" s="138" t="str">
        <f>VLOOKUP(单英雄!$C$2,英雄装备!$F:$BZ,72,0)</f>
        <v>疾行鞋</v>
      </c>
      <c r="AC12" s="141" t="s">
        <v>2102</v>
      </c>
      <c r="AG12" s="232"/>
      <c r="AH12" s="232"/>
      <c r="AI12" s="232"/>
      <c r="AJ12" s="232"/>
      <c r="AK12" s="232"/>
      <c r="AL12" s="232"/>
      <c r="AM12" s="232"/>
      <c r="AN12" s="232"/>
    </row>
    <row r="13" spans="1:52">
      <c r="B13" s="49" t="str">
        <f>英雄初始!A14</f>
        <v>电魂</v>
      </c>
      <c r="E13" s="49" t="str">
        <f>进阶奖励!$A17</f>
        <v>绿+1</v>
      </c>
      <c r="F13" s="49">
        <v>3</v>
      </c>
      <c r="G13" s="146">
        <f>VLOOKUP(单英雄!$C$2,中介表格1!$H:$T,4,0)</f>
        <v>20</v>
      </c>
      <c r="H13" s="54" t="s">
        <v>166</v>
      </c>
      <c r="I13" s="51">
        <f>MAX(VLOOKUP(INDEX(英雄装备!$F:$BZ,MATCH($H13,英雄装备!$F:$F,0),MATCH(I$2,英雄装备!$1:$1,0)-5),装备属性!$A:$C,3,0),VLOOKUP(INDEX(英雄装备!$F:$BZ,MATCH($H13,英雄装备!$F:$F,0),MATCH(I$2,英雄装备!$1:$1,0)-4),装备属性!$A:$C,3,0),VLOOKUP(INDEX(英雄装备!$F:$BZ,MATCH($H13,英雄装备!$F:$F,0),MATCH(I$2,英雄装备!$1:$1,0)-3),装备属性!$A:$C,3,0),VLOOKUP(INDEX(英雄装备!$F:$BZ,MATCH($H13,英雄装备!$F:$F,0),MATCH(I$2,英雄装备!$1:$1,0)-2),装备属性!$A:$C,3,0),VLOOKUP(INDEX(英雄装备!$F:$BZ,MATCH($H13,英雄装备!$F:$F,0),MATCH(I$2,英雄装备!$1:$1,0)-1),装备属性!$A:$C,3,0),VLOOKUP(INDEX(英雄装备!$F:$BZ,MATCH($H13,英雄装备!$F:$F,0),MATCH(I$2,英雄装备!$1:$1,0)),装备属性!$A:$C,3,0))</f>
        <v>2</v>
      </c>
      <c r="J13" s="51">
        <f>MAX(VLOOKUP(INDEX(英雄装备!$F:$BZ,MATCH($H13,英雄装备!$F:$F,0),MATCH(J$2,英雄装备!$1:$1,0)-5),装备属性!$A:$C,3,0),VLOOKUP(INDEX(英雄装备!$F:$BZ,MATCH($H13,英雄装备!$F:$F,0),MATCH(J$2,英雄装备!$1:$1,0)-4),装备属性!$A:$C,3,0),VLOOKUP(INDEX(英雄装备!$F:$BZ,MATCH($H13,英雄装备!$F:$F,0),MATCH(J$2,英雄装备!$1:$1,0)-3),装备属性!$A:$C,3,0),VLOOKUP(INDEX(英雄装备!$F:$BZ,MATCH($H13,英雄装备!$F:$F,0),MATCH(J$2,英雄装备!$1:$1,0)-2),装备属性!$A:$C,3,0),VLOOKUP(INDEX(英雄装备!$F:$BZ,MATCH($H13,英雄装备!$F:$F,0),MATCH(J$2,英雄装备!$1:$1,0)-1),装备属性!$A:$C,3,0),VLOOKUP(INDEX(英雄装备!$F:$BZ,MATCH($H13,英雄装备!$F:$F,0),MATCH(J$2,英雄装备!$1:$1,0)),装备属性!$A:$C,3,0))</f>
        <v>12</v>
      </c>
      <c r="K13" s="51">
        <f>MAX(VLOOKUP(INDEX(英雄装备!$F:$BZ,MATCH($H13,英雄装备!$F:$F,0),MATCH(K$2,英雄装备!$1:$1,0)-5),装备属性!$A:$C,3,0),VLOOKUP(INDEX(英雄装备!$F:$BZ,MATCH($H13,英雄装备!$F:$F,0),MATCH(K$2,英雄装备!$1:$1,0)-4),装备属性!$A:$C,3,0),VLOOKUP(INDEX(英雄装备!$F:$BZ,MATCH($H13,英雄装备!$F:$F,0),MATCH(K$2,英雄装备!$1:$1,0)-3),装备属性!$A:$C,3,0),VLOOKUP(INDEX(英雄装备!$F:$BZ,MATCH($H13,英雄装备!$F:$F,0),MATCH(K$2,英雄装备!$1:$1,0)-2),装备属性!$A:$C,3,0),VLOOKUP(INDEX(英雄装备!$F:$BZ,MATCH($H13,英雄装备!$F:$F,0),MATCH(K$2,英雄装备!$1:$1,0)-1),装备属性!$A:$C,3,0),VLOOKUP(INDEX(英雄装备!$F:$BZ,MATCH($H13,英雄装备!$F:$F,0),MATCH(K$2,英雄装备!$1:$1,0)),装备属性!$A:$C,3,0))</f>
        <v>22</v>
      </c>
      <c r="L13" s="51">
        <f>MAX(VLOOKUP(INDEX(英雄装备!$F:$BZ,MATCH($H13,英雄装备!$F:$F,0),MATCH(L$2,英雄装备!$1:$1,0)-5),装备属性!$A:$C,3,0),VLOOKUP(INDEX(英雄装备!$F:$BZ,MATCH($H13,英雄装备!$F:$F,0),MATCH(L$2,英雄装备!$1:$1,0)-4),装备属性!$A:$C,3,0),VLOOKUP(INDEX(英雄装备!$F:$BZ,MATCH($H13,英雄装备!$F:$F,0),MATCH(L$2,英雄装备!$1:$1,0)-3),装备属性!$A:$C,3,0),VLOOKUP(INDEX(英雄装备!$F:$BZ,MATCH($H13,英雄装备!$F:$F,0),MATCH(L$2,英雄装备!$1:$1,0)-2),装备属性!$A:$C,3,0),VLOOKUP(INDEX(英雄装备!$F:$BZ,MATCH($H13,英雄装备!$F:$F,0),MATCH(L$2,英雄装备!$1:$1,0)-1),装备属性!$A:$C,3,0),VLOOKUP(INDEX(英雄装备!$F:$BZ,MATCH($H13,英雄装备!$F:$F,0),MATCH(L$2,英雄装备!$1:$1,0)),装备属性!$A:$C,3,0))</f>
        <v>35</v>
      </c>
      <c r="M13" s="51">
        <f>MAX(VLOOKUP(INDEX(英雄装备!$F:$BZ,MATCH($H13,英雄装备!$F:$F,0),MATCH(M$2,英雄装备!$1:$1,0)-5),装备属性!$A:$C,3,0),VLOOKUP(INDEX(英雄装备!$F:$BZ,MATCH($H13,英雄装备!$F:$F,0),MATCH(M$2,英雄装备!$1:$1,0)-4),装备属性!$A:$C,3,0),VLOOKUP(INDEX(英雄装备!$F:$BZ,MATCH($H13,英雄装备!$F:$F,0),MATCH(M$2,英雄装备!$1:$1,0)-3),装备属性!$A:$C,3,0),VLOOKUP(INDEX(英雄装备!$F:$BZ,MATCH($H13,英雄装备!$F:$F,0),MATCH(M$2,英雄装备!$1:$1,0)-2),装备属性!$A:$C,3,0),VLOOKUP(INDEX(英雄装备!$F:$BZ,MATCH($H13,英雄装备!$F:$F,0),MATCH(M$2,英雄装备!$1:$1,0)-1),装备属性!$A:$C,3,0),VLOOKUP(INDEX(英雄装备!$F:$BZ,MATCH($H13,英雄装备!$F:$F,0),MATCH(M$2,英雄装备!$1:$1,0)),装备属性!$A:$C,3,0))</f>
        <v>43</v>
      </c>
      <c r="N13" s="51">
        <f>MAX(VLOOKUP(INDEX(英雄装备!$F:$BZ,MATCH($H13,英雄装备!$F:$F,0),MATCH(N$2,英雄装备!$1:$1,0)-5),装备属性!$A:$C,3,0),VLOOKUP(INDEX(英雄装备!$F:$BZ,MATCH($H13,英雄装备!$F:$F,0),MATCH(N$2,英雄装备!$1:$1,0)-4),装备属性!$A:$C,3,0),VLOOKUP(INDEX(英雄装备!$F:$BZ,MATCH($H13,英雄装备!$F:$F,0),MATCH(N$2,英雄装备!$1:$1,0)-3),装备属性!$A:$C,3,0),VLOOKUP(INDEX(英雄装备!$F:$BZ,MATCH($H13,英雄装备!$F:$F,0),MATCH(N$2,英雄装备!$1:$1,0)-2),装备属性!$A:$C,3,0),VLOOKUP(INDEX(英雄装备!$F:$BZ,MATCH($H13,英雄装备!$F:$F,0),MATCH(N$2,英雄装备!$1:$1,0)-1),装备属性!$A:$C,3,0),VLOOKUP(INDEX(英雄装备!$F:$BZ,MATCH($H13,英雄装备!$F:$F,0),MATCH(N$2,英雄装备!$1:$1,0)),装备属性!$A:$C,3,0))</f>
        <v>50</v>
      </c>
      <c r="O13" s="51">
        <f>MAX(VLOOKUP(INDEX(英雄装备!$F:$BZ,MATCH($H13,英雄装备!$F:$F,0),MATCH(O$2,英雄装备!$1:$1,0)-5),装备属性!$A:$C,3,0),VLOOKUP(INDEX(英雄装备!$F:$BZ,MATCH($H13,英雄装备!$F:$F,0),MATCH(O$2,英雄装备!$1:$1,0)-4),装备属性!$A:$C,3,0),VLOOKUP(INDEX(英雄装备!$F:$BZ,MATCH($H13,英雄装备!$F:$F,0),MATCH(O$2,英雄装备!$1:$1,0)-3),装备属性!$A:$C,3,0),VLOOKUP(INDEX(英雄装备!$F:$BZ,MATCH($H13,英雄装备!$F:$F,0),MATCH(O$2,英雄装备!$1:$1,0)-2),装备属性!$A:$C,3,0),VLOOKUP(INDEX(英雄装备!$F:$BZ,MATCH($H13,英雄装备!$F:$F,0),MATCH(O$2,英雄装备!$1:$1,0)-1),装备属性!$A:$C,3,0),VLOOKUP(INDEX(英雄装备!$F:$BZ,MATCH($H13,英雄装备!$F:$F,0),MATCH(O$2,英雄装备!$1:$1,0)),装备属性!$A:$C,3,0))</f>
        <v>64</v>
      </c>
      <c r="P13" s="51">
        <f>MAX(VLOOKUP(INDEX(英雄装备!$F:$BZ,MATCH($H13,英雄装备!$F:$F,0),MATCH(P$2,英雄装备!$1:$1,0)-5),装备属性!$A:$C,3,0),VLOOKUP(INDEX(英雄装备!$F:$BZ,MATCH($H13,英雄装备!$F:$F,0),MATCH(P$2,英雄装备!$1:$1,0)-4),装备属性!$A:$C,3,0),VLOOKUP(INDEX(英雄装备!$F:$BZ,MATCH($H13,英雄装备!$F:$F,0),MATCH(P$2,英雄装备!$1:$1,0)-3),装备属性!$A:$C,3,0),VLOOKUP(INDEX(英雄装备!$F:$BZ,MATCH($H13,英雄装备!$F:$F,0),MATCH(P$2,英雄装备!$1:$1,0)-2),装备属性!$A:$C,3,0),VLOOKUP(INDEX(英雄装备!$F:$BZ,MATCH($H13,英雄装备!$F:$F,0),MATCH(P$2,英雄装备!$1:$1,0)-1),装备属性!$A:$C,3,0),VLOOKUP(INDEX(英雄装备!$F:$BZ,MATCH($H13,英雄装备!$F:$F,0),MATCH(P$2,英雄装备!$1:$1,0)),装备属性!$A:$C,3,0))</f>
        <v>72</v>
      </c>
      <c r="Q13" s="51">
        <f>MAX(VLOOKUP(INDEX(英雄装备!$F:$BZ,MATCH($H13,英雄装备!$F:$F,0),MATCH(Q$2,英雄装备!$1:$1,0)-5),装备属性!$A:$C,3,0),VLOOKUP(INDEX(英雄装备!$F:$BZ,MATCH($H13,英雄装备!$F:$F,0),MATCH(Q$2,英雄装备!$1:$1,0)-4),装备属性!$A:$C,3,0),VLOOKUP(INDEX(英雄装备!$F:$BZ,MATCH($H13,英雄装备!$F:$F,0),MATCH(Q$2,英雄装备!$1:$1,0)-3),装备属性!$A:$C,3,0),VLOOKUP(INDEX(英雄装备!$F:$BZ,MATCH($H13,英雄装备!$F:$F,0),MATCH(Q$2,英雄装备!$1:$1,0)-2),装备属性!$A:$C,3,0),VLOOKUP(INDEX(英雄装备!$F:$BZ,MATCH($H13,英雄装备!$F:$F,0),MATCH(Q$2,英雄装备!$1:$1,0)-1),装备属性!$A:$C,3,0),VLOOKUP(INDEX(英雄装备!$F:$BZ,MATCH($H13,英雄装备!$F:$F,0),MATCH(Q$2,英雄装备!$1:$1,0)),装备属性!$A:$C,3,0))</f>
        <v>78</v>
      </c>
      <c r="R13" s="51">
        <f>MAX(VLOOKUP(INDEX(英雄装备!$F:$BZ,MATCH($H13,英雄装备!$F:$F,0),MATCH(R$2,英雄装备!$1:$1,0)-5),装备属性!$A:$C,3,0),VLOOKUP(INDEX(英雄装备!$F:$BZ,MATCH($H13,英雄装备!$F:$F,0),MATCH(R$2,英雄装备!$1:$1,0)-4),装备属性!$A:$C,3,0),VLOOKUP(INDEX(英雄装备!$F:$BZ,MATCH($H13,英雄装备!$F:$F,0),MATCH(R$2,英雄装备!$1:$1,0)-3),装备属性!$A:$C,3,0),VLOOKUP(INDEX(英雄装备!$F:$BZ,MATCH($H13,英雄装备!$F:$F,0),MATCH(R$2,英雄装备!$1:$1,0)-2),装备属性!$A:$C,3,0),VLOOKUP(INDEX(英雄装备!$F:$BZ,MATCH($H13,英雄装备!$F:$F,0),MATCH(R$2,英雄装备!$1:$1,0)-1),装备属性!$A:$C,3,0),VLOOKUP(INDEX(英雄装备!$F:$BZ,MATCH($H13,英雄装备!$F:$F,0),MATCH(R$2,英雄装备!$1:$1,0)),装备属性!$A:$C,3,0))</f>
        <v>80</v>
      </c>
      <c r="S13" s="51">
        <f>MAX(VLOOKUP(INDEX(英雄装备!$F:$BZ,MATCH($H13,英雄装备!$F:$F,0),MATCH(S$2,英雄装备!$1:$1,0)-5),装备属性!$A:$C,3,0),VLOOKUP(INDEX(英雄装备!$F:$BZ,MATCH($H13,英雄装备!$F:$F,0),MATCH(S$2,英雄装备!$1:$1,0)-4),装备属性!$A:$C,3,0),VLOOKUP(INDEX(英雄装备!$F:$BZ,MATCH($H13,英雄装备!$F:$F,0),MATCH(S$2,英雄装备!$1:$1,0)-3),装备属性!$A:$C,3,0),VLOOKUP(INDEX(英雄装备!$F:$BZ,MATCH($H13,英雄装备!$F:$F,0),MATCH(S$2,英雄装备!$1:$1,0)-2),装备属性!$A:$C,3,0),VLOOKUP(INDEX(英雄装备!$F:$BZ,MATCH($H13,英雄装备!$F:$F,0),MATCH(S$2,英雄装备!$1:$1,0)-1),装备属性!$A:$C,3,0),VLOOKUP(INDEX(英雄装备!$F:$BZ,MATCH($H13,英雄装备!$F:$F,0),MATCH(S$2,英雄装备!$1:$1,0)),装备属性!$A:$C,3,0))</f>
        <v>85</v>
      </c>
      <c r="T13" s="51">
        <f>MAX(VLOOKUP(INDEX(英雄装备!$F:$BZ,MATCH($H13,英雄装备!$F:$F,0),MATCH(T$2,英雄装备!$1:$1,0)-5),装备属性!$A:$C,3,0),VLOOKUP(INDEX(英雄装备!$F:$BZ,MATCH($H13,英雄装备!$F:$F,0),MATCH(T$2,英雄装备!$1:$1,0)-4),装备属性!$A:$C,3,0),VLOOKUP(INDEX(英雄装备!$F:$BZ,MATCH($H13,英雄装备!$F:$F,0),MATCH(T$2,英雄装备!$1:$1,0)-3),装备属性!$A:$C,3,0),VLOOKUP(INDEX(英雄装备!$F:$BZ,MATCH($H13,英雄装备!$F:$F,0),MATCH(T$2,英雄装备!$1:$1,0)-2),装备属性!$A:$C,3,0),VLOOKUP(INDEX(英雄装备!$F:$BZ,MATCH($H13,英雄装备!$F:$F,0),MATCH(T$2,英雄装备!$1:$1,0)-1),装备属性!$A:$C,3,0))</f>
        <v>89</v>
      </c>
      <c r="AG13" s="232"/>
      <c r="AH13" s="232" t="s">
        <v>1077</v>
      </c>
      <c r="AI13" s="50" t="s">
        <v>103</v>
      </c>
      <c r="AJ13" s="50" t="s">
        <v>14</v>
      </c>
      <c r="AK13" s="50" t="s">
        <v>47</v>
      </c>
      <c r="AL13" s="50" t="s">
        <v>35</v>
      </c>
      <c r="AM13" s="50" t="s">
        <v>38</v>
      </c>
      <c r="AN13" s="50" t="s">
        <v>34</v>
      </c>
      <c r="AO13" s="50" t="s">
        <v>56</v>
      </c>
      <c r="AP13" s="50" t="s">
        <v>84</v>
      </c>
      <c r="AQ13" s="50" t="s">
        <v>98</v>
      </c>
      <c r="AR13" s="50" t="s">
        <v>2099</v>
      </c>
      <c r="AS13" s="119" t="s">
        <v>1874</v>
      </c>
      <c r="AT13" s="50" t="s">
        <v>91</v>
      </c>
      <c r="AU13" s="50" t="s">
        <v>13</v>
      </c>
      <c r="AV13" s="50" t="s">
        <v>18</v>
      </c>
      <c r="AW13" s="51" t="s">
        <v>71</v>
      </c>
      <c r="AX13" s="50" t="s">
        <v>130</v>
      </c>
      <c r="AY13" s="141" t="s">
        <v>2096</v>
      </c>
      <c r="AZ13" s="141" t="s">
        <v>2097</v>
      </c>
    </row>
    <row r="14" spans="1:52">
      <c r="B14" s="49" t="str">
        <f>英雄初始!A15</f>
        <v>敌法</v>
      </c>
      <c r="E14" s="49" t="str">
        <f>进阶奖励!$A18</f>
        <v>蓝</v>
      </c>
      <c r="F14" s="49">
        <v>4</v>
      </c>
      <c r="G14" s="146">
        <f>VLOOKUP(单英雄!$C$2,中介表格1!$H:$T,5,0)</f>
        <v>35</v>
      </c>
      <c r="H14" s="54" t="s">
        <v>167</v>
      </c>
      <c r="I14" s="51">
        <f>MAX(VLOOKUP(INDEX(英雄装备!$F:$BZ,MATCH($H14,英雄装备!$F:$F,0),MATCH(I$2,英雄装备!$1:$1,0)-5),装备属性!$A:$C,3,0),VLOOKUP(INDEX(英雄装备!$F:$BZ,MATCH($H14,英雄装备!$F:$F,0),MATCH(I$2,英雄装备!$1:$1,0)-4),装备属性!$A:$C,3,0),VLOOKUP(INDEX(英雄装备!$F:$BZ,MATCH($H14,英雄装备!$F:$F,0),MATCH(I$2,英雄装备!$1:$1,0)-3),装备属性!$A:$C,3,0),VLOOKUP(INDEX(英雄装备!$F:$BZ,MATCH($H14,英雄装备!$F:$F,0),MATCH(I$2,英雄装备!$1:$1,0)-2),装备属性!$A:$C,3,0),VLOOKUP(INDEX(英雄装备!$F:$BZ,MATCH($H14,英雄装备!$F:$F,0),MATCH(I$2,英雄装备!$1:$1,0)-1),装备属性!$A:$C,3,0),VLOOKUP(INDEX(英雄装备!$F:$BZ,MATCH($H14,英雄装备!$F:$F,0),MATCH(I$2,英雄装备!$1:$1,0)),装备属性!$A:$C,3,0))</f>
        <v>2</v>
      </c>
      <c r="J14" s="51">
        <f>MAX(VLOOKUP(INDEX(英雄装备!$F:$BZ,MATCH($H14,英雄装备!$F:$F,0),MATCH(J$2,英雄装备!$1:$1,0)-5),装备属性!$A:$C,3,0),VLOOKUP(INDEX(英雄装备!$F:$BZ,MATCH($H14,英雄装备!$F:$F,0),MATCH(J$2,英雄装备!$1:$1,0)-4),装备属性!$A:$C,3,0),VLOOKUP(INDEX(英雄装备!$F:$BZ,MATCH($H14,英雄装备!$F:$F,0),MATCH(J$2,英雄装备!$1:$1,0)-3),装备属性!$A:$C,3,0),VLOOKUP(INDEX(英雄装备!$F:$BZ,MATCH($H14,英雄装备!$F:$F,0),MATCH(J$2,英雄装备!$1:$1,0)-2),装备属性!$A:$C,3,0),VLOOKUP(INDEX(英雄装备!$F:$BZ,MATCH($H14,英雄装备!$F:$F,0),MATCH(J$2,英雄装备!$1:$1,0)-1),装备属性!$A:$C,3,0),VLOOKUP(INDEX(英雄装备!$F:$BZ,MATCH($H14,英雄装备!$F:$F,0),MATCH(J$2,英雄装备!$1:$1,0)),装备属性!$A:$C,3,0))</f>
        <v>10</v>
      </c>
      <c r="K14" s="51">
        <f>MAX(VLOOKUP(INDEX(英雄装备!$F:$BZ,MATCH($H14,英雄装备!$F:$F,0),MATCH(K$2,英雄装备!$1:$1,0)-5),装备属性!$A:$C,3,0),VLOOKUP(INDEX(英雄装备!$F:$BZ,MATCH($H14,英雄装备!$F:$F,0),MATCH(K$2,英雄装备!$1:$1,0)-4),装备属性!$A:$C,3,0),VLOOKUP(INDEX(英雄装备!$F:$BZ,MATCH($H14,英雄装备!$F:$F,0),MATCH(K$2,英雄装备!$1:$1,0)-3),装备属性!$A:$C,3,0),VLOOKUP(INDEX(英雄装备!$F:$BZ,MATCH($H14,英雄装备!$F:$F,0),MATCH(K$2,英雄装备!$1:$1,0)-2),装备属性!$A:$C,3,0),VLOOKUP(INDEX(英雄装备!$F:$BZ,MATCH($H14,英雄装备!$F:$F,0),MATCH(K$2,英雄装备!$1:$1,0)-1),装备属性!$A:$C,3,0),VLOOKUP(INDEX(英雄装备!$F:$BZ,MATCH($H14,英雄装备!$F:$F,0),MATCH(K$2,英雄装备!$1:$1,0)),装备属性!$A:$C,3,0))</f>
        <v>20</v>
      </c>
      <c r="L14" s="51">
        <f>MAX(VLOOKUP(INDEX(英雄装备!$F:$BZ,MATCH($H14,英雄装备!$F:$F,0),MATCH(L$2,英雄装备!$1:$1,0)-5),装备属性!$A:$C,3,0),VLOOKUP(INDEX(英雄装备!$F:$BZ,MATCH($H14,英雄装备!$F:$F,0),MATCH(L$2,英雄装备!$1:$1,0)-4),装备属性!$A:$C,3,0),VLOOKUP(INDEX(英雄装备!$F:$BZ,MATCH($H14,英雄装备!$F:$F,0),MATCH(L$2,英雄装备!$1:$1,0)-3),装备属性!$A:$C,3,0),VLOOKUP(INDEX(英雄装备!$F:$BZ,MATCH($H14,英雄装备!$F:$F,0),MATCH(L$2,英雄装备!$1:$1,0)-2),装备属性!$A:$C,3,0),VLOOKUP(INDEX(英雄装备!$F:$BZ,MATCH($H14,英雄装备!$F:$F,0),MATCH(L$2,英雄装备!$1:$1,0)-1),装备属性!$A:$C,3,0),VLOOKUP(INDEX(英雄装备!$F:$BZ,MATCH($H14,英雄装备!$F:$F,0),MATCH(L$2,英雄装备!$1:$1,0)),装备属性!$A:$C,3,0))</f>
        <v>35</v>
      </c>
      <c r="M14" s="51">
        <f>MAX(VLOOKUP(INDEX(英雄装备!$F:$BZ,MATCH($H14,英雄装备!$F:$F,0),MATCH(M$2,英雄装备!$1:$1,0)-5),装备属性!$A:$C,3,0),VLOOKUP(INDEX(英雄装备!$F:$BZ,MATCH($H14,英雄装备!$F:$F,0),MATCH(M$2,英雄装备!$1:$1,0)-4),装备属性!$A:$C,3,0),VLOOKUP(INDEX(英雄装备!$F:$BZ,MATCH($H14,英雄装备!$F:$F,0),MATCH(M$2,英雄装备!$1:$1,0)-3),装备属性!$A:$C,3,0),VLOOKUP(INDEX(英雄装备!$F:$BZ,MATCH($H14,英雄装备!$F:$F,0),MATCH(M$2,英雄装备!$1:$1,0)-2),装备属性!$A:$C,3,0),VLOOKUP(INDEX(英雄装备!$F:$BZ,MATCH($H14,英雄装备!$F:$F,0),MATCH(M$2,英雄装备!$1:$1,0)-1),装备属性!$A:$C,3,0),VLOOKUP(INDEX(英雄装备!$F:$BZ,MATCH($H14,英雄装备!$F:$F,0),MATCH(M$2,英雄装备!$1:$1,0)),装备属性!$A:$C,3,0))</f>
        <v>44</v>
      </c>
      <c r="N14" s="51">
        <f>MAX(VLOOKUP(INDEX(英雄装备!$F:$BZ,MATCH($H14,英雄装备!$F:$F,0),MATCH(N$2,英雄装备!$1:$1,0)-5),装备属性!$A:$C,3,0),VLOOKUP(INDEX(英雄装备!$F:$BZ,MATCH($H14,英雄装备!$F:$F,0),MATCH(N$2,英雄装备!$1:$1,0)-4),装备属性!$A:$C,3,0),VLOOKUP(INDEX(英雄装备!$F:$BZ,MATCH($H14,英雄装备!$F:$F,0),MATCH(N$2,英雄装备!$1:$1,0)-3),装备属性!$A:$C,3,0),VLOOKUP(INDEX(英雄装备!$F:$BZ,MATCH($H14,英雄装备!$F:$F,0),MATCH(N$2,英雄装备!$1:$1,0)-2),装备属性!$A:$C,3,0),VLOOKUP(INDEX(英雄装备!$F:$BZ,MATCH($H14,英雄装备!$F:$F,0),MATCH(N$2,英雄装备!$1:$1,0)-1),装备属性!$A:$C,3,0),VLOOKUP(INDEX(英雄装备!$F:$BZ,MATCH($H14,英雄装备!$F:$F,0),MATCH(N$2,英雄装备!$1:$1,0)),装备属性!$A:$C,3,0))</f>
        <v>51</v>
      </c>
      <c r="O14" s="51">
        <f>MAX(VLOOKUP(INDEX(英雄装备!$F:$BZ,MATCH($H14,英雄装备!$F:$F,0),MATCH(O$2,英雄装备!$1:$1,0)-5),装备属性!$A:$C,3,0),VLOOKUP(INDEX(英雄装备!$F:$BZ,MATCH($H14,英雄装备!$F:$F,0),MATCH(O$2,英雄装备!$1:$1,0)-4),装备属性!$A:$C,3,0),VLOOKUP(INDEX(英雄装备!$F:$BZ,MATCH($H14,英雄装备!$F:$F,0),MATCH(O$2,英雄装备!$1:$1,0)-3),装备属性!$A:$C,3,0),VLOOKUP(INDEX(英雄装备!$F:$BZ,MATCH($H14,英雄装备!$F:$F,0),MATCH(O$2,英雄装备!$1:$1,0)-2),装备属性!$A:$C,3,0),VLOOKUP(INDEX(英雄装备!$F:$BZ,MATCH($H14,英雄装备!$F:$F,0),MATCH(O$2,英雄装备!$1:$1,0)-1),装备属性!$A:$C,3,0),VLOOKUP(INDEX(英雄装备!$F:$BZ,MATCH($H14,英雄装备!$F:$F,0),MATCH(O$2,英雄装备!$1:$1,0)),装备属性!$A:$C,3,0))</f>
        <v>62</v>
      </c>
      <c r="P14" s="51">
        <f>MAX(VLOOKUP(INDEX(英雄装备!$F:$BZ,MATCH($H14,英雄装备!$F:$F,0),MATCH(P$2,英雄装备!$1:$1,0)-5),装备属性!$A:$C,3,0),VLOOKUP(INDEX(英雄装备!$F:$BZ,MATCH($H14,英雄装备!$F:$F,0),MATCH(P$2,英雄装备!$1:$1,0)-4),装备属性!$A:$C,3,0),VLOOKUP(INDEX(英雄装备!$F:$BZ,MATCH($H14,英雄装备!$F:$F,0),MATCH(P$2,英雄装备!$1:$1,0)-3),装备属性!$A:$C,3,0),VLOOKUP(INDEX(英雄装备!$F:$BZ,MATCH($H14,英雄装备!$F:$F,0),MATCH(P$2,英雄装备!$1:$1,0)-2),装备属性!$A:$C,3,0),VLOOKUP(INDEX(英雄装备!$F:$BZ,MATCH($H14,英雄装备!$F:$F,0),MATCH(P$2,英雄装备!$1:$1,0)-1),装备属性!$A:$C,3,0),VLOOKUP(INDEX(英雄装备!$F:$BZ,MATCH($H14,英雄装备!$F:$F,0),MATCH(P$2,英雄装备!$1:$1,0)),装备属性!$A:$C,3,0))</f>
        <v>73</v>
      </c>
      <c r="Q14" s="51">
        <f>MAX(VLOOKUP(INDEX(英雄装备!$F:$BZ,MATCH($H14,英雄装备!$F:$F,0),MATCH(Q$2,英雄装备!$1:$1,0)-5),装备属性!$A:$C,3,0),VLOOKUP(INDEX(英雄装备!$F:$BZ,MATCH($H14,英雄装备!$F:$F,0),MATCH(Q$2,英雄装备!$1:$1,0)-4),装备属性!$A:$C,3,0),VLOOKUP(INDEX(英雄装备!$F:$BZ,MATCH($H14,英雄装备!$F:$F,0),MATCH(Q$2,英雄装备!$1:$1,0)-3),装备属性!$A:$C,3,0),VLOOKUP(INDEX(英雄装备!$F:$BZ,MATCH($H14,英雄装备!$F:$F,0),MATCH(Q$2,英雄装备!$1:$1,0)-2),装备属性!$A:$C,3,0),VLOOKUP(INDEX(英雄装备!$F:$BZ,MATCH($H14,英雄装备!$F:$F,0),MATCH(Q$2,英雄装备!$1:$1,0)-1),装备属性!$A:$C,3,0),VLOOKUP(INDEX(英雄装备!$F:$BZ,MATCH($H14,英雄装备!$F:$F,0),MATCH(Q$2,英雄装备!$1:$1,0)),装备属性!$A:$C,3,0))</f>
        <v>79</v>
      </c>
      <c r="R14" s="51">
        <f>MAX(VLOOKUP(INDEX(英雄装备!$F:$BZ,MATCH($H14,英雄装备!$F:$F,0),MATCH(R$2,英雄装备!$1:$1,0)-5),装备属性!$A:$C,3,0),VLOOKUP(INDEX(英雄装备!$F:$BZ,MATCH($H14,英雄装备!$F:$F,0),MATCH(R$2,英雄装备!$1:$1,0)-4),装备属性!$A:$C,3,0),VLOOKUP(INDEX(英雄装备!$F:$BZ,MATCH($H14,英雄装备!$F:$F,0),MATCH(R$2,英雄装备!$1:$1,0)-3),装备属性!$A:$C,3,0),VLOOKUP(INDEX(英雄装备!$F:$BZ,MATCH($H14,英雄装备!$F:$F,0),MATCH(R$2,英雄装备!$1:$1,0)-2),装备属性!$A:$C,3,0),VLOOKUP(INDEX(英雄装备!$F:$BZ,MATCH($H14,英雄装备!$F:$F,0),MATCH(R$2,英雄装备!$1:$1,0)-1),装备属性!$A:$C,3,0),VLOOKUP(INDEX(英雄装备!$F:$BZ,MATCH($H14,英雄装备!$F:$F,0),MATCH(R$2,英雄装备!$1:$1,0)),装备属性!$A:$C,3,0))</f>
        <v>80</v>
      </c>
      <c r="S14" s="51">
        <f>MAX(VLOOKUP(INDEX(英雄装备!$F:$BZ,MATCH($H14,英雄装备!$F:$F,0),MATCH(S$2,英雄装备!$1:$1,0)-5),装备属性!$A:$C,3,0),VLOOKUP(INDEX(英雄装备!$F:$BZ,MATCH($H14,英雄装备!$F:$F,0),MATCH(S$2,英雄装备!$1:$1,0)-4),装备属性!$A:$C,3,0),VLOOKUP(INDEX(英雄装备!$F:$BZ,MATCH($H14,英雄装备!$F:$F,0),MATCH(S$2,英雄装备!$1:$1,0)-3),装备属性!$A:$C,3,0),VLOOKUP(INDEX(英雄装备!$F:$BZ,MATCH($H14,英雄装备!$F:$F,0),MATCH(S$2,英雄装备!$1:$1,0)-2),装备属性!$A:$C,3,0),VLOOKUP(INDEX(英雄装备!$F:$BZ,MATCH($H14,英雄装备!$F:$F,0),MATCH(S$2,英雄装备!$1:$1,0)-1),装备属性!$A:$C,3,0),VLOOKUP(INDEX(英雄装备!$F:$BZ,MATCH($H14,英雄装备!$F:$F,0),MATCH(S$2,英雄装备!$1:$1,0)),装备属性!$A:$C,3,0))</f>
        <v>84</v>
      </c>
      <c r="T14" s="51">
        <f>MAX(VLOOKUP(INDEX(英雄装备!$F:$BZ,MATCH($H14,英雄装备!$F:$F,0),MATCH(T$2,英雄装备!$1:$1,0)-5),装备属性!$A:$C,3,0),VLOOKUP(INDEX(英雄装备!$F:$BZ,MATCH($H14,英雄装备!$F:$F,0),MATCH(T$2,英雄装备!$1:$1,0)-4),装备属性!$A:$C,3,0),VLOOKUP(INDEX(英雄装备!$F:$BZ,MATCH($H14,英雄装备!$F:$F,0),MATCH(T$2,英雄装备!$1:$1,0)-3),装备属性!$A:$C,3,0),VLOOKUP(INDEX(英雄装备!$F:$BZ,MATCH($H14,英雄装备!$F:$F,0),MATCH(T$2,英雄装备!$1:$1,0)-2),装备属性!$A:$C,3,0),VLOOKUP(INDEX(英雄装备!$F:$BZ,MATCH($H14,英雄装备!$F:$F,0),MATCH(T$2,英雄装备!$1:$1,0)-1),装备属性!$A:$C,3,0))</f>
        <v>89</v>
      </c>
      <c r="W14" s="55">
        <f t="shared" ref="W14:W25" si="3">IF($W1="",0,1)</f>
        <v>1</v>
      </c>
      <c r="X14" s="49">
        <f>IF(X1="暂无","暂无",IF(VLOOKUP(X1,装备属性!$A:$C,3,0)&gt;单英雄!$C$4,0,1))</f>
        <v>1</v>
      </c>
      <c r="Y14" s="49">
        <f>IF(Y1="暂无","暂无",IF(VLOOKUP(Y1,装备属性!$A:$C,3,0)&gt;单英雄!$C$4,0,1))</f>
        <v>1</v>
      </c>
      <c r="Z14" s="49">
        <f>IF(Z1="暂无","暂无",IF(VLOOKUP(Z1,装备属性!$A:$C,3,0)&gt;单英雄!$C$4,0,1))</f>
        <v>1</v>
      </c>
      <c r="AA14" s="49">
        <f>IF(AA1="暂无","暂无",IF(VLOOKUP(AA1,装备属性!$A:$C,3,0)&gt;单英雄!$C$4,0,1))</f>
        <v>1</v>
      </c>
      <c r="AB14" s="49">
        <f>IF(AB1="暂无","暂无",IF(VLOOKUP(AB1,装备属性!$A:$C,3,0)&gt;单英雄!$C$4,0,1))</f>
        <v>1</v>
      </c>
      <c r="AC14" s="49">
        <f>IF(AC1="暂无","暂无",IF(VLOOKUP(AC1,装备属性!$A:$C,3,0)&gt;单英雄!$C$4,0,1))</f>
        <v>1</v>
      </c>
      <c r="AG14" s="232"/>
      <c r="AH14" s="232"/>
      <c r="AI14" s="49">
        <f>IFERROR(VLOOKUP($V$2-1,$AF$97:$BB$108,6,0),0)</f>
        <v>3340</v>
      </c>
      <c r="AJ14" s="49">
        <f>IFERROR(VLOOKUP($V$2-1,$AF$97:$BB$108,7,0),0)</f>
        <v>837</v>
      </c>
      <c r="AK14" s="49">
        <f>IFERROR(VLOOKUP($V$2-1,$AF$97:$BB$108,8,0),0)</f>
        <v>0</v>
      </c>
      <c r="AL14" s="49">
        <f>IFERROR(VLOOKUP($V$2-1,$AF$97:$BB$108,9,0),0)</f>
        <v>56</v>
      </c>
      <c r="AM14" s="49">
        <f>IFERROR(VLOOKUP($V$2-1,$AF$97:$BB$108,10,0),0)</f>
        <v>35</v>
      </c>
      <c r="AN14" s="49">
        <f>IFERROR(VLOOKUP($V$2-1,$AF$97:$BB$108,11,0),0)</f>
        <v>229</v>
      </c>
      <c r="AO14" s="49">
        <f>IFERROR(VLOOKUP($V$2-1,$AF$97:$BB$108,12,0),0)</f>
        <v>22</v>
      </c>
      <c r="AP14" s="49">
        <f>IFERROR(VLOOKUP($V$2-1,$AF$97:$BB$108,13,0),0)</f>
        <v>20</v>
      </c>
      <c r="AQ14" s="49">
        <f>IFERROR(VLOOKUP($V$2-1,$AF$97:$BB$108,14,0),0)</f>
        <v>0</v>
      </c>
      <c r="AR14" s="49">
        <f>IFERROR(VLOOKUP($V$2-1,$AF$97:$BB$108,15,0),0)</f>
        <v>105</v>
      </c>
      <c r="AS14" s="49">
        <f>IFERROR(VLOOKUP($V$2-1,$AF$97:$BB$108,16,0),0)</f>
        <v>0</v>
      </c>
      <c r="AT14" s="49">
        <f>IFERROR(VLOOKUP($V$2-1,$AF$97:$BB$108,17,0),0)</f>
        <v>30</v>
      </c>
      <c r="AU14" s="49">
        <f>IFERROR(VLOOKUP($V$2-1,$AF$97:$BB$108,18,0),0)</f>
        <v>2230</v>
      </c>
      <c r="AV14" s="49">
        <f>IFERROR(VLOOKUP($V$2-1,$AF$97:$BB$108,19,0),0)</f>
        <v>322</v>
      </c>
      <c r="AW14" s="49">
        <f>IFERROR(VLOOKUP($V$2-1,$AF$97:$BB$108,20,0),0)</f>
        <v>12</v>
      </c>
      <c r="AX14" s="138">
        <f>IFERROR(VLOOKUP($V$2-1,$AF$97:$BB$108,21,0),0)</f>
        <v>15</v>
      </c>
      <c r="AY14" s="138">
        <f>IFERROR(VLOOKUP($V$2-1,$AF$97:$BB$108,22,0),0)</f>
        <v>0</v>
      </c>
      <c r="AZ14" s="138">
        <f>IFERROR(VLOOKUP($V$2-1,$AF$97:$BB$108,23,0),0)</f>
        <v>0</v>
      </c>
    </row>
    <row r="15" spans="1:52">
      <c r="B15" s="49" t="str">
        <f>英雄初始!A16</f>
        <v>亚龙</v>
      </c>
      <c r="E15" s="49" t="str">
        <f>进阶奖励!$A19</f>
        <v>蓝+1</v>
      </c>
      <c r="F15" s="49">
        <v>5</v>
      </c>
      <c r="G15" s="146">
        <f>VLOOKUP(单英雄!$C$2,中介表格1!$H:$T,6,0)</f>
        <v>42</v>
      </c>
      <c r="H15" s="54" t="s">
        <v>168</v>
      </c>
      <c r="I15" s="51">
        <f>MAX(VLOOKUP(INDEX(英雄装备!$F:$BZ,MATCH($H15,英雄装备!$F:$F,0),MATCH(I$2,英雄装备!$1:$1,0)-5),装备属性!$A:$C,3,0),VLOOKUP(INDEX(英雄装备!$F:$BZ,MATCH($H15,英雄装备!$F:$F,0),MATCH(I$2,英雄装备!$1:$1,0)-4),装备属性!$A:$C,3,0),VLOOKUP(INDEX(英雄装备!$F:$BZ,MATCH($H15,英雄装备!$F:$F,0),MATCH(I$2,英雄装备!$1:$1,0)-3),装备属性!$A:$C,3,0),VLOOKUP(INDEX(英雄装备!$F:$BZ,MATCH($H15,英雄装备!$F:$F,0),MATCH(I$2,英雄装备!$1:$1,0)-2),装备属性!$A:$C,3,0),VLOOKUP(INDEX(英雄装备!$F:$BZ,MATCH($H15,英雄装备!$F:$F,0),MATCH(I$2,英雄装备!$1:$1,0)-1),装备属性!$A:$C,3,0),VLOOKUP(INDEX(英雄装备!$F:$BZ,MATCH($H15,英雄装备!$F:$F,0),MATCH(I$2,英雄装备!$1:$1,0)),装备属性!$A:$C,3,0))</f>
        <v>2</v>
      </c>
      <c r="J15" s="51">
        <f>MAX(VLOOKUP(INDEX(英雄装备!$F:$BZ,MATCH($H15,英雄装备!$F:$F,0),MATCH(J$2,英雄装备!$1:$1,0)-5),装备属性!$A:$C,3,0),VLOOKUP(INDEX(英雄装备!$F:$BZ,MATCH($H15,英雄装备!$F:$F,0),MATCH(J$2,英雄装备!$1:$1,0)-4),装备属性!$A:$C,3,0),VLOOKUP(INDEX(英雄装备!$F:$BZ,MATCH($H15,英雄装备!$F:$F,0),MATCH(J$2,英雄装备!$1:$1,0)-3),装备属性!$A:$C,3,0),VLOOKUP(INDEX(英雄装备!$F:$BZ,MATCH($H15,英雄装备!$F:$F,0),MATCH(J$2,英雄装备!$1:$1,0)-2),装备属性!$A:$C,3,0),VLOOKUP(INDEX(英雄装备!$F:$BZ,MATCH($H15,英雄装备!$F:$F,0),MATCH(J$2,英雄装备!$1:$1,0)-1),装备属性!$A:$C,3,0),VLOOKUP(INDEX(英雄装备!$F:$BZ,MATCH($H15,英雄装备!$F:$F,0),MATCH(J$2,英雄装备!$1:$1,0)),装备属性!$A:$C,3,0))</f>
        <v>12</v>
      </c>
      <c r="K15" s="51">
        <f>MAX(VLOOKUP(INDEX(英雄装备!$F:$BZ,MATCH($H15,英雄装备!$F:$F,0),MATCH(K$2,英雄装备!$1:$1,0)-5),装备属性!$A:$C,3,0),VLOOKUP(INDEX(英雄装备!$F:$BZ,MATCH($H15,英雄装备!$F:$F,0),MATCH(K$2,英雄装备!$1:$1,0)-4),装备属性!$A:$C,3,0),VLOOKUP(INDEX(英雄装备!$F:$BZ,MATCH($H15,英雄装备!$F:$F,0),MATCH(K$2,英雄装备!$1:$1,0)-3),装备属性!$A:$C,3,0),VLOOKUP(INDEX(英雄装备!$F:$BZ,MATCH($H15,英雄装备!$F:$F,0),MATCH(K$2,英雄装备!$1:$1,0)-2),装备属性!$A:$C,3,0),VLOOKUP(INDEX(英雄装备!$F:$BZ,MATCH($H15,英雄装备!$F:$F,0),MATCH(K$2,英雄装备!$1:$1,0)-1),装备属性!$A:$C,3,0),VLOOKUP(INDEX(英雄装备!$F:$BZ,MATCH($H15,英雄装备!$F:$F,0),MATCH(K$2,英雄装备!$1:$1,0)),装备属性!$A:$C,3,0))</f>
        <v>20</v>
      </c>
      <c r="L15" s="51">
        <f>MAX(VLOOKUP(INDEX(英雄装备!$F:$BZ,MATCH($H15,英雄装备!$F:$F,0),MATCH(L$2,英雄装备!$1:$1,0)-5),装备属性!$A:$C,3,0),VLOOKUP(INDEX(英雄装备!$F:$BZ,MATCH($H15,英雄装备!$F:$F,0),MATCH(L$2,英雄装备!$1:$1,0)-4),装备属性!$A:$C,3,0),VLOOKUP(INDEX(英雄装备!$F:$BZ,MATCH($H15,英雄装备!$F:$F,0),MATCH(L$2,英雄装备!$1:$1,0)-3),装备属性!$A:$C,3,0),VLOOKUP(INDEX(英雄装备!$F:$BZ,MATCH($H15,英雄装备!$F:$F,0),MATCH(L$2,英雄装备!$1:$1,0)-2),装备属性!$A:$C,3,0),VLOOKUP(INDEX(英雄装备!$F:$BZ,MATCH($H15,英雄装备!$F:$F,0),MATCH(L$2,英雄装备!$1:$1,0)-1),装备属性!$A:$C,3,0),VLOOKUP(INDEX(英雄装备!$F:$BZ,MATCH($H15,英雄装备!$F:$F,0),MATCH(L$2,英雄装备!$1:$1,0)),装备属性!$A:$C,3,0))</f>
        <v>35</v>
      </c>
      <c r="M15" s="51">
        <f>MAX(VLOOKUP(INDEX(英雄装备!$F:$BZ,MATCH($H15,英雄装备!$F:$F,0),MATCH(M$2,英雄装备!$1:$1,0)-5),装备属性!$A:$C,3,0),VLOOKUP(INDEX(英雄装备!$F:$BZ,MATCH($H15,英雄装备!$F:$F,0),MATCH(M$2,英雄装备!$1:$1,0)-4),装备属性!$A:$C,3,0),VLOOKUP(INDEX(英雄装备!$F:$BZ,MATCH($H15,英雄装备!$F:$F,0),MATCH(M$2,英雄装备!$1:$1,0)-3),装备属性!$A:$C,3,0),VLOOKUP(INDEX(英雄装备!$F:$BZ,MATCH($H15,英雄装备!$F:$F,0),MATCH(M$2,英雄装备!$1:$1,0)-2),装备属性!$A:$C,3,0),VLOOKUP(INDEX(英雄装备!$F:$BZ,MATCH($H15,英雄装备!$F:$F,0),MATCH(M$2,英雄装备!$1:$1,0)-1),装备属性!$A:$C,3,0),VLOOKUP(INDEX(英雄装备!$F:$BZ,MATCH($H15,英雄装备!$F:$F,0),MATCH(M$2,英雄装备!$1:$1,0)),装备属性!$A:$C,3,0))</f>
        <v>44</v>
      </c>
      <c r="N15" s="51">
        <f>MAX(VLOOKUP(INDEX(英雄装备!$F:$BZ,MATCH($H15,英雄装备!$F:$F,0),MATCH(N$2,英雄装备!$1:$1,0)-5),装备属性!$A:$C,3,0),VLOOKUP(INDEX(英雄装备!$F:$BZ,MATCH($H15,英雄装备!$F:$F,0),MATCH(N$2,英雄装备!$1:$1,0)-4),装备属性!$A:$C,3,0),VLOOKUP(INDEX(英雄装备!$F:$BZ,MATCH($H15,英雄装备!$F:$F,0),MATCH(N$2,英雄装备!$1:$1,0)-3),装备属性!$A:$C,3,0),VLOOKUP(INDEX(英雄装备!$F:$BZ,MATCH($H15,英雄装备!$F:$F,0),MATCH(N$2,英雄装备!$1:$1,0)-2),装备属性!$A:$C,3,0),VLOOKUP(INDEX(英雄装备!$F:$BZ,MATCH($H15,英雄装备!$F:$F,0),MATCH(N$2,英雄装备!$1:$1,0)-1),装备属性!$A:$C,3,0),VLOOKUP(INDEX(英雄装备!$F:$BZ,MATCH($H15,英雄装备!$F:$F,0),MATCH(N$2,英雄装备!$1:$1,0)),装备属性!$A:$C,3,0))</f>
        <v>51</v>
      </c>
      <c r="O15" s="51">
        <f>MAX(VLOOKUP(INDEX(英雄装备!$F:$BZ,MATCH($H15,英雄装备!$F:$F,0),MATCH(O$2,英雄装备!$1:$1,0)-5),装备属性!$A:$C,3,0),VLOOKUP(INDEX(英雄装备!$F:$BZ,MATCH($H15,英雄装备!$F:$F,0),MATCH(O$2,英雄装备!$1:$1,0)-4),装备属性!$A:$C,3,0),VLOOKUP(INDEX(英雄装备!$F:$BZ,MATCH($H15,英雄装备!$F:$F,0),MATCH(O$2,英雄装备!$1:$1,0)-3),装备属性!$A:$C,3,0),VLOOKUP(INDEX(英雄装备!$F:$BZ,MATCH($H15,英雄装备!$F:$F,0),MATCH(O$2,英雄装备!$1:$1,0)-2),装备属性!$A:$C,3,0),VLOOKUP(INDEX(英雄装备!$F:$BZ,MATCH($H15,英雄装备!$F:$F,0),MATCH(O$2,英雄装备!$1:$1,0)-1),装备属性!$A:$C,3,0),VLOOKUP(INDEX(英雄装备!$F:$BZ,MATCH($H15,英雄装备!$F:$F,0),MATCH(O$2,英雄装备!$1:$1,0)),装备属性!$A:$C,3,0))</f>
        <v>62</v>
      </c>
      <c r="P15" s="51">
        <f>MAX(VLOOKUP(INDEX(英雄装备!$F:$BZ,MATCH($H15,英雄装备!$F:$F,0),MATCH(P$2,英雄装备!$1:$1,0)-5),装备属性!$A:$C,3,0),VLOOKUP(INDEX(英雄装备!$F:$BZ,MATCH($H15,英雄装备!$F:$F,0),MATCH(P$2,英雄装备!$1:$1,0)-4),装备属性!$A:$C,3,0),VLOOKUP(INDEX(英雄装备!$F:$BZ,MATCH($H15,英雄装备!$F:$F,0),MATCH(P$2,英雄装备!$1:$1,0)-3),装备属性!$A:$C,3,0),VLOOKUP(INDEX(英雄装备!$F:$BZ,MATCH($H15,英雄装备!$F:$F,0),MATCH(P$2,英雄装备!$1:$1,0)-2),装备属性!$A:$C,3,0),VLOOKUP(INDEX(英雄装备!$F:$BZ,MATCH($H15,英雄装备!$F:$F,0),MATCH(P$2,英雄装备!$1:$1,0)-1),装备属性!$A:$C,3,0),VLOOKUP(INDEX(英雄装备!$F:$BZ,MATCH($H15,英雄装备!$F:$F,0),MATCH(P$2,英雄装备!$1:$1,0)),装备属性!$A:$C,3,0))</f>
        <v>73</v>
      </c>
      <c r="Q15" s="51">
        <f>MAX(VLOOKUP(INDEX(英雄装备!$F:$BZ,MATCH($H15,英雄装备!$F:$F,0),MATCH(Q$2,英雄装备!$1:$1,0)-5),装备属性!$A:$C,3,0),VLOOKUP(INDEX(英雄装备!$F:$BZ,MATCH($H15,英雄装备!$F:$F,0),MATCH(Q$2,英雄装备!$1:$1,0)-4),装备属性!$A:$C,3,0),VLOOKUP(INDEX(英雄装备!$F:$BZ,MATCH($H15,英雄装备!$F:$F,0),MATCH(Q$2,英雄装备!$1:$1,0)-3),装备属性!$A:$C,3,0),VLOOKUP(INDEX(英雄装备!$F:$BZ,MATCH($H15,英雄装备!$F:$F,0),MATCH(Q$2,英雄装备!$1:$1,0)-2),装备属性!$A:$C,3,0),VLOOKUP(INDEX(英雄装备!$F:$BZ,MATCH($H15,英雄装备!$F:$F,0),MATCH(Q$2,英雄装备!$1:$1,0)-1),装备属性!$A:$C,3,0),VLOOKUP(INDEX(英雄装备!$F:$BZ,MATCH($H15,英雄装备!$F:$F,0),MATCH(Q$2,英雄装备!$1:$1,0)),装备属性!$A:$C,3,0))</f>
        <v>79</v>
      </c>
      <c r="R15" s="51">
        <f>MAX(VLOOKUP(INDEX(英雄装备!$F:$BZ,MATCH($H15,英雄装备!$F:$F,0),MATCH(R$2,英雄装备!$1:$1,0)-5),装备属性!$A:$C,3,0),VLOOKUP(INDEX(英雄装备!$F:$BZ,MATCH($H15,英雄装备!$F:$F,0),MATCH(R$2,英雄装备!$1:$1,0)-4),装备属性!$A:$C,3,0),VLOOKUP(INDEX(英雄装备!$F:$BZ,MATCH($H15,英雄装备!$F:$F,0),MATCH(R$2,英雄装备!$1:$1,0)-3),装备属性!$A:$C,3,0),VLOOKUP(INDEX(英雄装备!$F:$BZ,MATCH($H15,英雄装备!$F:$F,0),MATCH(R$2,英雄装备!$1:$1,0)-2),装备属性!$A:$C,3,0),VLOOKUP(INDEX(英雄装备!$F:$BZ,MATCH($H15,英雄装备!$F:$F,0),MATCH(R$2,英雄装备!$1:$1,0)-1),装备属性!$A:$C,3,0),VLOOKUP(INDEX(英雄装备!$F:$BZ,MATCH($H15,英雄装备!$F:$F,0),MATCH(R$2,英雄装备!$1:$1,0)),装备属性!$A:$C,3,0))</f>
        <v>80</v>
      </c>
      <c r="S15" s="51">
        <f>MAX(VLOOKUP(INDEX(英雄装备!$F:$BZ,MATCH($H15,英雄装备!$F:$F,0),MATCH(S$2,英雄装备!$1:$1,0)-5),装备属性!$A:$C,3,0),VLOOKUP(INDEX(英雄装备!$F:$BZ,MATCH($H15,英雄装备!$F:$F,0),MATCH(S$2,英雄装备!$1:$1,0)-4),装备属性!$A:$C,3,0),VLOOKUP(INDEX(英雄装备!$F:$BZ,MATCH($H15,英雄装备!$F:$F,0),MATCH(S$2,英雄装备!$1:$1,0)-3),装备属性!$A:$C,3,0),VLOOKUP(INDEX(英雄装备!$F:$BZ,MATCH($H15,英雄装备!$F:$F,0),MATCH(S$2,英雄装备!$1:$1,0)-2),装备属性!$A:$C,3,0),VLOOKUP(INDEX(英雄装备!$F:$BZ,MATCH($H15,英雄装备!$F:$F,0),MATCH(S$2,英雄装备!$1:$1,0)-1),装备属性!$A:$C,3,0),VLOOKUP(INDEX(英雄装备!$F:$BZ,MATCH($H15,英雄装备!$F:$F,0),MATCH(S$2,英雄装备!$1:$1,0)),装备属性!$A:$C,3,0))</f>
        <v>84</v>
      </c>
      <c r="T15" s="51">
        <f>MAX(VLOOKUP(INDEX(英雄装备!$F:$BZ,MATCH($H15,英雄装备!$F:$F,0),MATCH(T$2,英雄装备!$1:$1,0)-5),装备属性!$A:$C,3,0),VLOOKUP(INDEX(英雄装备!$F:$BZ,MATCH($H15,英雄装备!$F:$F,0),MATCH(T$2,英雄装备!$1:$1,0)-4),装备属性!$A:$C,3,0),VLOOKUP(INDEX(英雄装备!$F:$BZ,MATCH($H15,英雄装备!$F:$F,0),MATCH(T$2,英雄装备!$1:$1,0)-3),装备属性!$A:$C,3,0),VLOOKUP(INDEX(英雄装备!$F:$BZ,MATCH($H15,英雄装备!$F:$F,0),MATCH(T$2,英雄装备!$1:$1,0)-2),装备属性!$A:$C,3,0),VLOOKUP(INDEX(英雄装备!$F:$BZ,MATCH($H15,英雄装备!$F:$F,0),MATCH(T$2,英雄装备!$1:$1,0)-1),装备属性!$A:$C,3,0))</f>
        <v>89</v>
      </c>
      <c r="W15" s="55">
        <f>IF($W2="",0,1)</f>
        <v>1</v>
      </c>
      <c r="X15" s="49">
        <f>IF(X2="暂无","暂无",IF(VLOOKUP(X2,装备属性!$A:$C,3,0)&gt;单英雄!$C$4,0,1))</f>
        <v>1</v>
      </c>
      <c r="Y15" s="49">
        <f>IF(Y2="暂无","暂无",IF(VLOOKUP(Y2,装备属性!$A:$C,3,0)&gt;单英雄!$C$4,0,1))</f>
        <v>1</v>
      </c>
      <c r="Z15" s="49">
        <f>IF(Z2="暂无","暂无",IF(VLOOKUP(Z2,装备属性!$A:$C,3,0)&gt;单英雄!$C$4,0,1))</f>
        <v>1</v>
      </c>
      <c r="AA15" s="49">
        <f>IF(AA2="暂无","暂无",IF(VLOOKUP(AA2,装备属性!$A:$C,3,0)&gt;单英雄!$C$4,0,1))</f>
        <v>1</v>
      </c>
      <c r="AB15" s="49">
        <f>IF(AB2="暂无","暂无",IF(VLOOKUP(AB2,装备属性!$A:$C,3,0)&gt;单英雄!$C$4,0,1))</f>
        <v>1</v>
      </c>
      <c r="AC15" s="49">
        <f>IF(AC2="暂无","暂无",IF(VLOOKUP(AC2,装备属性!$A:$C,3,0)&gt;单英雄!$C$4,0,1))</f>
        <v>1</v>
      </c>
    </row>
    <row r="16" spans="1:52">
      <c r="B16" s="49" t="str">
        <f>英雄初始!A17</f>
        <v>直升机</v>
      </c>
      <c r="E16" s="49" t="str">
        <f>进阶奖励!$A20</f>
        <v>蓝+2</v>
      </c>
      <c r="F16" s="49">
        <v>6</v>
      </c>
      <c r="G16" s="146">
        <f>VLOOKUP(单英雄!$C$2,中介表格1!$H:$T,7,0)</f>
        <v>53</v>
      </c>
      <c r="H16" s="54" t="s">
        <v>169</v>
      </c>
      <c r="I16" s="51">
        <f>MAX(VLOOKUP(INDEX(英雄装备!$F:$BZ,MATCH($H16,英雄装备!$F:$F,0),MATCH(I$2,英雄装备!$1:$1,0)-5),装备属性!$A:$C,3,0),VLOOKUP(INDEX(英雄装备!$F:$BZ,MATCH($H16,英雄装备!$F:$F,0),MATCH(I$2,英雄装备!$1:$1,0)-4),装备属性!$A:$C,3,0),VLOOKUP(INDEX(英雄装备!$F:$BZ,MATCH($H16,英雄装备!$F:$F,0),MATCH(I$2,英雄装备!$1:$1,0)-3),装备属性!$A:$C,3,0),VLOOKUP(INDEX(英雄装备!$F:$BZ,MATCH($H16,英雄装备!$F:$F,0),MATCH(I$2,英雄装备!$1:$1,0)-2),装备属性!$A:$C,3,0),VLOOKUP(INDEX(英雄装备!$F:$BZ,MATCH($H16,英雄装备!$F:$F,0),MATCH(I$2,英雄装备!$1:$1,0)-1),装备属性!$A:$C,3,0),VLOOKUP(INDEX(英雄装备!$F:$BZ,MATCH($H16,英雄装备!$F:$F,0),MATCH(I$2,英雄装备!$1:$1,0)),装备属性!$A:$C,3,0))</f>
        <v>2</v>
      </c>
      <c r="J16" s="51">
        <f>MAX(VLOOKUP(INDEX(英雄装备!$F:$BZ,MATCH($H16,英雄装备!$F:$F,0),MATCH(J$2,英雄装备!$1:$1,0)-5),装备属性!$A:$C,3,0),VLOOKUP(INDEX(英雄装备!$F:$BZ,MATCH($H16,英雄装备!$F:$F,0),MATCH(J$2,英雄装备!$1:$1,0)-4),装备属性!$A:$C,3,0),VLOOKUP(INDEX(英雄装备!$F:$BZ,MATCH($H16,英雄装备!$F:$F,0),MATCH(J$2,英雄装备!$1:$1,0)-3),装备属性!$A:$C,3,0),VLOOKUP(INDEX(英雄装备!$F:$BZ,MATCH($H16,英雄装备!$F:$F,0),MATCH(J$2,英雄装备!$1:$1,0)-2),装备属性!$A:$C,3,0),VLOOKUP(INDEX(英雄装备!$F:$BZ,MATCH($H16,英雄装备!$F:$F,0),MATCH(J$2,英雄装备!$1:$1,0)-1),装备属性!$A:$C,3,0),VLOOKUP(INDEX(英雄装备!$F:$BZ,MATCH($H16,英雄装备!$F:$F,0),MATCH(J$2,英雄装备!$1:$1,0)),装备属性!$A:$C,3,0))</f>
        <v>11</v>
      </c>
      <c r="K16" s="51">
        <f>MAX(VLOOKUP(INDEX(英雄装备!$F:$BZ,MATCH($H16,英雄装备!$F:$F,0),MATCH(K$2,英雄装备!$1:$1,0)-5),装备属性!$A:$C,3,0),VLOOKUP(INDEX(英雄装备!$F:$BZ,MATCH($H16,英雄装备!$F:$F,0),MATCH(K$2,英雄装备!$1:$1,0)-4),装备属性!$A:$C,3,0),VLOOKUP(INDEX(英雄装备!$F:$BZ,MATCH($H16,英雄装备!$F:$F,0),MATCH(K$2,英雄装备!$1:$1,0)-3),装备属性!$A:$C,3,0),VLOOKUP(INDEX(英雄装备!$F:$BZ,MATCH($H16,英雄装备!$F:$F,0),MATCH(K$2,英雄装备!$1:$1,0)-2),装备属性!$A:$C,3,0),VLOOKUP(INDEX(英雄装备!$F:$BZ,MATCH($H16,英雄装备!$F:$F,0),MATCH(K$2,英雄装备!$1:$1,0)-1),装备属性!$A:$C,3,0),VLOOKUP(INDEX(英雄装备!$F:$BZ,MATCH($H16,英雄装备!$F:$F,0),MATCH(K$2,英雄装备!$1:$1,0)),装备属性!$A:$C,3,0))</f>
        <v>20</v>
      </c>
      <c r="L16" s="51">
        <f>MAX(VLOOKUP(INDEX(英雄装备!$F:$BZ,MATCH($H16,英雄装备!$F:$F,0),MATCH(L$2,英雄装备!$1:$1,0)-5),装备属性!$A:$C,3,0),VLOOKUP(INDEX(英雄装备!$F:$BZ,MATCH($H16,英雄装备!$F:$F,0),MATCH(L$2,英雄装备!$1:$1,0)-4),装备属性!$A:$C,3,0),VLOOKUP(INDEX(英雄装备!$F:$BZ,MATCH($H16,英雄装备!$F:$F,0),MATCH(L$2,英雄装备!$1:$1,0)-3),装备属性!$A:$C,3,0),VLOOKUP(INDEX(英雄装备!$F:$BZ,MATCH($H16,英雄装备!$F:$F,0),MATCH(L$2,英雄装备!$1:$1,0)-2),装备属性!$A:$C,3,0),VLOOKUP(INDEX(英雄装备!$F:$BZ,MATCH($H16,英雄装备!$F:$F,0),MATCH(L$2,英雄装备!$1:$1,0)-1),装备属性!$A:$C,3,0),VLOOKUP(INDEX(英雄装备!$F:$BZ,MATCH($H16,英雄装备!$F:$F,0),MATCH(L$2,英雄装备!$1:$1,0)),装备属性!$A:$C,3,0))</f>
        <v>34</v>
      </c>
      <c r="M16" s="51">
        <f>MAX(VLOOKUP(INDEX(英雄装备!$F:$BZ,MATCH($H16,英雄装备!$F:$F,0),MATCH(M$2,英雄装备!$1:$1,0)-5),装备属性!$A:$C,3,0),VLOOKUP(INDEX(英雄装备!$F:$BZ,MATCH($H16,英雄装备!$F:$F,0),MATCH(M$2,英雄装备!$1:$1,0)-4),装备属性!$A:$C,3,0),VLOOKUP(INDEX(英雄装备!$F:$BZ,MATCH($H16,英雄装备!$F:$F,0),MATCH(M$2,英雄装备!$1:$1,0)-3),装备属性!$A:$C,3,0),VLOOKUP(INDEX(英雄装备!$F:$BZ,MATCH($H16,英雄装备!$F:$F,0),MATCH(M$2,英雄装备!$1:$1,0)-2),装备属性!$A:$C,3,0),VLOOKUP(INDEX(英雄装备!$F:$BZ,MATCH($H16,英雄装备!$F:$F,0),MATCH(M$2,英雄装备!$1:$1,0)-1),装备属性!$A:$C,3,0),VLOOKUP(INDEX(英雄装备!$F:$BZ,MATCH($H16,英雄装备!$F:$F,0),MATCH(M$2,英雄装备!$1:$1,0)),装备属性!$A:$C,3,0))</f>
        <v>43</v>
      </c>
      <c r="N16" s="51">
        <f>MAX(VLOOKUP(INDEX(英雄装备!$F:$BZ,MATCH($H16,英雄装备!$F:$F,0),MATCH(N$2,英雄装备!$1:$1,0)-5),装备属性!$A:$C,3,0),VLOOKUP(INDEX(英雄装备!$F:$BZ,MATCH($H16,英雄装备!$F:$F,0),MATCH(N$2,英雄装备!$1:$1,0)-4),装备属性!$A:$C,3,0),VLOOKUP(INDEX(英雄装备!$F:$BZ,MATCH($H16,英雄装备!$F:$F,0),MATCH(N$2,英雄装备!$1:$1,0)-3),装备属性!$A:$C,3,0),VLOOKUP(INDEX(英雄装备!$F:$BZ,MATCH($H16,英雄装备!$F:$F,0),MATCH(N$2,英雄装备!$1:$1,0)-2),装备属性!$A:$C,3,0),VLOOKUP(INDEX(英雄装备!$F:$BZ,MATCH($H16,英雄装备!$F:$F,0),MATCH(N$2,英雄装备!$1:$1,0)-1),装备属性!$A:$C,3,0),VLOOKUP(INDEX(英雄装备!$F:$BZ,MATCH($H16,英雄装备!$F:$F,0),MATCH(N$2,英雄装备!$1:$1,0)),装备属性!$A:$C,3,0))</f>
        <v>53</v>
      </c>
      <c r="O16" s="51">
        <f>MAX(VLOOKUP(INDEX(英雄装备!$F:$BZ,MATCH($H16,英雄装备!$F:$F,0),MATCH(O$2,英雄装备!$1:$1,0)-5),装备属性!$A:$C,3,0),VLOOKUP(INDEX(英雄装备!$F:$BZ,MATCH($H16,英雄装备!$F:$F,0),MATCH(O$2,英雄装备!$1:$1,0)-4),装备属性!$A:$C,3,0),VLOOKUP(INDEX(英雄装备!$F:$BZ,MATCH($H16,英雄装备!$F:$F,0),MATCH(O$2,英雄装备!$1:$1,0)-3),装备属性!$A:$C,3,0),VLOOKUP(INDEX(英雄装备!$F:$BZ,MATCH($H16,英雄装备!$F:$F,0),MATCH(O$2,英雄装备!$1:$1,0)-2),装备属性!$A:$C,3,0),VLOOKUP(INDEX(英雄装备!$F:$BZ,MATCH($H16,英雄装备!$F:$F,0),MATCH(O$2,英雄装备!$1:$1,0)-1),装备属性!$A:$C,3,0),VLOOKUP(INDEX(英雄装备!$F:$BZ,MATCH($H16,英雄装备!$F:$F,0),MATCH(O$2,英雄装备!$1:$1,0)),装备属性!$A:$C,3,0))</f>
        <v>64</v>
      </c>
      <c r="P16" s="51">
        <f>MAX(VLOOKUP(INDEX(英雄装备!$F:$BZ,MATCH($H16,英雄装备!$F:$F,0),MATCH(P$2,英雄装备!$1:$1,0)-5),装备属性!$A:$C,3,0),VLOOKUP(INDEX(英雄装备!$F:$BZ,MATCH($H16,英雄装备!$F:$F,0),MATCH(P$2,英雄装备!$1:$1,0)-4),装备属性!$A:$C,3,0),VLOOKUP(INDEX(英雄装备!$F:$BZ,MATCH($H16,英雄装备!$F:$F,0),MATCH(P$2,英雄装备!$1:$1,0)-3),装备属性!$A:$C,3,0),VLOOKUP(INDEX(英雄装备!$F:$BZ,MATCH($H16,英雄装备!$F:$F,0),MATCH(P$2,英雄装备!$1:$1,0)-2),装备属性!$A:$C,3,0),VLOOKUP(INDEX(英雄装备!$F:$BZ,MATCH($H16,英雄装备!$F:$F,0),MATCH(P$2,英雄装备!$1:$1,0)-1),装备属性!$A:$C,3,0),VLOOKUP(INDEX(英雄装备!$F:$BZ,MATCH($H16,英雄装备!$F:$F,0),MATCH(P$2,英雄装备!$1:$1,0)),装备属性!$A:$C,3,0))</f>
        <v>73</v>
      </c>
      <c r="Q16" s="51">
        <f>MAX(VLOOKUP(INDEX(英雄装备!$F:$BZ,MATCH($H16,英雄装备!$F:$F,0),MATCH(Q$2,英雄装备!$1:$1,0)-5),装备属性!$A:$C,3,0),VLOOKUP(INDEX(英雄装备!$F:$BZ,MATCH($H16,英雄装备!$F:$F,0),MATCH(Q$2,英雄装备!$1:$1,0)-4),装备属性!$A:$C,3,0),VLOOKUP(INDEX(英雄装备!$F:$BZ,MATCH($H16,英雄装备!$F:$F,0),MATCH(Q$2,英雄装备!$1:$1,0)-3),装备属性!$A:$C,3,0),VLOOKUP(INDEX(英雄装备!$F:$BZ,MATCH($H16,英雄装备!$F:$F,0),MATCH(Q$2,英雄装备!$1:$1,0)-2),装备属性!$A:$C,3,0),VLOOKUP(INDEX(英雄装备!$F:$BZ,MATCH($H16,英雄装备!$F:$F,0),MATCH(Q$2,英雄装备!$1:$1,0)-1),装备属性!$A:$C,3,0),VLOOKUP(INDEX(英雄装备!$F:$BZ,MATCH($H16,英雄装备!$F:$F,0),MATCH(Q$2,英雄装备!$1:$1,0)),装备属性!$A:$C,3,0))</f>
        <v>78</v>
      </c>
      <c r="R16" s="51">
        <f>MAX(VLOOKUP(INDEX(英雄装备!$F:$BZ,MATCH($H16,英雄装备!$F:$F,0),MATCH(R$2,英雄装备!$1:$1,0)-5),装备属性!$A:$C,3,0),VLOOKUP(INDEX(英雄装备!$F:$BZ,MATCH($H16,英雄装备!$F:$F,0),MATCH(R$2,英雄装备!$1:$1,0)-4),装备属性!$A:$C,3,0),VLOOKUP(INDEX(英雄装备!$F:$BZ,MATCH($H16,英雄装备!$F:$F,0),MATCH(R$2,英雄装备!$1:$1,0)-3),装备属性!$A:$C,3,0),VLOOKUP(INDEX(英雄装备!$F:$BZ,MATCH($H16,英雄装备!$F:$F,0),MATCH(R$2,英雄装备!$1:$1,0)-2),装备属性!$A:$C,3,0),VLOOKUP(INDEX(英雄装备!$F:$BZ,MATCH($H16,英雄装备!$F:$F,0),MATCH(R$2,英雄装备!$1:$1,0)-1),装备属性!$A:$C,3,0),VLOOKUP(INDEX(英雄装备!$F:$BZ,MATCH($H16,英雄装备!$F:$F,0),MATCH(R$2,英雄装备!$1:$1,0)),装备属性!$A:$C,3,0))</f>
        <v>79</v>
      </c>
      <c r="S16" s="51">
        <f>MAX(VLOOKUP(INDEX(英雄装备!$F:$BZ,MATCH($H16,英雄装备!$F:$F,0),MATCH(S$2,英雄装备!$1:$1,0)-5),装备属性!$A:$C,3,0),VLOOKUP(INDEX(英雄装备!$F:$BZ,MATCH($H16,英雄装备!$F:$F,0),MATCH(S$2,英雄装备!$1:$1,0)-4),装备属性!$A:$C,3,0),VLOOKUP(INDEX(英雄装备!$F:$BZ,MATCH($H16,英雄装备!$F:$F,0),MATCH(S$2,英雄装备!$1:$1,0)-3),装备属性!$A:$C,3,0),VLOOKUP(INDEX(英雄装备!$F:$BZ,MATCH($H16,英雄装备!$F:$F,0),MATCH(S$2,英雄装备!$1:$1,0)-2),装备属性!$A:$C,3,0),VLOOKUP(INDEX(英雄装备!$F:$BZ,MATCH($H16,英雄装备!$F:$F,0),MATCH(S$2,英雄装备!$1:$1,0)-1),装备属性!$A:$C,3,0),VLOOKUP(INDEX(英雄装备!$F:$BZ,MATCH($H16,英雄装备!$F:$F,0),MATCH(S$2,英雄装备!$1:$1,0)),装备属性!$A:$C,3,0))</f>
        <v>85</v>
      </c>
      <c r="T16" s="51">
        <f>MAX(VLOOKUP(INDEX(英雄装备!$F:$BZ,MATCH($H16,英雄装备!$F:$F,0),MATCH(T$2,英雄装备!$1:$1,0)-5),装备属性!$A:$C,3,0),VLOOKUP(INDEX(英雄装备!$F:$BZ,MATCH($H16,英雄装备!$F:$F,0),MATCH(T$2,英雄装备!$1:$1,0)-4),装备属性!$A:$C,3,0),VLOOKUP(INDEX(英雄装备!$F:$BZ,MATCH($H16,英雄装备!$F:$F,0),MATCH(T$2,英雄装备!$1:$1,0)-3),装备属性!$A:$C,3,0),VLOOKUP(INDEX(英雄装备!$F:$BZ,MATCH($H16,英雄装备!$F:$F,0),MATCH(T$2,英雄装备!$1:$1,0)-2),装备属性!$A:$C,3,0),VLOOKUP(INDEX(英雄装备!$F:$BZ,MATCH($H16,英雄装备!$F:$F,0),MATCH(T$2,英雄装备!$1:$1,0)-1),装备属性!$A:$C,3,0))</f>
        <v>87</v>
      </c>
      <c r="W16" s="55">
        <f t="shared" si="3"/>
        <v>1</v>
      </c>
      <c r="X16" s="49">
        <f>IF(X3="暂无","暂无",IF(VLOOKUP(X3,装备属性!$A:$C,3,0)&gt;单英雄!$C$4,0,1))</f>
        <v>1</v>
      </c>
      <c r="Y16" s="49">
        <f>IF(Y3="暂无","暂无",IF(VLOOKUP(Y3,装备属性!$A:$C,3,0)&gt;单英雄!$C$4,0,1))</f>
        <v>1</v>
      </c>
      <c r="Z16" s="49">
        <f>IF(Z3="暂无","暂无",IF(VLOOKUP(Z3,装备属性!$A:$C,3,0)&gt;单英雄!$C$4,0,1))</f>
        <v>1</v>
      </c>
      <c r="AA16" s="49">
        <f>IF(AA3="暂无","暂无",IF(VLOOKUP(AA3,装备属性!$A:$C,3,0)&gt;单英雄!$C$4,0,1))</f>
        <v>1</v>
      </c>
      <c r="AB16" s="49">
        <f>IF(AB3="暂无","暂无",IF(VLOOKUP(AB3,装备属性!$A:$C,3,0)&gt;单英雄!$C$4,0,1))</f>
        <v>1</v>
      </c>
      <c r="AC16" s="49">
        <f>IF(AC3="暂无","暂无",IF(VLOOKUP(AC3,装备属性!$A:$C,3,0)&gt;单英雄!$C$4,0,1))</f>
        <v>1</v>
      </c>
      <c r="AG16" s="234" t="s">
        <v>1099</v>
      </c>
      <c r="AH16" s="232" t="s">
        <v>203</v>
      </c>
      <c r="AI16" s="232" t="s">
        <v>3</v>
      </c>
      <c r="AJ16" s="232">
        <f>$AF$7+(单英雄!$C$4-1)*单英雄!$H$4+VLOOKUP(单英雄!$C$5,进阶奖励!$A$15:$D$26,2,0)</f>
        <v>714.69999999999993</v>
      </c>
      <c r="AK16" s="232" t="s">
        <v>4</v>
      </c>
      <c r="AL16" s="232">
        <f>$AF$8+(单英雄!$C$4-1)*单英雄!$H$5+VLOOKUP(单英雄!$C$5,进阶奖励!$A$15:$D$26,3,0)</f>
        <v>1010.4</v>
      </c>
      <c r="AM16" s="232" t="s">
        <v>5</v>
      </c>
      <c r="AN16" s="232">
        <f>$AF$9+(单英雄!$C$4-1)*单英雄!$H$6+VLOOKUP(单英雄!$C$5,进阶奖励!$A$15:$D$26,4,0)</f>
        <v>520.79999999999995</v>
      </c>
    </row>
    <row r="17" spans="2:54">
      <c r="B17" s="49" t="str">
        <f>英雄初始!A18</f>
        <v>复仇</v>
      </c>
      <c r="E17" s="49" t="str">
        <f>进阶奖励!$A21</f>
        <v>紫</v>
      </c>
      <c r="F17" s="49">
        <v>7</v>
      </c>
      <c r="G17" s="146">
        <f>VLOOKUP(单英雄!$C$2,中介表格1!$H:$T,8,0)</f>
        <v>64</v>
      </c>
      <c r="H17" s="54" t="s">
        <v>170</v>
      </c>
      <c r="I17" s="51">
        <f>MAX(VLOOKUP(INDEX(英雄装备!$F:$BZ,MATCH($H17,英雄装备!$F:$F,0),MATCH(I$2,英雄装备!$1:$1,0)-5),装备属性!$A:$C,3,0),VLOOKUP(INDEX(英雄装备!$F:$BZ,MATCH($H17,英雄装备!$F:$F,0),MATCH(I$2,英雄装备!$1:$1,0)-4),装备属性!$A:$C,3,0),VLOOKUP(INDEX(英雄装备!$F:$BZ,MATCH($H17,英雄装备!$F:$F,0),MATCH(I$2,英雄装备!$1:$1,0)-3),装备属性!$A:$C,3,0),VLOOKUP(INDEX(英雄装备!$F:$BZ,MATCH($H17,英雄装备!$F:$F,0),MATCH(I$2,英雄装备!$1:$1,0)-2),装备属性!$A:$C,3,0),VLOOKUP(INDEX(英雄装备!$F:$BZ,MATCH($H17,英雄装备!$F:$F,0),MATCH(I$2,英雄装备!$1:$1,0)-1),装备属性!$A:$C,3,0),VLOOKUP(INDEX(英雄装备!$F:$BZ,MATCH($H17,英雄装备!$F:$F,0),MATCH(I$2,英雄装备!$1:$1,0)),装备属性!$A:$C,3,0))</f>
        <v>2</v>
      </c>
      <c r="J17" s="51">
        <f>MAX(VLOOKUP(INDEX(英雄装备!$F:$BZ,MATCH($H17,英雄装备!$F:$F,0),MATCH(J$2,英雄装备!$1:$1,0)-5),装备属性!$A:$C,3,0),VLOOKUP(INDEX(英雄装备!$F:$BZ,MATCH($H17,英雄装备!$F:$F,0),MATCH(J$2,英雄装备!$1:$1,0)-4),装备属性!$A:$C,3,0),VLOOKUP(INDEX(英雄装备!$F:$BZ,MATCH($H17,英雄装备!$F:$F,0),MATCH(J$2,英雄装备!$1:$1,0)-3),装备属性!$A:$C,3,0),VLOOKUP(INDEX(英雄装备!$F:$BZ,MATCH($H17,英雄装备!$F:$F,0),MATCH(J$2,英雄装备!$1:$1,0)-2),装备属性!$A:$C,3,0),VLOOKUP(INDEX(英雄装备!$F:$BZ,MATCH($H17,英雄装备!$F:$F,0),MATCH(J$2,英雄装备!$1:$1,0)-1),装备属性!$A:$C,3,0),VLOOKUP(INDEX(英雄装备!$F:$BZ,MATCH($H17,英雄装备!$F:$F,0),MATCH(J$2,英雄装备!$1:$1,0)),装备属性!$A:$C,3,0))</f>
        <v>12</v>
      </c>
      <c r="K17" s="51">
        <f>MAX(VLOOKUP(INDEX(英雄装备!$F:$BZ,MATCH($H17,英雄装备!$F:$F,0),MATCH(K$2,英雄装备!$1:$1,0)-5),装备属性!$A:$C,3,0),VLOOKUP(INDEX(英雄装备!$F:$BZ,MATCH($H17,英雄装备!$F:$F,0),MATCH(K$2,英雄装备!$1:$1,0)-4),装备属性!$A:$C,3,0),VLOOKUP(INDEX(英雄装备!$F:$BZ,MATCH($H17,英雄装备!$F:$F,0),MATCH(K$2,英雄装备!$1:$1,0)-3),装备属性!$A:$C,3,0),VLOOKUP(INDEX(英雄装备!$F:$BZ,MATCH($H17,英雄装备!$F:$F,0),MATCH(K$2,英雄装备!$1:$1,0)-2),装备属性!$A:$C,3,0),VLOOKUP(INDEX(英雄装备!$F:$BZ,MATCH($H17,英雄装备!$F:$F,0),MATCH(K$2,英雄装备!$1:$1,0)-1),装备属性!$A:$C,3,0),VLOOKUP(INDEX(英雄装备!$F:$BZ,MATCH($H17,英雄装备!$F:$F,0),MATCH(K$2,英雄装备!$1:$1,0)),装备属性!$A:$C,3,0))</f>
        <v>22</v>
      </c>
      <c r="L17" s="51">
        <f>MAX(VLOOKUP(INDEX(英雄装备!$F:$BZ,MATCH($H17,英雄装备!$F:$F,0),MATCH(L$2,英雄装备!$1:$1,0)-5),装备属性!$A:$C,3,0),VLOOKUP(INDEX(英雄装备!$F:$BZ,MATCH($H17,英雄装备!$F:$F,0),MATCH(L$2,英雄装备!$1:$1,0)-4),装备属性!$A:$C,3,0),VLOOKUP(INDEX(英雄装备!$F:$BZ,MATCH($H17,英雄装备!$F:$F,0),MATCH(L$2,英雄装备!$1:$1,0)-3),装备属性!$A:$C,3,0),VLOOKUP(INDEX(英雄装备!$F:$BZ,MATCH($H17,英雄装备!$F:$F,0),MATCH(L$2,英雄装备!$1:$1,0)-2),装备属性!$A:$C,3,0),VLOOKUP(INDEX(英雄装备!$F:$BZ,MATCH($H17,英雄装备!$F:$F,0),MATCH(L$2,英雄装备!$1:$1,0)-1),装备属性!$A:$C,3,0),VLOOKUP(INDEX(英雄装备!$F:$BZ,MATCH($H17,英雄装备!$F:$F,0),MATCH(L$2,英雄装备!$1:$1,0)),装备属性!$A:$C,3,0))</f>
        <v>34</v>
      </c>
      <c r="M17" s="51">
        <f>MAX(VLOOKUP(INDEX(英雄装备!$F:$BZ,MATCH($H17,英雄装备!$F:$F,0),MATCH(M$2,英雄装备!$1:$1,0)-5),装备属性!$A:$C,3,0),VLOOKUP(INDEX(英雄装备!$F:$BZ,MATCH($H17,英雄装备!$F:$F,0),MATCH(M$2,英雄装备!$1:$1,0)-4),装备属性!$A:$C,3,0),VLOOKUP(INDEX(英雄装备!$F:$BZ,MATCH($H17,英雄装备!$F:$F,0),MATCH(M$2,英雄装备!$1:$1,0)-3),装备属性!$A:$C,3,0),VLOOKUP(INDEX(英雄装备!$F:$BZ,MATCH($H17,英雄装备!$F:$F,0),MATCH(M$2,英雄装备!$1:$1,0)-2),装备属性!$A:$C,3,0),VLOOKUP(INDEX(英雄装备!$F:$BZ,MATCH($H17,英雄装备!$F:$F,0),MATCH(M$2,英雄装备!$1:$1,0)-1),装备属性!$A:$C,3,0),VLOOKUP(INDEX(英雄装备!$F:$BZ,MATCH($H17,英雄装备!$F:$F,0),MATCH(M$2,英雄装备!$1:$1,0)),装备属性!$A:$C,3,0))</f>
        <v>42</v>
      </c>
      <c r="N17" s="51">
        <f>MAX(VLOOKUP(INDEX(英雄装备!$F:$BZ,MATCH($H17,英雄装备!$F:$F,0),MATCH(N$2,英雄装备!$1:$1,0)-5),装备属性!$A:$C,3,0),VLOOKUP(INDEX(英雄装备!$F:$BZ,MATCH($H17,英雄装备!$F:$F,0),MATCH(N$2,英雄装备!$1:$1,0)-4),装备属性!$A:$C,3,0),VLOOKUP(INDEX(英雄装备!$F:$BZ,MATCH($H17,英雄装备!$F:$F,0),MATCH(N$2,英雄装备!$1:$1,0)-3),装备属性!$A:$C,3,0),VLOOKUP(INDEX(英雄装备!$F:$BZ,MATCH($H17,英雄装备!$F:$F,0),MATCH(N$2,英雄装备!$1:$1,0)-2),装备属性!$A:$C,3,0),VLOOKUP(INDEX(英雄装备!$F:$BZ,MATCH($H17,英雄装备!$F:$F,0),MATCH(N$2,英雄装备!$1:$1,0)-1),装备属性!$A:$C,3,0),VLOOKUP(INDEX(英雄装备!$F:$BZ,MATCH($H17,英雄装备!$F:$F,0),MATCH(N$2,英雄装备!$1:$1,0)),装备属性!$A:$C,3,0))</f>
        <v>50</v>
      </c>
      <c r="O17" s="51">
        <f>MAX(VLOOKUP(INDEX(英雄装备!$F:$BZ,MATCH($H17,英雄装备!$F:$F,0),MATCH(O$2,英雄装备!$1:$1,0)-5),装备属性!$A:$C,3,0),VLOOKUP(INDEX(英雄装备!$F:$BZ,MATCH($H17,英雄装备!$F:$F,0),MATCH(O$2,英雄装备!$1:$1,0)-4),装备属性!$A:$C,3,0),VLOOKUP(INDEX(英雄装备!$F:$BZ,MATCH($H17,英雄装备!$F:$F,0),MATCH(O$2,英雄装备!$1:$1,0)-3),装备属性!$A:$C,3,0),VLOOKUP(INDEX(英雄装备!$F:$BZ,MATCH($H17,英雄装备!$F:$F,0),MATCH(O$2,英雄装备!$1:$1,0)-2),装备属性!$A:$C,3,0),VLOOKUP(INDEX(英雄装备!$F:$BZ,MATCH($H17,英雄装备!$F:$F,0),MATCH(O$2,英雄装备!$1:$1,0)-1),装备属性!$A:$C,3,0),VLOOKUP(INDEX(英雄装备!$F:$BZ,MATCH($H17,英雄装备!$F:$F,0),MATCH(O$2,英雄装备!$1:$1,0)),装备属性!$A:$C,3,0))</f>
        <v>64</v>
      </c>
      <c r="P17" s="51">
        <f>MAX(VLOOKUP(INDEX(英雄装备!$F:$BZ,MATCH($H17,英雄装备!$F:$F,0),MATCH(P$2,英雄装备!$1:$1,0)-5),装备属性!$A:$C,3,0),VLOOKUP(INDEX(英雄装备!$F:$BZ,MATCH($H17,英雄装备!$F:$F,0),MATCH(P$2,英雄装备!$1:$1,0)-4),装备属性!$A:$C,3,0),VLOOKUP(INDEX(英雄装备!$F:$BZ,MATCH($H17,英雄装备!$F:$F,0),MATCH(P$2,英雄装备!$1:$1,0)-3),装备属性!$A:$C,3,0),VLOOKUP(INDEX(英雄装备!$F:$BZ,MATCH($H17,英雄装备!$F:$F,0),MATCH(P$2,英雄装备!$1:$1,0)-2),装备属性!$A:$C,3,0),VLOOKUP(INDEX(英雄装备!$F:$BZ,MATCH($H17,英雄装备!$F:$F,0),MATCH(P$2,英雄装备!$1:$1,0)-1),装备属性!$A:$C,3,0),VLOOKUP(INDEX(英雄装备!$F:$BZ,MATCH($H17,英雄装备!$F:$F,0),MATCH(P$2,英雄装备!$1:$1,0)),装备属性!$A:$C,3,0))</f>
        <v>70</v>
      </c>
      <c r="Q17" s="51">
        <f>MAX(VLOOKUP(INDEX(英雄装备!$F:$BZ,MATCH($H17,英雄装备!$F:$F,0),MATCH(Q$2,英雄装备!$1:$1,0)-5),装备属性!$A:$C,3,0),VLOOKUP(INDEX(英雄装备!$F:$BZ,MATCH($H17,英雄装备!$F:$F,0),MATCH(Q$2,英雄装备!$1:$1,0)-4),装备属性!$A:$C,3,0),VLOOKUP(INDEX(英雄装备!$F:$BZ,MATCH($H17,英雄装备!$F:$F,0),MATCH(Q$2,英雄装备!$1:$1,0)-3),装备属性!$A:$C,3,0),VLOOKUP(INDEX(英雄装备!$F:$BZ,MATCH($H17,英雄装备!$F:$F,0),MATCH(Q$2,英雄装备!$1:$1,0)-2),装备属性!$A:$C,3,0),VLOOKUP(INDEX(英雄装备!$F:$BZ,MATCH($H17,英雄装备!$F:$F,0),MATCH(Q$2,英雄装备!$1:$1,0)-1),装备属性!$A:$C,3,0),VLOOKUP(INDEX(英雄装备!$F:$BZ,MATCH($H17,英雄装备!$F:$F,0),MATCH(Q$2,英雄装备!$1:$1,0)),装备属性!$A:$C,3,0))</f>
        <v>80</v>
      </c>
      <c r="R17" s="51">
        <f>MAX(VLOOKUP(INDEX(英雄装备!$F:$BZ,MATCH($H17,英雄装备!$F:$F,0),MATCH(R$2,英雄装备!$1:$1,0)-5),装备属性!$A:$C,3,0),VLOOKUP(INDEX(英雄装备!$F:$BZ,MATCH($H17,英雄装备!$F:$F,0),MATCH(R$2,英雄装备!$1:$1,0)-4),装备属性!$A:$C,3,0),VLOOKUP(INDEX(英雄装备!$F:$BZ,MATCH($H17,英雄装备!$F:$F,0),MATCH(R$2,英雄装备!$1:$1,0)-3),装备属性!$A:$C,3,0),VLOOKUP(INDEX(英雄装备!$F:$BZ,MATCH($H17,英雄装备!$F:$F,0),MATCH(R$2,英雄装备!$1:$1,0)-2),装备属性!$A:$C,3,0),VLOOKUP(INDEX(英雄装备!$F:$BZ,MATCH($H17,英雄装备!$F:$F,0),MATCH(R$2,英雄装备!$1:$1,0)-1),装备属性!$A:$C,3,0),VLOOKUP(INDEX(英雄装备!$F:$BZ,MATCH($H17,英雄装备!$F:$F,0),MATCH(R$2,英雄装备!$1:$1,0)),装备属性!$A:$C,3,0))</f>
        <v>73</v>
      </c>
      <c r="S17" s="51">
        <f>MAX(VLOOKUP(INDEX(英雄装备!$F:$BZ,MATCH($H17,英雄装备!$F:$F,0),MATCH(S$2,英雄装备!$1:$1,0)-5),装备属性!$A:$C,3,0),VLOOKUP(INDEX(英雄装备!$F:$BZ,MATCH($H17,英雄装备!$F:$F,0),MATCH(S$2,英雄装备!$1:$1,0)-4),装备属性!$A:$C,3,0),VLOOKUP(INDEX(英雄装备!$F:$BZ,MATCH($H17,英雄装备!$F:$F,0),MATCH(S$2,英雄装备!$1:$1,0)-3),装备属性!$A:$C,3,0),VLOOKUP(INDEX(英雄装备!$F:$BZ,MATCH($H17,英雄装备!$F:$F,0),MATCH(S$2,英雄装备!$1:$1,0)-2),装备属性!$A:$C,3,0),VLOOKUP(INDEX(英雄装备!$F:$BZ,MATCH($H17,英雄装备!$F:$F,0),MATCH(S$2,英雄装备!$1:$1,0)-1),装备属性!$A:$C,3,0),VLOOKUP(INDEX(英雄装备!$F:$BZ,MATCH($H17,英雄装备!$F:$F,0),MATCH(S$2,英雄装备!$1:$1,0)),装备属性!$A:$C,3,0))</f>
        <v>84</v>
      </c>
      <c r="T17" s="51">
        <f>MAX(VLOOKUP(INDEX(英雄装备!$F:$BZ,MATCH($H17,英雄装备!$F:$F,0),MATCH(T$2,英雄装备!$1:$1,0)-5),装备属性!$A:$C,3,0),VLOOKUP(INDEX(英雄装备!$F:$BZ,MATCH($H17,英雄装备!$F:$F,0),MATCH(T$2,英雄装备!$1:$1,0)-4),装备属性!$A:$C,3,0),VLOOKUP(INDEX(英雄装备!$F:$BZ,MATCH($H17,英雄装备!$F:$F,0),MATCH(T$2,英雄装备!$1:$1,0)-3),装备属性!$A:$C,3,0),VLOOKUP(INDEX(英雄装备!$F:$BZ,MATCH($H17,英雄装备!$F:$F,0),MATCH(T$2,英雄装备!$1:$1,0)-2),装备属性!$A:$C,3,0),VLOOKUP(INDEX(英雄装备!$F:$BZ,MATCH($H17,英雄装备!$F:$F,0),MATCH(T$2,英雄装备!$1:$1,0)-1),装备属性!$A:$C,3,0))</f>
        <v>89</v>
      </c>
      <c r="W17" s="55">
        <f t="shared" si="3"/>
        <v>1</v>
      </c>
      <c r="X17" s="49">
        <f>IF(X4="暂无","暂无",IF(VLOOKUP(X4,装备属性!$A:$C,3,0)&gt;单英雄!$C$4,0,1))</f>
        <v>1</v>
      </c>
      <c r="Y17" s="49">
        <f>IF(Y4="暂无","暂无",IF(VLOOKUP(Y4,装备属性!$A:$C,3,0)&gt;单英雄!$C$4,0,1))</f>
        <v>1</v>
      </c>
      <c r="Z17" s="49">
        <f>IF(Z4="暂无","暂无",IF(VLOOKUP(Z4,装备属性!$A:$C,3,0)&gt;单英雄!$C$4,0,1))</f>
        <v>1</v>
      </c>
      <c r="AA17" s="49">
        <f>IF(AA4="暂无","暂无",IF(VLOOKUP(AA4,装备属性!$A:$C,3,0)&gt;单英雄!$C$4,0,1))</f>
        <v>1</v>
      </c>
      <c r="AB17" s="49">
        <f>IF(AB4="暂无","暂无",IF(VLOOKUP(AB4,装备属性!$A:$C,3,0)&gt;单英雄!$C$4,0,1))</f>
        <v>1</v>
      </c>
      <c r="AC17" s="49">
        <f>IF(AC4="暂无","暂无",IF(VLOOKUP(AC4,装备属性!$A:$C,3,0)&gt;单英雄!$C$4,0,1))</f>
        <v>1</v>
      </c>
      <c r="AG17" s="234"/>
      <c r="AH17" s="232"/>
      <c r="AI17" s="232"/>
      <c r="AJ17" s="232"/>
      <c r="AK17" s="232"/>
      <c r="AL17" s="232"/>
      <c r="AM17" s="232"/>
      <c r="AN17" s="232"/>
    </row>
    <row r="18" spans="2:54">
      <c r="B18" s="49" t="str">
        <f>英雄初始!A19</f>
        <v>骨弓</v>
      </c>
      <c r="E18" s="49" t="str">
        <f>进阶奖励!$A22</f>
        <v>紫+1</v>
      </c>
      <c r="F18" s="49">
        <v>8</v>
      </c>
      <c r="G18" s="146">
        <f>VLOOKUP(单英雄!$C$2,中介表格1!$H:$T,9,0)</f>
        <v>73</v>
      </c>
      <c r="H18" s="54" t="s">
        <v>171</v>
      </c>
      <c r="I18" s="51">
        <f>MAX(VLOOKUP(INDEX(英雄装备!$F:$BZ,MATCH($H18,英雄装备!$F:$F,0),MATCH(I$2,英雄装备!$1:$1,0)-5),装备属性!$A:$C,3,0),VLOOKUP(INDEX(英雄装备!$F:$BZ,MATCH($H18,英雄装备!$F:$F,0),MATCH(I$2,英雄装备!$1:$1,0)-4),装备属性!$A:$C,3,0),VLOOKUP(INDEX(英雄装备!$F:$BZ,MATCH($H18,英雄装备!$F:$F,0),MATCH(I$2,英雄装备!$1:$1,0)-3),装备属性!$A:$C,3,0),VLOOKUP(INDEX(英雄装备!$F:$BZ,MATCH($H18,英雄装备!$F:$F,0),MATCH(I$2,英雄装备!$1:$1,0)-2),装备属性!$A:$C,3,0),VLOOKUP(INDEX(英雄装备!$F:$BZ,MATCH($H18,英雄装备!$F:$F,0),MATCH(I$2,英雄装备!$1:$1,0)-1),装备属性!$A:$C,3,0),VLOOKUP(INDEX(英雄装备!$F:$BZ,MATCH($H18,英雄装备!$F:$F,0),MATCH(I$2,英雄装备!$1:$1,0)),装备属性!$A:$C,3,0))</f>
        <v>2</v>
      </c>
      <c r="J18" s="51">
        <f>MAX(VLOOKUP(INDEX(英雄装备!$F:$BZ,MATCH($H18,英雄装备!$F:$F,0),MATCH(J$2,英雄装备!$1:$1,0)-5),装备属性!$A:$C,3,0),VLOOKUP(INDEX(英雄装备!$F:$BZ,MATCH($H18,英雄装备!$F:$F,0),MATCH(J$2,英雄装备!$1:$1,0)-4),装备属性!$A:$C,3,0),VLOOKUP(INDEX(英雄装备!$F:$BZ,MATCH($H18,英雄装备!$F:$F,0),MATCH(J$2,英雄装备!$1:$1,0)-3),装备属性!$A:$C,3,0),VLOOKUP(INDEX(英雄装备!$F:$BZ,MATCH($H18,英雄装备!$F:$F,0),MATCH(J$2,英雄装备!$1:$1,0)-2),装备属性!$A:$C,3,0),VLOOKUP(INDEX(英雄装备!$F:$BZ,MATCH($H18,英雄装备!$F:$F,0),MATCH(J$2,英雄装备!$1:$1,0)-1),装备属性!$A:$C,3,0),VLOOKUP(INDEX(英雄装备!$F:$BZ,MATCH($H18,英雄装备!$F:$F,0),MATCH(J$2,英雄装备!$1:$1,0)),装备属性!$A:$C,3,0))</f>
        <v>10</v>
      </c>
      <c r="K18" s="51">
        <f>MAX(VLOOKUP(INDEX(英雄装备!$F:$BZ,MATCH($H18,英雄装备!$F:$F,0),MATCH(K$2,英雄装备!$1:$1,0)-5),装备属性!$A:$C,3,0),VLOOKUP(INDEX(英雄装备!$F:$BZ,MATCH($H18,英雄装备!$F:$F,0),MATCH(K$2,英雄装备!$1:$1,0)-4),装备属性!$A:$C,3,0),VLOOKUP(INDEX(英雄装备!$F:$BZ,MATCH($H18,英雄装备!$F:$F,0),MATCH(K$2,英雄装备!$1:$1,0)-3),装备属性!$A:$C,3,0),VLOOKUP(INDEX(英雄装备!$F:$BZ,MATCH($H18,英雄装备!$F:$F,0),MATCH(K$2,英雄装备!$1:$1,0)-2),装备属性!$A:$C,3,0),VLOOKUP(INDEX(英雄装备!$F:$BZ,MATCH($H18,英雄装备!$F:$F,0),MATCH(K$2,英雄装备!$1:$1,0)-1),装备属性!$A:$C,3,0),VLOOKUP(INDEX(英雄装备!$F:$BZ,MATCH($H18,英雄装备!$F:$F,0),MATCH(K$2,英雄装备!$1:$1,0)),装备属性!$A:$C,3,0))</f>
        <v>24</v>
      </c>
      <c r="L18" s="51">
        <f>MAX(VLOOKUP(INDEX(英雄装备!$F:$BZ,MATCH($H18,英雄装备!$F:$F,0),MATCH(L$2,英雄装备!$1:$1,0)-5),装备属性!$A:$C,3,0),VLOOKUP(INDEX(英雄装备!$F:$BZ,MATCH($H18,英雄装备!$F:$F,0),MATCH(L$2,英雄装备!$1:$1,0)-4),装备属性!$A:$C,3,0),VLOOKUP(INDEX(英雄装备!$F:$BZ,MATCH($H18,英雄装备!$F:$F,0),MATCH(L$2,英雄装备!$1:$1,0)-3),装备属性!$A:$C,3,0),VLOOKUP(INDEX(英雄装备!$F:$BZ,MATCH($H18,英雄装备!$F:$F,0),MATCH(L$2,英雄装备!$1:$1,0)-2),装备属性!$A:$C,3,0),VLOOKUP(INDEX(英雄装备!$F:$BZ,MATCH($H18,英雄装备!$F:$F,0),MATCH(L$2,英雄装备!$1:$1,0)-1),装备属性!$A:$C,3,0),VLOOKUP(INDEX(英雄装备!$F:$BZ,MATCH($H18,英雄装备!$F:$F,0),MATCH(L$2,英雄装备!$1:$1,0)),装备属性!$A:$C,3,0))</f>
        <v>37</v>
      </c>
      <c r="M18" s="51">
        <f>MAX(VLOOKUP(INDEX(英雄装备!$F:$BZ,MATCH($H18,英雄装备!$F:$F,0),MATCH(M$2,英雄装备!$1:$1,0)-5),装备属性!$A:$C,3,0),VLOOKUP(INDEX(英雄装备!$F:$BZ,MATCH($H18,英雄装备!$F:$F,0),MATCH(M$2,英雄装备!$1:$1,0)-4),装备属性!$A:$C,3,0),VLOOKUP(INDEX(英雄装备!$F:$BZ,MATCH($H18,英雄装备!$F:$F,0),MATCH(M$2,英雄装备!$1:$1,0)-3),装备属性!$A:$C,3,0),VLOOKUP(INDEX(英雄装备!$F:$BZ,MATCH($H18,英雄装备!$F:$F,0),MATCH(M$2,英雄装备!$1:$1,0)-2),装备属性!$A:$C,3,0),VLOOKUP(INDEX(英雄装备!$F:$BZ,MATCH($H18,英雄装备!$F:$F,0),MATCH(M$2,英雄装备!$1:$1,0)-1),装备属性!$A:$C,3,0),VLOOKUP(INDEX(英雄装备!$F:$BZ,MATCH($H18,英雄装备!$F:$F,0),MATCH(M$2,英雄装备!$1:$1,0)),装备属性!$A:$C,3,0))</f>
        <v>44</v>
      </c>
      <c r="N18" s="51">
        <f>MAX(VLOOKUP(INDEX(英雄装备!$F:$BZ,MATCH($H18,英雄装备!$F:$F,0),MATCH(N$2,英雄装备!$1:$1,0)-5),装备属性!$A:$C,3,0),VLOOKUP(INDEX(英雄装备!$F:$BZ,MATCH($H18,英雄装备!$F:$F,0),MATCH(N$2,英雄装备!$1:$1,0)-4),装备属性!$A:$C,3,0),VLOOKUP(INDEX(英雄装备!$F:$BZ,MATCH($H18,英雄装备!$F:$F,0),MATCH(N$2,英雄装备!$1:$1,0)-3),装备属性!$A:$C,3,0),VLOOKUP(INDEX(英雄装备!$F:$BZ,MATCH($H18,英雄装备!$F:$F,0),MATCH(N$2,英雄装备!$1:$1,0)-2),装备属性!$A:$C,3,0),VLOOKUP(INDEX(英雄装备!$F:$BZ,MATCH($H18,英雄装备!$F:$F,0),MATCH(N$2,英雄装备!$1:$1,0)-1),装备属性!$A:$C,3,0),VLOOKUP(INDEX(英雄装备!$F:$BZ,MATCH($H18,英雄装备!$F:$F,0),MATCH(N$2,英雄装备!$1:$1,0)),装备属性!$A:$C,3,0))</f>
        <v>53</v>
      </c>
      <c r="O18" s="51">
        <f>MAX(VLOOKUP(INDEX(英雄装备!$F:$BZ,MATCH($H18,英雄装备!$F:$F,0),MATCH(O$2,英雄装备!$1:$1,0)-5),装备属性!$A:$C,3,0),VLOOKUP(INDEX(英雄装备!$F:$BZ,MATCH($H18,英雄装备!$F:$F,0),MATCH(O$2,英雄装备!$1:$1,0)-4),装备属性!$A:$C,3,0),VLOOKUP(INDEX(英雄装备!$F:$BZ,MATCH($H18,英雄装备!$F:$F,0),MATCH(O$2,英雄装备!$1:$1,0)-3),装备属性!$A:$C,3,0),VLOOKUP(INDEX(英雄装备!$F:$BZ,MATCH($H18,英雄装备!$F:$F,0),MATCH(O$2,英雄装备!$1:$1,0)-2),装备属性!$A:$C,3,0),VLOOKUP(INDEX(英雄装备!$F:$BZ,MATCH($H18,英雄装备!$F:$F,0),MATCH(O$2,英雄装备!$1:$1,0)-1),装备属性!$A:$C,3,0),VLOOKUP(INDEX(英雄装备!$F:$BZ,MATCH($H18,英雄装备!$F:$F,0),MATCH(O$2,英雄装备!$1:$1,0)),装备属性!$A:$C,3,0))</f>
        <v>66</v>
      </c>
      <c r="P18" s="51">
        <f>MAX(VLOOKUP(INDEX(英雄装备!$F:$BZ,MATCH($H18,英雄装备!$F:$F,0),MATCH(P$2,英雄装备!$1:$1,0)-5),装备属性!$A:$C,3,0),VLOOKUP(INDEX(英雄装备!$F:$BZ,MATCH($H18,英雄装备!$F:$F,0),MATCH(P$2,英雄装备!$1:$1,0)-4),装备属性!$A:$C,3,0),VLOOKUP(INDEX(英雄装备!$F:$BZ,MATCH($H18,英雄装备!$F:$F,0),MATCH(P$2,英雄装备!$1:$1,0)-3),装备属性!$A:$C,3,0),VLOOKUP(INDEX(英雄装备!$F:$BZ,MATCH($H18,英雄装备!$F:$F,0),MATCH(P$2,英雄装备!$1:$1,0)-2),装备属性!$A:$C,3,0),VLOOKUP(INDEX(英雄装备!$F:$BZ,MATCH($H18,英雄装备!$F:$F,0),MATCH(P$2,英雄装备!$1:$1,0)-1),装备属性!$A:$C,3,0),VLOOKUP(INDEX(英雄装备!$F:$BZ,MATCH($H18,英雄装备!$F:$F,0),MATCH(P$2,英雄装备!$1:$1,0)),装备属性!$A:$C,3,0))</f>
        <v>73</v>
      </c>
      <c r="Q18" s="51">
        <f>MAX(VLOOKUP(INDEX(英雄装备!$F:$BZ,MATCH($H18,英雄装备!$F:$F,0),MATCH(Q$2,英雄装备!$1:$1,0)-5),装备属性!$A:$C,3,0),VLOOKUP(INDEX(英雄装备!$F:$BZ,MATCH($H18,英雄装备!$F:$F,0),MATCH(Q$2,英雄装备!$1:$1,0)-4),装备属性!$A:$C,3,0),VLOOKUP(INDEX(英雄装备!$F:$BZ,MATCH($H18,英雄装备!$F:$F,0),MATCH(Q$2,英雄装备!$1:$1,0)-3),装备属性!$A:$C,3,0),VLOOKUP(INDEX(英雄装备!$F:$BZ,MATCH($H18,英雄装备!$F:$F,0),MATCH(Q$2,英雄装备!$1:$1,0)-2),装备属性!$A:$C,3,0),VLOOKUP(INDEX(英雄装备!$F:$BZ,MATCH($H18,英雄装备!$F:$F,0),MATCH(Q$2,英雄装备!$1:$1,0)-1),装备属性!$A:$C,3,0),VLOOKUP(INDEX(英雄装备!$F:$BZ,MATCH($H18,英雄装备!$F:$F,0),MATCH(Q$2,英雄装备!$1:$1,0)),装备属性!$A:$C,3,0))</f>
        <v>80</v>
      </c>
      <c r="R18" s="51">
        <f>MAX(VLOOKUP(INDEX(英雄装备!$F:$BZ,MATCH($H18,英雄装备!$F:$F,0),MATCH(R$2,英雄装备!$1:$1,0)-5),装备属性!$A:$C,3,0),VLOOKUP(INDEX(英雄装备!$F:$BZ,MATCH($H18,英雄装备!$F:$F,0),MATCH(R$2,英雄装备!$1:$1,0)-4),装备属性!$A:$C,3,0),VLOOKUP(INDEX(英雄装备!$F:$BZ,MATCH($H18,英雄装备!$F:$F,0),MATCH(R$2,英雄装备!$1:$1,0)-3),装备属性!$A:$C,3,0),VLOOKUP(INDEX(英雄装备!$F:$BZ,MATCH($H18,英雄装备!$F:$F,0),MATCH(R$2,英雄装备!$1:$1,0)-2),装备属性!$A:$C,3,0),VLOOKUP(INDEX(英雄装备!$F:$BZ,MATCH($H18,英雄装备!$F:$F,0),MATCH(R$2,英雄装备!$1:$1,0)-1),装备属性!$A:$C,3,0),VLOOKUP(INDEX(英雄装备!$F:$BZ,MATCH($H18,英雄装备!$F:$F,0),MATCH(R$2,英雄装备!$1:$1,0)),装备属性!$A:$C,3,0))</f>
        <v>79</v>
      </c>
      <c r="S18" s="51">
        <f>MAX(VLOOKUP(INDEX(英雄装备!$F:$BZ,MATCH($H18,英雄装备!$F:$F,0),MATCH(S$2,英雄装备!$1:$1,0)-5),装备属性!$A:$C,3,0),VLOOKUP(INDEX(英雄装备!$F:$BZ,MATCH($H18,英雄装备!$F:$F,0),MATCH(S$2,英雄装备!$1:$1,0)-4),装备属性!$A:$C,3,0),VLOOKUP(INDEX(英雄装备!$F:$BZ,MATCH($H18,英雄装备!$F:$F,0),MATCH(S$2,英雄装备!$1:$1,0)-3),装备属性!$A:$C,3,0),VLOOKUP(INDEX(英雄装备!$F:$BZ,MATCH($H18,英雄装备!$F:$F,0),MATCH(S$2,英雄装备!$1:$1,0)-2),装备属性!$A:$C,3,0),VLOOKUP(INDEX(英雄装备!$F:$BZ,MATCH($H18,英雄装备!$F:$F,0),MATCH(S$2,英雄装备!$1:$1,0)-1),装备属性!$A:$C,3,0),VLOOKUP(INDEX(英雄装备!$F:$BZ,MATCH($H18,英雄装备!$F:$F,0),MATCH(S$2,英雄装备!$1:$1,0)),装备属性!$A:$C,3,0))</f>
        <v>85</v>
      </c>
      <c r="T18" s="51">
        <f>MAX(VLOOKUP(INDEX(英雄装备!$F:$BZ,MATCH($H18,英雄装备!$F:$F,0),MATCH(T$2,英雄装备!$1:$1,0)-5),装备属性!$A:$C,3,0),VLOOKUP(INDEX(英雄装备!$F:$BZ,MATCH($H18,英雄装备!$F:$F,0),MATCH(T$2,英雄装备!$1:$1,0)-4),装备属性!$A:$C,3,0),VLOOKUP(INDEX(英雄装备!$F:$BZ,MATCH($H18,英雄装备!$F:$F,0),MATCH(T$2,英雄装备!$1:$1,0)-3),装备属性!$A:$C,3,0),VLOOKUP(INDEX(英雄装备!$F:$BZ,MATCH($H18,英雄装备!$F:$F,0),MATCH(T$2,英雄装备!$1:$1,0)-2),装备属性!$A:$C,3,0),VLOOKUP(INDEX(英雄装备!$F:$BZ,MATCH($H18,英雄装备!$F:$F,0),MATCH(T$2,英雄装备!$1:$1,0)-1),装备属性!$A:$C,3,0))</f>
        <v>89</v>
      </c>
      <c r="W18" s="55">
        <f t="shared" si="3"/>
        <v>1</v>
      </c>
      <c r="X18" s="49">
        <f>IF(X5="暂无","暂无",IF(VLOOKUP(X5,装备属性!$A:$C,3,0)&gt;单英雄!$C$4,0,1))</f>
        <v>1</v>
      </c>
      <c r="Y18" s="49">
        <f>IF(Y5="暂无","暂无",IF(VLOOKUP(Y5,装备属性!$A:$C,3,0)&gt;单英雄!$C$4,0,1))</f>
        <v>1</v>
      </c>
      <c r="Z18" s="49">
        <f>IF(Z5="暂无","暂无",IF(VLOOKUP(Z5,装备属性!$A:$C,3,0)&gt;单英雄!$C$4,0,1))</f>
        <v>1</v>
      </c>
      <c r="AA18" s="49">
        <f>IF(AA5="暂无","暂无",IF(VLOOKUP(AA5,装备属性!$A:$C,3,0)&gt;单英雄!$C$4,0,1))</f>
        <v>1</v>
      </c>
      <c r="AB18" s="49">
        <f>IF(AB5="暂无","暂无",IF(VLOOKUP(AB5,装备属性!$A:$C,3,0)&gt;单英雄!$C$4,0,1))</f>
        <v>1</v>
      </c>
      <c r="AC18" s="49">
        <f>IF(AC5="暂无","暂无",IF(VLOOKUP(AC5,装备属性!$A:$C,3,0)&gt;单英雄!$C$4,0,1))</f>
        <v>1</v>
      </c>
      <c r="AG18" s="234"/>
      <c r="AH18" s="232" t="s">
        <v>1077</v>
      </c>
      <c r="AI18" s="50" t="s">
        <v>103</v>
      </c>
      <c r="AJ18" s="50" t="s">
        <v>14</v>
      </c>
      <c r="AK18" s="50" t="s">
        <v>47</v>
      </c>
      <c r="AL18" s="50" t="s">
        <v>35</v>
      </c>
      <c r="AM18" s="50" t="s">
        <v>38</v>
      </c>
      <c r="AN18" s="50" t="s">
        <v>34</v>
      </c>
      <c r="AO18" s="50" t="s">
        <v>56</v>
      </c>
      <c r="AP18" s="50" t="s">
        <v>84</v>
      </c>
      <c r="AQ18" s="50" t="s">
        <v>98</v>
      </c>
      <c r="AR18" s="50" t="s">
        <v>2099</v>
      </c>
      <c r="AS18" s="119" t="s">
        <v>1874</v>
      </c>
      <c r="AT18" s="50" t="s">
        <v>91</v>
      </c>
      <c r="AU18" s="50" t="s">
        <v>13</v>
      </c>
      <c r="AV18" s="50" t="s">
        <v>18</v>
      </c>
      <c r="AW18" s="51" t="s">
        <v>71</v>
      </c>
      <c r="AX18" s="50" t="s">
        <v>130</v>
      </c>
      <c r="AY18" s="141" t="s">
        <v>2096</v>
      </c>
      <c r="AZ18" s="141" t="s">
        <v>2097</v>
      </c>
    </row>
    <row r="19" spans="2:54">
      <c r="B19" s="49" t="str">
        <f>英雄初始!A20</f>
        <v>火枪</v>
      </c>
      <c r="E19" s="49" t="str">
        <f>进阶奖励!$A23</f>
        <v>紫+2</v>
      </c>
      <c r="F19" s="49">
        <v>9</v>
      </c>
      <c r="G19" s="146">
        <f>VLOOKUP(单英雄!$C$2,中介表格1!$H:$T,10,0)</f>
        <v>80</v>
      </c>
      <c r="H19" s="54" t="s">
        <v>172</v>
      </c>
      <c r="I19" s="51">
        <f>MAX(VLOOKUP(INDEX(英雄装备!$F:$BZ,MATCH($H19,英雄装备!$F:$F,0),MATCH(I$2,英雄装备!$1:$1,0)-5),装备属性!$A:$C,3,0),VLOOKUP(INDEX(英雄装备!$F:$BZ,MATCH($H19,英雄装备!$F:$F,0),MATCH(I$2,英雄装备!$1:$1,0)-4),装备属性!$A:$C,3,0),VLOOKUP(INDEX(英雄装备!$F:$BZ,MATCH($H19,英雄装备!$F:$F,0),MATCH(I$2,英雄装备!$1:$1,0)-3),装备属性!$A:$C,3,0),VLOOKUP(INDEX(英雄装备!$F:$BZ,MATCH($H19,英雄装备!$F:$F,0),MATCH(I$2,英雄装备!$1:$1,0)-2),装备属性!$A:$C,3,0),VLOOKUP(INDEX(英雄装备!$F:$BZ,MATCH($H19,英雄装备!$F:$F,0),MATCH(I$2,英雄装备!$1:$1,0)-1),装备属性!$A:$C,3,0),VLOOKUP(INDEX(英雄装备!$F:$BZ,MATCH($H19,英雄装备!$F:$F,0),MATCH(I$2,英雄装备!$1:$1,0)),装备属性!$A:$C,3,0))</f>
        <v>2</v>
      </c>
      <c r="J19" s="51">
        <f>MAX(VLOOKUP(INDEX(英雄装备!$F:$BZ,MATCH($H19,英雄装备!$F:$F,0),MATCH(J$2,英雄装备!$1:$1,0)-5),装备属性!$A:$C,3,0),VLOOKUP(INDEX(英雄装备!$F:$BZ,MATCH($H19,英雄装备!$F:$F,0),MATCH(J$2,英雄装备!$1:$1,0)-4),装备属性!$A:$C,3,0),VLOOKUP(INDEX(英雄装备!$F:$BZ,MATCH($H19,英雄装备!$F:$F,0),MATCH(J$2,英雄装备!$1:$1,0)-3),装备属性!$A:$C,3,0),VLOOKUP(INDEX(英雄装备!$F:$BZ,MATCH($H19,英雄装备!$F:$F,0),MATCH(J$2,英雄装备!$1:$1,0)-2),装备属性!$A:$C,3,0),VLOOKUP(INDEX(英雄装备!$F:$BZ,MATCH($H19,英雄装备!$F:$F,0),MATCH(J$2,英雄装备!$1:$1,0)-1),装备属性!$A:$C,3,0),VLOOKUP(INDEX(英雄装备!$F:$BZ,MATCH($H19,英雄装备!$F:$F,0),MATCH(J$2,英雄装备!$1:$1,0)),装备属性!$A:$C,3,0))</f>
        <v>10</v>
      </c>
      <c r="K19" s="51">
        <f>MAX(VLOOKUP(INDEX(英雄装备!$F:$BZ,MATCH($H19,英雄装备!$F:$F,0),MATCH(K$2,英雄装备!$1:$1,0)-5),装备属性!$A:$C,3,0),VLOOKUP(INDEX(英雄装备!$F:$BZ,MATCH($H19,英雄装备!$F:$F,0),MATCH(K$2,英雄装备!$1:$1,0)-4),装备属性!$A:$C,3,0),VLOOKUP(INDEX(英雄装备!$F:$BZ,MATCH($H19,英雄装备!$F:$F,0),MATCH(K$2,英雄装备!$1:$1,0)-3),装备属性!$A:$C,3,0),VLOOKUP(INDEX(英雄装备!$F:$BZ,MATCH($H19,英雄装备!$F:$F,0),MATCH(K$2,英雄装备!$1:$1,0)-2),装备属性!$A:$C,3,0),VLOOKUP(INDEX(英雄装备!$F:$BZ,MATCH($H19,英雄装备!$F:$F,0),MATCH(K$2,英雄装备!$1:$1,0)-1),装备属性!$A:$C,3,0),VLOOKUP(INDEX(英雄装备!$F:$BZ,MATCH($H19,英雄装备!$F:$F,0),MATCH(K$2,英雄装备!$1:$1,0)),装备属性!$A:$C,3,0))</f>
        <v>20</v>
      </c>
      <c r="L19" s="51">
        <f>MAX(VLOOKUP(INDEX(英雄装备!$F:$BZ,MATCH($H19,英雄装备!$F:$F,0),MATCH(L$2,英雄装备!$1:$1,0)-5),装备属性!$A:$C,3,0),VLOOKUP(INDEX(英雄装备!$F:$BZ,MATCH($H19,英雄装备!$F:$F,0),MATCH(L$2,英雄装备!$1:$1,0)-4),装备属性!$A:$C,3,0),VLOOKUP(INDEX(英雄装备!$F:$BZ,MATCH($H19,英雄装备!$F:$F,0),MATCH(L$2,英雄装备!$1:$1,0)-3),装备属性!$A:$C,3,0),VLOOKUP(INDEX(英雄装备!$F:$BZ,MATCH($H19,英雄装备!$F:$F,0),MATCH(L$2,英雄装备!$1:$1,0)-2),装备属性!$A:$C,3,0),VLOOKUP(INDEX(英雄装备!$F:$BZ,MATCH($H19,英雄装备!$F:$F,0),MATCH(L$2,英雄装备!$1:$1,0)-1),装备属性!$A:$C,3,0),VLOOKUP(INDEX(英雄装备!$F:$BZ,MATCH($H19,英雄装备!$F:$F,0),MATCH(L$2,英雄装备!$1:$1,0)),装备属性!$A:$C,3,0))</f>
        <v>35</v>
      </c>
      <c r="M19" s="51">
        <f>MAX(VLOOKUP(INDEX(英雄装备!$F:$BZ,MATCH($H19,英雄装备!$F:$F,0),MATCH(M$2,英雄装备!$1:$1,0)-5),装备属性!$A:$C,3,0),VLOOKUP(INDEX(英雄装备!$F:$BZ,MATCH($H19,英雄装备!$F:$F,0),MATCH(M$2,英雄装备!$1:$1,0)-4),装备属性!$A:$C,3,0),VLOOKUP(INDEX(英雄装备!$F:$BZ,MATCH($H19,英雄装备!$F:$F,0),MATCH(M$2,英雄装备!$1:$1,0)-3),装备属性!$A:$C,3,0),VLOOKUP(INDEX(英雄装备!$F:$BZ,MATCH($H19,英雄装备!$F:$F,0),MATCH(M$2,英雄装备!$1:$1,0)-2),装备属性!$A:$C,3,0),VLOOKUP(INDEX(英雄装备!$F:$BZ,MATCH($H19,英雄装备!$F:$F,0),MATCH(M$2,英雄装备!$1:$1,0)-1),装备属性!$A:$C,3,0),VLOOKUP(INDEX(英雄装备!$F:$BZ,MATCH($H19,英雄装备!$F:$F,0),MATCH(M$2,英雄装备!$1:$1,0)),装备属性!$A:$C,3,0))</f>
        <v>44</v>
      </c>
      <c r="N19" s="51">
        <f>MAX(VLOOKUP(INDEX(英雄装备!$F:$BZ,MATCH($H19,英雄装备!$F:$F,0),MATCH(N$2,英雄装备!$1:$1,0)-5),装备属性!$A:$C,3,0),VLOOKUP(INDEX(英雄装备!$F:$BZ,MATCH($H19,英雄装备!$F:$F,0),MATCH(N$2,英雄装备!$1:$1,0)-4),装备属性!$A:$C,3,0),VLOOKUP(INDEX(英雄装备!$F:$BZ,MATCH($H19,英雄装备!$F:$F,0),MATCH(N$2,英雄装备!$1:$1,0)-3),装备属性!$A:$C,3,0),VLOOKUP(INDEX(英雄装备!$F:$BZ,MATCH($H19,英雄装备!$F:$F,0),MATCH(N$2,英雄装备!$1:$1,0)-2),装备属性!$A:$C,3,0),VLOOKUP(INDEX(英雄装备!$F:$BZ,MATCH($H19,英雄装备!$F:$F,0),MATCH(N$2,英雄装备!$1:$1,0)-1),装备属性!$A:$C,3,0),VLOOKUP(INDEX(英雄装备!$F:$BZ,MATCH($H19,英雄装备!$F:$F,0),MATCH(N$2,英雄装备!$1:$1,0)),装备属性!$A:$C,3,0))</f>
        <v>52</v>
      </c>
      <c r="O19" s="51">
        <f>MAX(VLOOKUP(INDEX(英雄装备!$F:$BZ,MATCH($H19,英雄装备!$F:$F,0),MATCH(O$2,英雄装备!$1:$1,0)-5),装备属性!$A:$C,3,0),VLOOKUP(INDEX(英雄装备!$F:$BZ,MATCH($H19,英雄装备!$F:$F,0),MATCH(O$2,英雄装备!$1:$1,0)-4),装备属性!$A:$C,3,0),VLOOKUP(INDEX(英雄装备!$F:$BZ,MATCH($H19,英雄装备!$F:$F,0),MATCH(O$2,英雄装备!$1:$1,0)-3),装备属性!$A:$C,3,0),VLOOKUP(INDEX(英雄装备!$F:$BZ,MATCH($H19,英雄装备!$F:$F,0),MATCH(O$2,英雄装备!$1:$1,0)-2),装备属性!$A:$C,3,0),VLOOKUP(INDEX(英雄装备!$F:$BZ,MATCH($H19,英雄装备!$F:$F,0),MATCH(O$2,英雄装备!$1:$1,0)-1),装备属性!$A:$C,3,0),VLOOKUP(INDEX(英雄装备!$F:$BZ,MATCH($H19,英雄装备!$F:$F,0),MATCH(O$2,英雄装备!$1:$1,0)),装备属性!$A:$C,3,0))</f>
        <v>64</v>
      </c>
      <c r="P19" s="51">
        <f>MAX(VLOOKUP(INDEX(英雄装备!$F:$BZ,MATCH($H19,英雄装备!$F:$F,0),MATCH(P$2,英雄装备!$1:$1,0)-5),装备属性!$A:$C,3,0),VLOOKUP(INDEX(英雄装备!$F:$BZ,MATCH($H19,英雄装备!$F:$F,0),MATCH(P$2,英雄装备!$1:$1,0)-4),装备属性!$A:$C,3,0),VLOOKUP(INDEX(英雄装备!$F:$BZ,MATCH($H19,英雄装备!$F:$F,0),MATCH(P$2,英雄装备!$1:$1,0)-3),装备属性!$A:$C,3,0),VLOOKUP(INDEX(英雄装备!$F:$BZ,MATCH($H19,英雄装备!$F:$F,0),MATCH(P$2,英雄装备!$1:$1,0)-2),装备属性!$A:$C,3,0),VLOOKUP(INDEX(英雄装备!$F:$BZ,MATCH($H19,英雄装备!$F:$F,0),MATCH(P$2,英雄装备!$1:$1,0)-1),装备属性!$A:$C,3,0),VLOOKUP(INDEX(英雄装备!$F:$BZ,MATCH($H19,英雄装备!$F:$F,0),MATCH(P$2,英雄装备!$1:$1,0)),装备属性!$A:$C,3,0))</f>
        <v>70</v>
      </c>
      <c r="Q19" s="51">
        <f>MAX(VLOOKUP(INDEX(英雄装备!$F:$BZ,MATCH($H19,英雄装备!$F:$F,0),MATCH(Q$2,英雄装备!$1:$1,0)-5),装备属性!$A:$C,3,0),VLOOKUP(INDEX(英雄装备!$F:$BZ,MATCH($H19,英雄装备!$F:$F,0),MATCH(Q$2,英雄装备!$1:$1,0)-4),装备属性!$A:$C,3,0),VLOOKUP(INDEX(英雄装备!$F:$BZ,MATCH($H19,英雄装备!$F:$F,0),MATCH(Q$2,英雄装备!$1:$1,0)-3),装备属性!$A:$C,3,0),VLOOKUP(INDEX(英雄装备!$F:$BZ,MATCH($H19,英雄装备!$F:$F,0),MATCH(Q$2,英雄装备!$1:$1,0)-2),装备属性!$A:$C,3,0),VLOOKUP(INDEX(英雄装备!$F:$BZ,MATCH($H19,英雄装备!$F:$F,0),MATCH(Q$2,英雄装备!$1:$1,0)-1),装备属性!$A:$C,3,0),VLOOKUP(INDEX(英雄装备!$F:$BZ,MATCH($H19,英雄装备!$F:$F,0),MATCH(Q$2,英雄装备!$1:$1,0)),装备属性!$A:$C,3,0))</f>
        <v>79</v>
      </c>
      <c r="R19" s="51">
        <f>MAX(VLOOKUP(INDEX(英雄装备!$F:$BZ,MATCH($H19,英雄装备!$F:$F,0),MATCH(R$2,英雄装备!$1:$1,0)-5),装备属性!$A:$C,3,0),VLOOKUP(INDEX(英雄装备!$F:$BZ,MATCH($H19,英雄装备!$F:$F,0),MATCH(R$2,英雄装备!$1:$1,0)-4),装备属性!$A:$C,3,0),VLOOKUP(INDEX(英雄装备!$F:$BZ,MATCH($H19,英雄装备!$F:$F,0),MATCH(R$2,英雄装备!$1:$1,0)-3),装备属性!$A:$C,3,0),VLOOKUP(INDEX(英雄装备!$F:$BZ,MATCH($H19,英雄装备!$F:$F,0),MATCH(R$2,英雄装备!$1:$1,0)-2),装备属性!$A:$C,3,0),VLOOKUP(INDEX(英雄装备!$F:$BZ,MATCH($H19,英雄装备!$F:$F,0),MATCH(R$2,英雄装备!$1:$1,0)-1),装备属性!$A:$C,3,0),VLOOKUP(INDEX(英雄装备!$F:$BZ,MATCH($H19,英雄装备!$F:$F,0),MATCH(R$2,英雄装备!$1:$1,0)),装备属性!$A:$C,3,0))</f>
        <v>80</v>
      </c>
      <c r="S19" s="51">
        <f>MAX(VLOOKUP(INDEX(英雄装备!$F:$BZ,MATCH($H19,英雄装备!$F:$F,0),MATCH(S$2,英雄装备!$1:$1,0)-5),装备属性!$A:$C,3,0),VLOOKUP(INDEX(英雄装备!$F:$BZ,MATCH($H19,英雄装备!$F:$F,0),MATCH(S$2,英雄装备!$1:$1,0)-4),装备属性!$A:$C,3,0),VLOOKUP(INDEX(英雄装备!$F:$BZ,MATCH($H19,英雄装备!$F:$F,0),MATCH(S$2,英雄装备!$1:$1,0)-3),装备属性!$A:$C,3,0),VLOOKUP(INDEX(英雄装备!$F:$BZ,MATCH($H19,英雄装备!$F:$F,0),MATCH(S$2,英雄装备!$1:$1,0)-2),装备属性!$A:$C,3,0),VLOOKUP(INDEX(英雄装备!$F:$BZ,MATCH($H19,英雄装备!$F:$F,0),MATCH(S$2,英雄装备!$1:$1,0)-1),装备属性!$A:$C,3,0),VLOOKUP(INDEX(英雄装备!$F:$BZ,MATCH($H19,英雄装备!$F:$F,0),MATCH(S$2,英雄装备!$1:$1,0)),装备属性!$A:$C,3,0))</f>
        <v>85</v>
      </c>
      <c r="T19" s="51">
        <f>MAX(VLOOKUP(INDEX(英雄装备!$F:$BZ,MATCH($H19,英雄装备!$F:$F,0),MATCH(T$2,英雄装备!$1:$1,0)-5),装备属性!$A:$C,3,0),VLOOKUP(INDEX(英雄装备!$F:$BZ,MATCH($H19,英雄装备!$F:$F,0),MATCH(T$2,英雄装备!$1:$1,0)-4),装备属性!$A:$C,3,0),VLOOKUP(INDEX(英雄装备!$F:$BZ,MATCH($H19,英雄装备!$F:$F,0),MATCH(T$2,英雄装备!$1:$1,0)-3),装备属性!$A:$C,3,0),VLOOKUP(INDEX(英雄装备!$F:$BZ,MATCH($H19,英雄装备!$F:$F,0),MATCH(T$2,英雄装备!$1:$1,0)-2),装备属性!$A:$C,3,0),VLOOKUP(INDEX(英雄装备!$F:$BZ,MATCH($H19,英雄装备!$F:$F,0),MATCH(T$2,英雄装备!$1:$1,0)-1),装备属性!$A:$C,3,0))</f>
        <v>89</v>
      </c>
      <c r="W19" s="55">
        <f t="shared" si="3"/>
        <v>1</v>
      </c>
      <c r="X19" s="49">
        <f>IF(X6="暂无","暂无",IF(VLOOKUP(X6,装备属性!$A:$C,3,0)&gt;单英雄!$C$4,0,1))</f>
        <v>1</v>
      </c>
      <c r="Y19" s="49">
        <f>IF(Y6="暂无","暂无",IF(VLOOKUP(Y6,装备属性!$A:$C,3,0)&gt;单英雄!$C$4,0,1))</f>
        <v>1</v>
      </c>
      <c r="Z19" s="49">
        <f>IF(Z6="暂无","暂无",IF(VLOOKUP(Z6,装备属性!$A:$C,3,0)&gt;单英雄!$C$4,0,1))</f>
        <v>1</v>
      </c>
      <c r="AA19" s="49">
        <f>IF(AA6="暂无","暂无",IF(VLOOKUP(AA6,装备属性!$A:$C,3,0)&gt;单英雄!$C$4,0,1))</f>
        <v>1</v>
      </c>
      <c r="AB19" s="49">
        <f>IF(AB6="暂无","暂无",IF(VLOOKUP(AB6,装备属性!$A:$C,3,0)&gt;单英雄!$C$4,0,1))</f>
        <v>1</v>
      </c>
      <c r="AC19" s="49">
        <f>IF(AC6="暂无","暂无",IF(VLOOKUP(AC6,装备属性!$A:$C,3,0)&gt;单英雄!$C$4,0,1))</f>
        <v>1</v>
      </c>
      <c r="AG19" s="234"/>
      <c r="AH19" s="232"/>
      <c r="AI19" s="49">
        <f>VLOOKUP(单英雄!$C$2,英雄初始!$A:$K,6,0)</f>
        <v>570</v>
      </c>
      <c r="AJ19" s="49">
        <f>VLOOKUP(单英雄!$C$2,英雄初始!$A:$K,7,0)</f>
        <v>51</v>
      </c>
      <c r="AK19" s="49">
        <f>VLOOKUP(单英雄!$C$2,英雄初始!$A:$K,8,0)</f>
        <v>37</v>
      </c>
      <c r="AL19" s="49">
        <f>VLOOKUP(单英雄!$C$2,英雄初始!$A:$K,9,0)</f>
        <v>5</v>
      </c>
      <c r="AM19" s="49">
        <f>VLOOKUP(单英雄!$C$2,英雄初始!$A:$K,10,0)</f>
        <v>2</v>
      </c>
      <c r="AN19" s="49">
        <f>VLOOKUP(单英雄!$C$2,英雄初始!$A:$K,11,0)</f>
        <v>9</v>
      </c>
    </row>
    <row r="20" spans="2:54">
      <c r="B20" s="49" t="str">
        <f>英雄初始!A21</f>
        <v>剑圣</v>
      </c>
      <c r="E20" s="49" t="str">
        <f>进阶奖励!$A24</f>
        <v>紫+3</v>
      </c>
      <c r="F20" s="49">
        <v>10</v>
      </c>
      <c r="G20" s="146">
        <f>VLOOKUP(单英雄!$C$2,中介表格1!$H:$T,11,0)</f>
        <v>78</v>
      </c>
      <c r="H20" s="54" t="s">
        <v>173</v>
      </c>
      <c r="I20" s="51">
        <f>MAX(VLOOKUP(INDEX(英雄装备!$F:$BZ,MATCH($H20,英雄装备!$F:$F,0),MATCH(I$2,英雄装备!$1:$1,0)-5),装备属性!$A:$C,3,0),VLOOKUP(INDEX(英雄装备!$F:$BZ,MATCH($H20,英雄装备!$F:$F,0),MATCH(I$2,英雄装备!$1:$1,0)-4),装备属性!$A:$C,3,0),VLOOKUP(INDEX(英雄装备!$F:$BZ,MATCH($H20,英雄装备!$F:$F,0),MATCH(I$2,英雄装备!$1:$1,0)-3),装备属性!$A:$C,3,0),VLOOKUP(INDEX(英雄装备!$F:$BZ,MATCH($H20,英雄装备!$F:$F,0),MATCH(I$2,英雄装备!$1:$1,0)-2),装备属性!$A:$C,3,0),VLOOKUP(INDEX(英雄装备!$F:$BZ,MATCH($H20,英雄装备!$F:$F,0),MATCH(I$2,英雄装备!$1:$1,0)-1),装备属性!$A:$C,3,0),VLOOKUP(INDEX(英雄装备!$F:$BZ,MATCH($H20,英雄装备!$F:$F,0),MATCH(I$2,英雄装备!$1:$1,0)),装备属性!$A:$C,3,0))</f>
        <v>2</v>
      </c>
      <c r="J20" s="51">
        <f>MAX(VLOOKUP(INDEX(英雄装备!$F:$BZ,MATCH($H20,英雄装备!$F:$F,0),MATCH(J$2,英雄装备!$1:$1,0)-5),装备属性!$A:$C,3,0),VLOOKUP(INDEX(英雄装备!$F:$BZ,MATCH($H20,英雄装备!$F:$F,0),MATCH(J$2,英雄装备!$1:$1,0)-4),装备属性!$A:$C,3,0),VLOOKUP(INDEX(英雄装备!$F:$BZ,MATCH($H20,英雄装备!$F:$F,0),MATCH(J$2,英雄装备!$1:$1,0)-3),装备属性!$A:$C,3,0),VLOOKUP(INDEX(英雄装备!$F:$BZ,MATCH($H20,英雄装备!$F:$F,0),MATCH(J$2,英雄装备!$1:$1,0)-2),装备属性!$A:$C,3,0),VLOOKUP(INDEX(英雄装备!$F:$BZ,MATCH($H20,英雄装备!$F:$F,0),MATCH(J$2,英雄装备!$1:$1,0)-1),装备属性!$A:$C,3,0),VLOOKUP(INDEX(英雄装备!$F:$BZ,MATCH($H20,英雄装备!$F:$F,0),MATCH(J$2,英雄装备!$1:$1,0)),装备属性!$A:$C,3,0))</f>
        <v>10</v>
      </c>
      <c r="K20" s="51">
        <f>MAX(VLOOKUP(INDEX(英雄装备!$F:$BZ,MATCH($H20,英雄装备!$F:$F,0),MATCH(K$2,英雄装备!$1:$1,0)-5),装备属性!$A:$C,3,0),VLOOKUP(INDEX(英雄装备!$F:$BZ,MATCH($H20,英雄装备!$F:$F,0),MATCH(K$2,英雄装备!$1:$1,0)-4),装备属性!$A:$C,3,0),VLOOKUP(INDEX(英雄装备!$F:$BZ,MATCH($H20,英雄装备!$F:$F,0),MATCH(K$2,英雄装备!$1:$1,0)-3),装备属性!$A:$C,3,0),VLOOKUP(INDEX(英雄装备!$F:$BZ,MATCH($H20,英雄装备!$F:$F,0),MATCH(K$2,英雄装备!$1:$1,0)-2),装备属性!$A:$C,3,0),VLOOKUP(INDEX(英雄装备!$F:$BZ,MATCH($H20,英雄装备!$F:$F,0),MATCH(K$2,英雄装备!$1:$1,0)-1),装备属性!$A:$C,3,0),VLOOKUP(INDEX(英雄装备!$F:$BZ,MATCH($H20,英雄装备!$F:$F,0),MATCH(K$2,英雄装备!$1:$1,0)),装备属性!$A:$C,3,0))</f>
        <v>23</v>
      </c>
      <c r="L20" s="51">
        <f>MAX(VLOOKUP(INDEX(英雄装备!$F:$BZ,MATCH($H20,英雄装备!$F:$F,0),MATCH(L$2,英雄装备!$1:$1,0)-5),装备属性!$A:$C,3,0),VLOOKUP(INDEX(英雄装备!$F:$BZ,MATCH($H20,英雄装备!$F:$F,0),MATCH(L$2,英雄装备!$1:$1,0)-4),装备属性!$A:$C,3,0),VLOOKUP(INDEX(英雄装备!$F:$BZ,MATCH($H20,英雄装备!$F:$F,0),MATCH(L$2,英雄装备!$1:$1,0)-3),装备属性!$A:$C,3,0),VLOOKUP(INDEX(英雄装备!$F:$BZ,MATCH($H20,英雄装备!$F:$F,0),MATCH(L$2,英雄装备!$1:$1,0)-2),装备属性!$A:$C,3,0),VLOOKUP(INDEX(英雄装备!$F:$BZ,MATCH($H20,英雄装备!$F:$F,0),MATCH(L$2,英雄装备!$1:$1,0)-1),装备属性!$A:$C,3,0),VLOOKUP(INDEX(英雄装备!$F:$BZ,MATCH($H20,英雄装备!$F:$F,0),MATCH(L$2,英雄装备!$1:$1,0)),装备属性!$A:$C,3,0))</f>
        <v>37</v>
      </c>
      <c r="M20" s="51">
        <f>MAX(VLOOKUP(INDEX(英雄装备!$F:$BZ,MATCH($H20,英雄装备!$F:$F,0),MATCH(M$2,英雄装备!$1:$1,0)-5),装备属性!$A:$C,3,0),VLOOKUP(INDEX(英雄装备!$F:$BZ,MATCH($H20,英雄装备!$F:$F,0),MATCH(M$2,英雄装备!$1:$1,0)-4),装备属性!$A:$C,3,0),VLOOKUP(INDEX(英雄装备!$F:$BZ,MATCH($H20,英雄装备!$F:$F,0),MATCH(M$2,英雄装备!$1:$1,0)-3),装备属性!$A:$C,3,0),VLOOKUP(INDEX(英雄装备!$F:$BZ,MATCH($H20,英雄装备!$F:$F,0),MATCH(M$2,英雄装备!$1:$1,0)-2),装备属性!$A:$C,3,0),VLOOKUP(INDEX(英雄装备!$F:$BZ,MATCH($H20,英雄装备!$F:$F,0),MATCH(M$2,英雄装备!$1:$1,0)-1),装备属性!$A:$C,3,0),VLOOKUP(INDEX(英雄装备!$F:$BZ,MATCH($H20,英雄装备!$F:$F,0),MATCH(M$2,英雄装备!$1:$1,0)),装备属性!$A:$C,3,0))</f>
        <v>44</v>
      </c>
      <c r="N20" s="51">
        <f>MAX(VLOOKUP(INDEX(英雄装备!$F:$BZ,MATCH($H20,英雄装备!$F:$F,0),MATCH(N$2,英雄装备!$1:$1,0)-5),装备属性!$A:$C,3,0),VLOOKUP(INDEX(英雄装备!$F:$BZ,MATCH($H20,英雄装备!$F:$F,0),MATCH(N$2,英雄装备!$1:$1,0)-4),装备属性!$A:$C,3,0),VLOOKUP(INDEX(英雄装备!$F:$BZ,MATCH($H20,英雄装备!$F:$F,0),MATCH(N$2,英雄装备!$1:$1,0)-3),装备属性!$A:$C,3,0),VLOOKUP(INDEX(英雄装备!$F:$BZ,MATCH($H20,英雄装备!$F:$F,0),MATCH(N$2,英雄装备!$1:$1,0)-2),装备属性!$A:$C,3,0),VLOOKUP(INDEX(英雄装备!$F:$BZ,MATCH($H20,英雄装备!$F:$F,0),MATCH(N$2,英雄装备!$1:$1,0)-1),装备属性!$A:$C,3,0),VLOOKUP(INDEX(英雄装备!$F:$BZ,MATCH($H20,英雄装备!$F:$F,0),MATCH(N$2,英雄装备!$1:$1,0)),装备属性!$A:$C,3,0))</f>
        <v>51</v>
      </c>
      <c r="O20" s="51">
        <f>MAX(VLOOKUP(INDEX(英雄装备!$F:$BZ,MATCH($H20,英雄装备!$F:$F,0),MATCH(O$2,英雄装备!$1:$1,0)-5),装备属性!$A:$C,3,0),VLOOKUP(INDEX(英雄装备!$F:$BZ,MATCH($H20,英雄装备!$F:$F,0),MATCH(O$2,英雄装备!$1:$1,0)-4),装备属性!$A:$C,3,0),VLOOKUP(INDEX(英雄装备!$F:$BZ,MATCH($H20,英雄装备!$F:$F,0),MATCH(O$2,英雄装备!$1:$1,0)-3),装备属性!$A:$C,3,0),VLOOKUP(INDEX(英雄装备!$F:$BZ,MATCH($H20,英雄装备!$F:$F,0),MATCH(O$2,英雄装备!$1:$1,0)-2),装备属性!$A:$C,3,0),VLOOKUP(INDEX(英雄装备!$F:$BZ,MATCH($H20,英雄装备!$F:$F,0),MATCH(O$2,英雄装备!$1:$1,0)-1),装备属性!$A:$C,3,0),VLOOKUP(INDEX(英雄装备!$F:$BZ,MATCH($H20,英雄装备!$F:$F,0),MATCH(O$2,英雄装备!$1:$1,0)),装备属性!$A:$C,3,0))</f>
        <v>65</v>
      </c>
      <c r="P20" s="51">
        <f>MAX(VLOOKUP(INDEX(英雄装备!$F:$BZ,MATCH($H20,英雄装备!$F:$F,0),MATCH(P$2,英雄装备!$1:$1,0)-5),装备属性!$A:$C,3,0),VLOOKUP(INDEX(英雄装备!$F:$BZ,MATCH($H20,英雄装备!$F:$F,0),MATCH(P$2,英雄装备!$1:$1,0)-4),装备属性!$A:$C,3,0),VLOOKUP(INDEX(英雄装备!$F:$BZ,MATCH($H20,英雄装备!$F:$F,0),MATCH(P$2,英雄装备!$1:$1,0)-3),装备属性!$A:$C,3,0),VLOOKUP(INDEX(英雄装备!$F:$BZ,MATCH($H20,英雄装备!$F:$F,0),MATCH(P$2,英雄装备!$1:$1,0)-2),装备属性!$A:$C,3,0),VLOOKUP(INDEX(英雄装备!$F:$BZ,MATCH($H20,英雄装备!$F:$F,0),MATCH(P$2,英雄装备!$1:$1,0)-1),装备属性!$A:$C,3,0),VLOOKUP(INDEX(英雄装备!$F:$BZ,MATCH($H20,英雄装备!$F:$F,0),MATCH(P$2,英雄装备!$1:$1,0)),装备属性!$A:$C,3,0))</f>
        <v>73</v>
      </c>
      <c r="Q20" s="51">
        <f>MAX(VLOOKUP(INDEX(英雄装备!$F:$BZ,MATCH($H20,英雄装备!$F:$F,0),MATCH(Q$2,英雄装备!$1:$1,0)-5),装备属性!$A:$C,3,0),VLOOKUP(INDEX(英雄装备!$F:$BZ,MATCH($H20,英雄装备!$F:$F,0),MATCH(Q$2,英雄装备!$1:$1,0)-4),装备属性!$A:$C,3,0),VLOOKUP(INDEX(英雄装备!$F:$BZ,MATCH($H20,英雄装备!$F:$F,0),MATCH(Q$2,英雄装备!$1:$1,0)-3),装备属性!$A:$C,3,0),VLOOKUP(INDEX(英雄装备!$F:$BZ,MATCH($H20,英雄装备!$F:$F,0),MATCH(Q$2,英雄装备!$1:$1,0)-2),装备属性!$A:$C,3,0),VLOOKUP(INDEX(英雄装备!$F:$BZ,MATCH($H20,英雄装备!$F:$F,0),MATCH(Q$2,英雄装备!$1:$1,0)-1),装备属性!$A:$C,3,0),VLOOKUP(INDEX(英雄装备!$F:$BZ,MATCH($H20,英雄装备!$F:$F,0),MATCH(Q$2,英雄装备!$1:$1,0)),装备属性!$A:$C,3,0))</f>
        <v>79</v>
      </c>
      <c r="R20" s="51">
        <f>MAX(VLOOKUP(INDEX(英雄装备!$F:$BZ,MATCH($H20,英雄装备!$F:$F,0),MATCH(R$2,英雄装备!$1:$1,0)-5),装备属性!$A:$C,3,0),VLOOKUP(INDEX(英雄装备!$F:$BZ,MATCH($H20,英雄装备!$F:$F,0),MATCH(R$2,英雄装备!$1:$1,0)-4),装备属性!$A:$C,3,0),VLOOKUP(INDEX(英雄装备!$F:$BZ,MATCH($H20,英雄装备!$F:$F,0),MATCH(R$2,英雄装备!$1:$1,0)-3),装备属性!$A:$C,3,0),VLOOKUP(INDEX(英雄装备!$F:$BZ,MATCH($H20,英雄装备!$F:$F,0),MATCH(R$2,英雄装备!$1:$1,0)-2),装备属性!$A:$C,3,0),VLOOKUP(INDEX(英雄装备!$F:$BZ,MATCH($H20,英雄装备!$F:$F,0),MATCH(R$2,英雄装备!$1:$1,0)-1),装备属性!$A:$C,3,0),VLOOKUP(INDEX(英雄装备!$F:$BZ,MATCH($H20,英雄装备!$F:$F,0),MATCH(R$2,英雄装备!$1:$1,0)),装备属性!$A:$C,3,0))</f>
        <v>80</v>
      </c>
      <c r="S20" s="51">
        <f>MAX(VLOOKUP(INDEX(英雄装备!$F:$BZ,MATCH($H20,英雄装备!$F:$F,0),MATCH(S$2,英雄装备!$1:$1,0)-5),装备属性!$A:$C,3,0),VLOOKUP(INDEX(英雄装备!$F:$BZ,MATCH($H20,英雄装备!$F:$F,0),MATCH(S$2,英雄装备!$1:$1,0)-4),装备属性!$A:$C,3,0),VLOOKUP(INDEX(英雄装备!$F:$BZ,MATCH($H20,英雄装备!$F:$F,0),MATCH(S$2,英雄装备!$1:$1,0)-3),装备属性!$A:$C,3,0),VLOOKUP(INDEX(英雄装备!$F:$BZ,MATCH($H20,英雄装备!$F:$F,0),MATCH(S$2,英雄装备!$1:$1,0)-2),装备属性!$A:$C,3,0),VLOOKUP(INDEX(英雄装备!$F:$BZ,MATCH($H20,英雄装备!$F:$F,0),MATCH(S$2,英雄装备!$1:$1,0)-1),装备属性!$A:$C,3,0),VLOOKUP(INDEX(英雄装备!$F:$BZ,MATCH($H20,英雄装备!$F:$F,0),MATCH(S$2,英雄装备!$1:$1,0)),装备属性!$A:$C,3,0))</f>
        <v>85</v>
      </c>
      <c r="T20" s="51">
        <f>MAX(VLOOKUP(INDEX(英雄装备!$F:$BZ,MATCH($H20,英雄装备!$F:$F,0),MATCH(T$2,英雄装备!$1:$1,0)-5),装备属性!$A:$C,3,0),VLOOKUP(INDEX(英雄装备!$F:$BZ,MATCH($H20,英雄装备!$F:$F,0),MATCH(T$2,英雄装备!$1:$1,0)-4),装备属性!$A:$C,3,0),VLOOKUP(INDEX(英雄装备!$F:$BZ,MATCH($H20,英雄装备!$F:$F,0),MATCH(T$2,英雄装备!$1:$1,0)-3),装备属性!$A:$C,3,0),VLOOKUP(INDEX(英雄装备!$F:$BZ,MATCH($H20,英雄装备!$F:$F,0),MATCH(T$2,英雄装备!$1:$1,0)-2),装备属性!$A:$C,3,0),VLOOKUP(INDEX(英雄装备!$F:$BZ,MATCH($H20,英雄装备!$F:$F,0),MATCH(T$2,英雄装备!$1:$1,0)-1),装备属性!$A:$C,3,0))</f>
        <v>89</v>
      </c>
      <c r="W20" s="55">
        <f t="shared" si="3"/>
        <v>1</v>
      </c>
      <c r="X20" s="49">
        <f>IF(X7="暂无","暂无",IF(VLOOKUP(X7,装备属性!$A:$C,3,0)&gt;单英雄!$C$4,0,1))</f>
        <v>1</v>
      </c>
      <c r="Y20" s="49">
        <f>IF(Y7="暂无","暂无",IF(VLOOKUP(Y7,装备属性!$A:$C,3,0)&gt;单英雄!$C$4,0,1))</f>
        <v>1</v>
      </c>
      <c r="Z20" s="49">
        <f>IF(Z7="暂无","暂无",IF(VLOOKUP(Z7,装备属性!$A:$C,3,0)&gt;单英雄!$C$4,0,1))</f>
        <v>1</v>
      </c>
      <c r="AA20" s="49">
        <f>IF(AA7="暂无","暂无",IF(VLOOKUP(AA7,装备属性!$A:$C,3,0)&gt;单英雄!$C$4,0,1))</f>
        <v>1</v>
      </c>
      <c r="AB20" s="49">
        <f>IF(AB7="暂无","暂无",IF(VLOOKUP(AB7,装备属性!$A:$C,3,0)&gt;单英雄!$C$4,0,1))</f>
        <v>1</v>
      </c>
      <c r="AC20" s="49">
        <f>IF(AC7="暂无","暂无",IF(VLOOKUP(AC7,装备属性!$A:$C,3,0)&gt;单英雄!$C$4,0,1))</f>
        <v>1</v>
      </c>
    </row>
    <row r="21" spans="2:54">
      <c r="B21" s="49" t="str">
        <f>英雄初始!A22</f>
        <v>巨魔</v>
      </c>
      <c r="E21" s="112" t="str">
        <f>进阶奖励!$A25</f>
        <v>紫+4</v>
      </c>
      <c r="F21" s="49">
        <v>11</v>
      </c>
      <c r="G21" s="146">
        <f>VLOOKUP(单英雄!$C$2,中介表格1!$H:$T,12,0)</f>
        <v>85</v>
      </c>
      <c r="H21" s="54" t="s">
        <v>174</v>
      </c>
      <c r="I21" s="51">
        <f>MAX(VLOOKUP(INDEX(英雄装备!$F:$BZ,MATCH($H21,英雄装备!$F:$F,0),MATCH(I$2,英雄装备!$1:$1,0)-5),装备属性!$A:$C,3,0),VLOOKUP(INDEX(英雄装备!$F:$BZ,MATCH($H21,英雄装备!$F:$F,0),MATCH(I$2,英雄装备!$1:$1,0)-4),装备属性!$A:$C,3,0),VLOOKUP(INDEX(英雄装备!$F:$BZ,MATCH($H21,英雄装备!$F:$F,0),MATCH(I$2,英雄装备!$1:$1,0)-3),装备属性!$A:$C,3,0),VLOOKUP(INDEX(英雄装备!$F:$BZ,MATCH($H21,英雄装备!$F:$F,0),MATCH(I$2,英雄装备!$1:$1,0)-2),装备属性!$A:$C,3,0),VLOOKUP(INDEX(英雄装备!$F:$BZ,MATCH($H21,英雄装备!$F:$F,0),MATCH(I$2,英雄装备!$1:$1,0)-1),装备属性!$A:$C,3,0),VLOOKUP(INDEX(英雄装备!$F:$BZ,MATCH($H21,英雄装备!$F:$F,0),MATCH(I$2,英雄装备!$1:$1,0)),装备属性!$A:$C,3,0))</f>
        <v>2</v>
      </c>
      <c r="J21" s="51">
        <f>MAX(VLOOKUP(INDEX(英雄装备!$F:$BZ,MATCH($H21,英雄装备!$F:$F,0),MATCH(J$2,英雄装备!$1:$1,0)-5),装备属性!$A:$C,3,0),VLOOKUP(INDEX(英雄装备!$F:$BZ,MATCH($H21,英雄装备!$F:$F,0),MATCH(J$2,英雄装备!$1:$1,0)-4),装备属性!$A:$C,3,0),VLOOKUP(INDEX(英雄装备!$F:$BZ,MATCH($H21,英雄装备!$F:$F,0),MATCH(J$2,英雄装备!$1:$1,0)-3),装备属性!$A:$C,3,0),VLOOKUP(INDEX(英雄装备!$F:$BZ,MATCH($H21,英雄装备!$F:$F,0),MATCH(J$2,英雄装备!$1:$1,0)-2),装备属性!$A:$C,3,0),VLOOKUP(INDEX(英雄装备!$F:$BZ,MATCH($H21,英雄装备!$F:$F,0),MATCH(J$2,英雄装备!$1:$1,0)-1),装备属性!$A:$C,3,0),VLOOKUP(INDEX(英雄装备!$F:$BZ,MATCH($H21,英雄装备!$F:$F,0),MATCH(J$2,英雄装备!$1:$1,0)),装备属性!$A:$C,3,0))</f>
        <v>10</v>
      </c>
      <c r="K21" s="51">
        <f>MAX(VLOOKUP(INDEX(英雄装备!$F:$BZ,MATCH($H21,英雄装备!$F:$F,0),MATCH(K$2,英雄装备!$1:$1,0)-5),装备属性!$A:$C,3,0),VLOOKUP(INDEX(英雄装备!$F:$BZ,MATCH($H21,英雄装备!$F:$F,0),MATCH(K$2,英雄装备!$1:$1,0)-4),装备属性!$A:$C,3,0),VLOOKUP(INDEX(英雄装备!$F:$BZ,MATCH($H21,英雄装备!$F:$F,0),MATCH(K$2,英雄装备!$1:$1,0)-3),装备属性!$A:$C,3,0),VLOOKUP(INDEX(英雄装备!$F:$BZ,MATCH($H21,英雄装备!$F:$F,0),MATCH(K$2,英雄装备!$1:$1,0)-2),装备属性!$A:$C,3,0),VLOOKUP(INDEX(英雄装备!$F:$BZ,MATCH($H21,英雄装备!$F:$F,0),MATCH(K$2,英雄装备!$1:$1,0)-1),装备属性!$A:$C,3,0),VLOOKUP(INDEX(英雄装备!$F:$BZ,MATCH($H21,英雄装备!$F:$F,0),MATCH(K$2,英雄装备!$1:$1,0)),装备属性!$A:$C,3,0))</f>
        <v>24</v>
      </c>
      <c r="L21" s="51">
        <f>MAX(VLOOKUP(INDEX(英雄装备!$F:$BZ,MATCH($H21,英雄装备!$F:$F,0),MATCH(L$2,英雄装备!$1:$1,0)-5),装备属性!$A:$C,3,0),VLOOKUP(INDEX(英雄装备!$F:$BZ,MATCH($H21,英雄装备!$F:$F,0),MATCH(L$2,英雄装备!$1:$1,0)-4),装备属性!$A:$C,3,0),VLOOKUP(INDEX(英雄装备!$F:$BZ,MATCH($H21,英雄装备!$F:$F,0),MATCH(L$2,英雄装备!$1:$1,0)-3),装备属性!$A:$C,3,0),VLOOKUP(INDEX(英雄装备!$F:$BZ,MATCH($H21,英雄装备!$F:$F,0),MATCH(L$2,英雄装备!$1:$1,0)-2),装备属性!$A:$C,3,0),VLOOKUP(INDEX(英雄装备!$F:$BZ,MATCH($H21,英雄装备!$F:$F,0),MATCH(L$2,英雄装备!$1:$1,0)-1),装备属性!$A:$C,3,0),VLOOKUP(INDEX(英雄装备!$F:$BZ,MATCH($H21,英雄装备!$F:$F,0),MATCH(L$2,英雄装备!$1:$1,0)),装备属性!$A:$C,3,0))</f>
        <v>37</v>
      </c>
      <c r="M21" s="51">
        <f>MAX(VLOOKUP(INDEX(英雄装备!$F:$BZ,MATCH($H21,英雄装备!$F:$F,0),MATCH(M$2,英雄装备!$1:$1,0)-5),装备属性!$A:$C,3,0),VLOOKUP(INDEX(英雄装备!$F:$BZ,MATCH($H21,英雄装备!$F:$F,0),MATCH(M$2,英雄装备!$1:$1,0)-4),装备属性!$A:$C,3,0),VLOOKUP(INDEX(英雄装备!$F:$BZ,MATCH($H21,英雄装备!$F:$F,0),MATCH(M$2,英雄装备!$1:$1,0)-3),装备属性!$A:$C,3,0),VLOOKUP(INDEX(英雄装备!$F:$BZ,MATCH($H21,英雄装备!$F:$F,0),MATCH(M$2,英雄装备!$1:$1,0)-2),装备属性!$A:$C,3,0),VLOOKUP(INDEX(英雄装备!$F:$BZ,MATCH($H21,英雄装备!$F:$F,0),MATCH(M$2,英雄装备!$1:$1,0)-1),装备属性!$A:$C,3,0),VLOOKUP(INDEX(英雄装备!$F:$BZ,MATCH($H21,英雄装备!$F:$F,0),MATCH(M$2,英雄装备!$1:$1,0)),装备属性!$A:$C,3,0))</f>
        <v>44</v>
      </c>
      <c r="N21" s="51">
        <f>MAX(VLOOKUP(INDEX(英雄装备!$F:$BZ,MATCH($H21,英雄装备!$F:$F,0),MATCH(N$2,英雄装备!$1:$1,0)-5),装备属性!$A:$C,3,0),VLOOKUP(INDEX(英雄装备!$F:$BZ,MATCH($H21,英雄装备!$F:$F,0),MATCH(N$2,英雄装备!$1:$1,0)-4),装备属性!$A:$C,3,0),VLOOKUP(INDEX(英雄装备!$F:$BZ,MATCH($H21,英雄装备!$F:$F,0),MATCH(N$2,英雄装备!$1:$1,0)-3),装备属性!$A:$C,3,0),VLOOKUP(INDEX(英雄装备!$F:$BZ,MATCH($H21,英雄装备!$F:$F,0),MATCH(N$2,英雄装备!$1:$1,0)-2),装备属性!$A:$C,3,0),VLOOKUP(INDEX(英雄装备!$F:$BZ,MATCH($H21,英雄装备!$F:$F,0),MATCH(N$2,英雄装备!$1:$1,0)-1),装备属性!$A:$C,3,0),VLOOKUP(INDEX(英雄装备!$F:$BZ,MATCH($H21,英雄装备!$F:$F,0),MATCH(N$2,英雄装备!$1:$1,0)),装备属性!$A:$C,3,0))</f>
        <v>50</v>
      </c>
      <c r="O21" s="51">
        <f>MAX(VLOOKUP(INDEX(英雄装备!$F:$BZ,MATCH($H21,英雄装备!$F:$F,0),MATCH(O$2,英雄装备!$1:$1,0)-5),装备属性!$A:$C,3,0),VLOOKUP(INDEX(英雄装备!$F:$BZ,MATCH($H21,英雄装备!$F:$F,0),MATCH(O$2,英雄装备!$1:$1,0)-4),装备属性!$A:$C,3,0),VLOOKUP(INDEX(英雄装备!$F:$BZ,MATCH($H21,英雄装备!$F:$F,0),MATCH(O$2,英雄装备!$1:$1,0)-3),装备属性!$A:$C,3,0),VLOOKUP(INDEX(英雄装备!$F:$BZ,MATCH($H21,英雄装备!$F:$F,0),MATCH(O$2,英雄装备!$1:$1,0)-2),装备属性!$A:$C,3,0),VLOOKUP(INDEX(英雄装备!$F:$BZ,MATCH($H21,英雄装备!$F:$F,0),MATCH(O$2,英雄装备!$1:$1,0)-1),装备属性!$A:$C,3,0),VLOOKUP(INDEX(英雄装备!$F:$BZ,MATCH($H21,英雄装备!$F:$F,0),MATCH(O$2,英雄装备!$1:$1,0)),装备属性!$A:$C,3,0))</f>
        <v>64</v>
      </c>
      <c r="P21" s="51">
        <f>MAX(VLOOKUP(INDEX(英雄装备!$F:$BZ,MATCH($H21,英雄装备!$F:$F,0),MATCH(P$2,英雄装备!$1:$1,0)-5),装备属性!$A:$C,3,0),VLOOKUP(INDEX(英雄装备!$F:$BZ,MATCH($H21,英雄装备!$F:$F,0),MATCH(P$2,英雄装备!$1:$1,0)-4),装备属性!$A:$C,3,0),VLOOKUP(INDEX(英雄装备!$F:$BZ,MATCH($H21,英雄装备!$F:$F,0),MATCH(P$2,英雄装备!$1:$1,0)-3),装备属性!$A:$C,3,0),VLOOKUP(INDEX(英雄装备!$F:$BZ,MATCH($H21,英雄装备!$F:$F,0),MATCH(P$2,英雄装备!$1:$1,0)-2),装备属性!$A:$C,3,0),VLOOKUP(INDEX(英雄装备!$F:$BZ,MATCH($H21,英雄装备!$F:$F,0),MATCH(P$2,英雄装备!$1:$1,0)-1),装备属性!$A:$C,3,0),VLOOKUP(INDEX(英雄装备!$F:$BZ,MATCH($H21,英雄装备!$F:$F,0),MATCH(P$2,英雄装备!$1:$1,0)),装备属性!$A:$C,3,0))</f>
        <v>73</v>
      </c>
      <c r="Q21" s="51">
        <f>MAX(VLOOKUP(INDEX(英雄装备!$F:$BZ,MATCH($H21,英雄装备!$F:$F,0),MATCH(Q$2,英雄装备!$1:$1,0)-5),装备属性!$A:$C,3,0),VLOOKUP(INDEX(英雄装备!$F:$BZ,MATCH($H21,英雄装备!$F:$F,0),MATCH(Q$2,英雄装备!$1:$1,0)-4),装备属性!$A:$C,3,0),VLOOKUP(INDEX(英雄装备!$F:$BZ,MATCH($H21,英雄装备!$F:$F,0),MATCH(Q$2,英雄装备!$1:$1,0)-3),装备属性!$A:$C,3,0),VLOOKUP(INDEX(英雄装备!$F:$BZ,MATCH($H21,英雄装备!$F:$F,0),MATCH(Q$2,英雄装备!$1:$1,0)-2),装备属性!$A:$C,3,0),VLOOKUP(INDEX(英雄装备!$F:$BZ,MATCH($H21,英雄装备!$F:$F,0),MATCH(Q$2,英雄装备!$1:$1,0)-1),装备属性!$A:$C,3,0),VLOOKUP(INDEX(英雄装备!$F:$BZ,MATCH($H21,英雄装备!$F:$F,0),MATCH(Q$2,英雄装备!$1:$1,0)),装备属性!$A:$C,3,0))</f>
        <v>80</v>
      </c>
      <c r="R21" s="51">
        <f>MAX(VLOOKUP(INDEX(英雄装备!$F:$BZ,MATCH($H21,英雄装备!$F:$F,0),MATCH(R$2,英雄装备!$1:$1,0)-5),装备属性!$A:$C,3,0),VLOOKUP(INDEX(英雄装备!$F:$BZ,MATCH($H21,英雄装备!$F:$F,0),MATCH(R$2,英雄装备!$1:$1,0)-4),装备属性!$A:$C,3,0),VLOOKUP(INDEX(英雄装备!$F:$BZ,MATCH($H21,英雄装备!$F:$F,0),MATCH(R$2,英雄装备!$1:$1,0)-3),装备属性!$A:$C,3,0),VLOOKUP(INDEX(英雄装备!$F:$BZ,MATCH($H21,英雄装备!$F:$F,0),MATCH(R$2,英雄装备!$1:$1,0)-2),装备属性!$A:$C,3,0),VLOOKUP(INDEX(英雄装备!$F:$BZ,MATCH($H21,英雄装备!$F:$F,0),MATCH(R$2,英雄装备!$1:$1,0)-1),装备属性!$A:$C,3,0),VLOOKUP(INDEX(英雄装备!$F:$BZ,MATCH($H21,英雄装备!$F:$F,0),MATCH(R$2,英雄装备!$1:$1,0)),装备属性!$A:$C,3,0))</f>
        <v>79</v>
      </c>
      <c r="S21" s="51">
        <f>MAX(VLOOKUP(INDEX(英雄装备!$F:$BZ,MATCH($H21,英雄装备!$F:$F,0),MATCH(S$2,英雄装备!$1:$1,0)-5),装备属性!$A:$C,3,0),VLOOKUP(INDEX(英雄装备!$F:$BZ,MATCH($H21,英雄装备!$F:$F,0),MATCH(S$2,英雄装备!$1:$1,0)-4),装备属性!$A:$C,3,0),VLOOKUP(INDEX(英雄装备!$F:$BZ,MATCH($H21,英雄装备!$F:$F,0),MATCH(S$2,英雄装备!$1:$1,0)-3),装备属性!$A:$C,3,0),VLOOKUP(INDEX(英雄装备!$F:$BZ,MATCH($H21,英雄装备!$F:$F,0),MATCH(S$2,英雄装备!$1:$1,0)-2),装备属性!$A:$C,3,0),VLOOKUP(INDEX(英雄装备!$F:$BZ,MATCH($H21,英雄装备!$F:$F,0),MATCH(S$2,英雄装备!$1:$1,0)-1),装备属性!$A:$C,3,0),VLOOKUP(INDEX(英雄装备!$F:$BZ,MATCH($H21,英雄装备!$F:$F,0),MATCH(S$2,英雄装备!$1:$1,0)),装备属性!$A:$C,3,0))</f>
        <v>85</v>
      </c>
      <c r="T21" s="51">
        <f>MAX(VLOOKUP(INDEX(英雄装备!$F:$BZ,MATCH($H21,英雄装备!$F:$F,0),MATCH(T$2,英雄装备!$1:$1,0)-5),装备属性!$A:$C,3,0),VLOOKUP(INDEX(英雄装备!$F:$BZ,MATCH($H21,英雄装备!$F:$F,0),MATCH(T$2,英雄装备!$1:$1,0)-4),装备属性!$A:$C,3,0),VLOOKUP(INDEX(英雄装备!$F:$BZ,MATCH($H21,英雄装备!$F:$F,0),MATCH(T$2,英雄装备!$1:$1,0)-3),装备属性!$A:$C,3,0),VLOOKUP(INDEX(英雄装备!$F:$BZ,MATCH($H21,英雄装备!$F:$F,0),MATCH(T$2,英雄装备!$1:$1,0)-2),装备属性!$A:$C,3,0),VLOOKUP(INDEX(英雄装备!$F:$BZ,MATCH($H21,英雄装备!$F:$F,0),MATCH(T$2,英雄装备!$1:$1,0)-1),装备属性!$A:$C,3,0))</f>
        <v>89</v>
      </c>
      <c r="W21" s="55">
        <f t="shared" si="3"/>
        <v>1</v>
      </c>
      <c r="X21" s="49">
        <f>IF(X8="暂无","暂无",IF(VLOOKUP(X8,装备属性!$A:$C,3,0)&gt;单英雄!$C$4,0,1))</f>
        <v>1</v>
      </c>
      <c r="Y21" s="49">
        <f>IF(Y8="暂无","暂无",IF(VLOOKUP(Y8,装备属性!$A:$C,3,0)&gt;单英雄!$C$4,0,1))</f>
        <v>1</v>
      </c>
      <c r="Z21" s="49">
        <f>IF(Z8="暂无","暂无",IF(VLOOKUP(Z8,装备属性!$A:$C,3,0)&gt;单英雄!$C$4,0,1))</f>
        <v>1</v>
      </c>
      <c r="AA21" s="49">
        <f>IF(AA8="暂无","暂无",IF(VLOOKUP(AA8,装备属性!$A:$C,3,0)&gt;单英雄!$C$4,0,1))</f>
        <v>1</v>
      </c>
      <c r="AB21" s="49">
        <f>IF(AB8="暂无","暂无",IF(VLOOKUP(AB8,装备属性!$A:$C,3,0)&gt;单英雄!$C$4,0,1))</f>
        <v>1</v>
      </c>
      <c r="AC21" s="49">
        <f>IF(AC8="暂无","暂无",IF(VLOOKUP(AC8,装备属性!$A:$C,3,0)&gt;单英雄!$C$4,0,1))</f>
        <v>1</v>
      </c>
    </row>
    <row r="22" spans="2:54">
      <c r="B22" s="49" t="str">
        <f>英雄初始!A23</f>
        <v>拍拍熊</v>
      </c>
      <c r="E22" s="112" t="str">
        <f>进阶奖励!$A26</f>
        <v>橙</v>
      </c>
      <c r="F22" s="49">
        <v>12</v>
      </c>
      <c r="G22" s="146">
        <f>VLOOKUP(单英雄!$C$2,中介表格1!$H:$T,13,0)</f>
        <v>89</v>
      </c>
      <c r="H22" s="54" t="s">
        <v>175</v>
      </c>
      <c r="I22" s="51">
        <f>MAX(VLOOKUP(INDEX(英雄装备!$F:$BZ,MATCH($H22,英雄装备!$F:$F,0),MATCH(I$2,英雄装备!$1:$1,0)-5),装备属性!$A:$C,3,0),VLOOKUP(INDEX(英雄装备!$F:$BZ,MATCH($H22,英雄装备!$F:$F,0),MATCH(I$2,英雄装备!$1:$1,0)-4),装备属性!$A:$C,3,0),VLOOKUP(INDEX(英雄装备!$F:$BZ,MATCH($H22,英雄装备!$F:$F,0),MATCH(I$2,英雄装备!$1:$1,0)-3),装备属性!$A:$C,3,0),VLOOKUP(INDEX(英雄装备!$F:$BZ,MATCH($H22,英雄装备!$F:$F,0),MATCH(I$2,英雄装备!$1:$1,0)-2),装备属性!$A:$C,3,0),VLOOKUP(INDEX(英雄装备!$F:$BZ,MATCH($H22,英雄装备!$F:$F,0),MATCH(I$2,英雄装备!$1:$1,0)-1),装备属性!$A:$C,3,0),VLOOKUP(INDEX(英雄装备!$F:$BZ,MATCH($H22,英雄装备!$F:$F,0),MATCH(I$2,英雄装备!$1:$1,0)),装备属性!$A:$C,3,0))</f>
        <v>2</v>
      </c>
      <c r="J22" s="51">
        <f>MAX(VLOOKUP(INDEX(英雄装备!$F:$BZ,MATCH($H22,英雄装备!$F:$F,0),MATCH(J$2,英雄装备!$1:$1,0)-5),装备属性!$A:$C,3,0),VLOOKUP(INDEX(英雄装备!$F:$BZ,MATCH($H22,英雄装备!$F:$F,0),MATCH(J$2,英雄装备!$1:$1,0)-4),装备属性!$A:$C,3,0),VLOOKUP(INDEX(英雄装备!$F:$BZ,MATCH($H22,英雄装备!$F:$F,0),MATCH(J$2,英雄装备!$1:$1,0)-3),装备属性!$A:$C,3,0),VLOOKUP(INDEX(英雄装备!$F:$BZ,MATCH($H22,英雄装备!$F:$F,0),MATCH(J$2,英雄装备!$1:$1,0)-2),装备属性!$A:$C,3,0),VLOOKUP(INDEX(英雄装备!$F:$BZ,MATCH($H22,英雄装备!$F:$F,0),MATCH(J$2,英雄装备!$1:$1,0)-1),装备属性!$A:$C,3,0),VLOOKUP(INDEX(英雄装备!$F:$BZ,MATCH($H22,英雄装备!$F:$F,0),MATCH(J$2,英雄装备!$1:$1,0)),装备属性!$A:$C,3,0))</f>
        <v>10</v>
      </c>
      <c r="K22" s="51">
        <f>MAX(VLOOKUP(INDEX(英雄装备!$F:$BZ,MATCH($H22,英雄装备!$F:$F,0),MATCH(K$2,英雄装备!$1:$1,0)-5),装备属性!$A:$C,3,0),VLOOKUP(INDEX(英雄装备!$F:$BZ,MATCH($H22,英雄装备!$F:$F,0),MATCH(K$2,英雄装备!$1:$1,0)-4),装备属性!$A:$C,3,0),VLOOKUP(INDEX(英雄装备!$F:$BZ,MATCH($H22,英雄装备!$F:$F,0),MATCH(K$2,英雄装备!$1:$1,0)-3),装备属性!$A:$C,3,0),VLOOKUP(INDEX(英雄装备!$F:$BZ,MATCH($H22,英雄装备!$F:$F,0),MATCH(K$2,英雄装备!$1:$1,0)-2),装备属性!$A:$C,3,0),VLOOKUP(INDEX(英雄装备!$F:$BZ,MATCH($H22,英雄装备!$F:$F,0),MATCH(K$2,英雄装备!$1:$1,0)-1),装备属性!$A:$C,3,0),VLOOKUP(INDEX(英雄装备!$F:$BZ,MATCH($H22,英雄装备!$F:$F,0),MATCH(K$2,英雄装备!$1:$1,0)),装备属性!$A:$C,3,0))</f>
        <v>20</v>
      </c>
      <c r="L22" s="51">
        <f>MAX(VLOOKUP(INDEX(英雄装备!$F:$BZ,MATCH($H22,英雄装备!$F:$F,0),MATCH(L$2,英雄装备!$1:$1,0)-5),装备属性!$A:$C,3,0),VLOOKUP(INDEX(英雄装备!$F:$BZ,MATCH($H22,英雄装备!$F:$F,0),MATCH(L$2,英雄装备!$1:$1,0)-4),装备属性!$A:$C,3,0),VLOOKUP(INDEX(英雄装备!$F:$BZ,MATCH($H22,英雄装备!$F:$F,0),MATCH(L$2,英雄装备!$1:$1,0)-3),装备属性!$A:$C,3,0),VLOOKUP(INDEX(英雄装备!$F:$BZ,MATCH($H22,英雄装备!$F:$F,0),MATCH(L$2,英雄装备!$1:$1,0)-2),装备属性!$A:$C,3,0),VLOOKUP(INDEX(英雄装备!$F:$BZ,MATCH($H22,英雄装备!$F:$F,0),MATCH(L$2,英雄装备!$1:$1,0)-1),装备属性!$A:$C,3,0),VLOOKUP(INDEX(英雄装备!$F:$BZ,MATCH($H22,英雄装备!$F:$F,0),MATCH(L$2,英雄装备!$1:$1,0)),装备属性!$A:$C,3,0))</f>
        <v>35</v>
      </c>
      <c r="M22" s="51">
        <f>MAX(VLOOKUP(INDEX(英雄装备!$F:$BZ,MATCH($H22,英雄装备!$F:$F,0),MATCH(M$2,英雄装备!$1:$1,0)-5),装备属性!$A:$C,3,0),VLOOKUP(INDEX(英雄装备!$F:$BZ,MATCH($H22,英雄装备!$F:$F,0),MATCH(M$2,英雄装备!$1:$1,0)-4),装备属性!$A:$C,3,0),VLOOKUP(INDEX(英雄装备!$F:$BZ,MATCH($H22,英雄装备!$F:$F,0),MATCH(M$2,英雄装备!$1:$1,0)-3),装备属性!$A:$C,3,0),VLOOKUP(INDEX(英雄装备!$F:$BZ,MATCH($H22,英雄装备!$F:$F,0),MATCH(M$2,英雄装备!$1:$1,0)-2),装备属性!$A:$C,3,0),VLOOKUP(INDEX(英雄装备!$F:$BZ,MATCH($H22,英雄装备!$F:$F,0),MATCH(M$2,英雄装备!$1:$1,0)-1),装备属性!$A:$C,3,0),VLOOKUP(INDEX(英雄装备!$F:$BZ,MATCH($H22,英雄装备!$F:$F,0),MATCH(M$2,英雄装备!$1:$1,0)),装备属性!$A:$C,3,0))</f>
        <v>42</v>
      </c>
      <c r="N22" s="51">
        <f>MAX(VLOOKUP(INDEX(英雄装备!$F:$BZ,MATCH($H22,英雄装备!$F:$F,0),MATCH(N$2,英雄装备!$1:$1,0)-5),装备属性!$A:$C,3,0),VLOOKUP(INDEX(英雄装备!$F:$BZ,MATCH($H22,英雄装备!$F:$F,0),MATCH(N$2,英雄装备!$1:$1,0)-4),装备属性!$A:$C,3,0),VLOOKUP(INDEX(英雄装备!$F:$BZ,MATCH($H22,英雄装备!$F:$F,0),MATCH(N$2,英雄装备!$1:$1,0)-3),装备属性!$A:$C,3,0),VLOOKUP(INDEX(英雄装备!$F:$BZ,MATCH($H22,英雄装备!$F:$F,0),MATCH(N$2,英雄装备!$1:$1,0)-2),装备属性!$A:$C,3,0),VLOOKUP(INDEX(英雄装备!$F:$BZ,MATCH($H22,英雄装备!$F:$F,0),MATCH(N$2,英雄装备!$1:$1,0)-1),装备属性!$A:$C,3,0),VLOOKUP(INDEX(英雄装备!$F:$BZ,MATCH($H22,英雄装备!$F:$F,0),MATCH(N$2,英雄装备!$1:$1,0)),装备属性!$A:$C,3,0))</f>
        <v>53</v>
      </c>
      <c r="O22" s="51">
        <f>MAX(VLOOKUP(INDEX(英雄装备!$F:$BZ,MATCH($H22,英雄装备!$F:$F,0),MATCH(O$2,英雄装备!$1:$1,0)-5),装备属性!$A:$C,3,0),VLOOKUP(INDEX(英雄装备!$F:$BZ,MATCH($H22,英雄装备!$F:$F,0),MATCH(O$2,英雄装备!$1:$1,0)-4),装备属性!$A:$C,3,0),VLOOKUP(INDEX(英雄装备!$F:$BZ,MATCH($H22,英雄装备!$F:$F,0),MATCH(O$2,英雄装备!$1:$1,0)-3),装备属性!$A:$C,3,0),VLOOKUP(INDEX(英雄装备!$F:$BZ,MATCH($H22,英雄装备!$F:$F,0),MATCH(O$2,英雄装备!$1:$1,0)-2),装备属性!$A:$C,3,0),VLOOKUP(INDEX(英雄装备!$F:$BZ,MATCH($H22,英雄装备!$F:$F,0),MATCH(O$2,英雄装备!$1:$1,0)-1),装备属性!$A:$C,3,0),VLOOKUP(INDEX(英雄装备!$F:$BZ,MATCH($H22,英雄装备!$F:$F,0),MATCH(O$2,英雄装备!$1:$1,0)),装备属性!$A:$C,3,0))</f>
        <v>64</v>
      </c>
      <c r="P22" s="51">
        <f>MAX(VLOOKUP(INDEX(英雄装备!$F:$BZ,MATCH($H22,英雄装备!$F:$F,0),MATCH(P$2,英雄装备!$1:$1,0)-5),装备属性!$A:$C,3,0),VLOOKUP(INDEX(英雄装备!$F:$BZ,MATCH($H22,英雄装备!$F:$F,0),MATCH(P$2,英雄装备!$1:$1,0)-4),装备属性!$A:$C,3,0),VLOOKUP(INDEX(英雄装备!$F:$BZ,MATCH($H22,英雄装备!$F:$F,0),MATCH(P$2,英雄装备!$1:$1,0)-3),装备属性!$A:$C,3,0),VLOOKUP(INDEX(英雄装备!$F:$BZ,MATCH($H22,英雄装备!$F:$F,0),MATCH(P$2,英雄装备!$1:$1,0)-2),装备属性!$A:$C,3,0),VLOOKUP(INDEX(英雄装备!$F:$BZ,MATCH($H22,英雄装备!$F:$F,0),MATCH(P$2,英雄装备!$1:$1,0)-1),装备属性!$A:$C,3,0),VLOOKUP(INDEX(英雄装备!$F:$BZ,MATCH($H22,英雄装备!$F:$F,0),MATCH(P$2,英雄装备!$1:$1,0)),装备属性!$A:$C,3,0))</f>
        <v>73</v>
      </c>
      <c r="Q22" s="51">
        <f>MAX(VLOOKUP(INDEX(英雄装备!$F:$BZ,MATCH($H22,英雄装备!$F:$F,0),MATCH(Q$2,英雄装备!$1:$1,0)-5),装备属性!$A:$C,3,0),VLOOKUP(INDEX(英雄装备!$F:$BZ,MATCH($H22,英雄装备!$F:$F,0),MATCH(Q$2,英雄装备!$1:$1,0)-4),装备属性!$A:$C,3,0),VLOOKUP(INDEX(英雄装备!$F:$BZ,MATCH($H22,英雄装备!$F:$F,0),MATCH(Q$2,英雄装备!$1:$1,0)-3),装备属性!$A:$C,3,0),VLOOKUP(INDEX(英雄装备!$F:$BZ,MATCH($H22,英雄装备!$F:$F,0),MATCH(Q$2,英雄装备!$1:$1,0)-2),装备属性!$A:$C,3,0),VLOOKUP(INDEX(英雄装备!$F:$BZ,MATCH($H22,英雄装备!$F:$F,0),MATCH(Q$2,英雄装备!$1:$1,0)-1),装备属性!$A:$C,3,0),VLOOKUP(INDEX(英雄装备!$F:$BZ,MATCH($H22,英雄装备!$F:$F,0),MATCH(Q$2,英雄装备!$1:$1,0)),装备属性!$A:$C,3,0))</f>
        <v>80</v>
      </c>
      <c r="R22" s="51">
        <f>MAX(VLOOKUP(INDEX(英雄装备!$F:$BZ,MATCH($H22,英雄装备!$F:$F,0),MATCH(R$2,英雄装备!$1:$1,0)-5),装备属性!$A:$C,3,0),VLOOKUP(INDEX(英雄装备!$F:$BZ,MATCH($H22,英雄装备!$F:$F,0),MATCH(R$2,英雄装备!$1:$1,0)-4),装备属性!$A:$C,3,0),VLOOKUP(INDEX(英雄装备!$F:$BZ,MATCH($H22,英雄装备!$F:$F,0),MATCH(R$2,英雄装备!$1:$1,0)-3),装备属性!$A:$C,3,0),VLOOKUP(INDEX(英雄装备!$F:$BZ,MATCH($H22,英雄装备!$F:$F,0),MATCH(R$2,英雄装备!$1:$1,0)-2),装备属性!$A:$C,3,0),VLOOKUP(INDEX(英雄装备!$F:$BZ,MATCH($H22,英雄装备!$F:$F,0),MATCH(R$2,英雄装备!$1:$1,0)-1),装备属性!$A:$C,3,0),VLOOKUP(INDEX(英雄装备!$F:$BZ,MATCH($H22,英雄装备!$F:$F,0),MATCH(R$2,英雄装备!$1:$1,0)),装备属性!$A:$C,3,0))</f>
        <v>78</v>
      </c>
      <c r="S22" s="51">
        <f>MAX(VLOOKUP(INDEX(英雄装备!$F:$BZ,MATCH($H22,英雄装备!$F:$F,0),MATCH(S$2,英雄装备!$1:$1,0)-5),装备属性!$A:$C,3,0),VLOOKUP(INDEX(英雄装备!$F:$BZ,MATCH($H22,英雄装备!$F:$F,0),MATCH(S$2,英雄装备!$1:$1,0)-4),装备属性!$A:$C,3,0),VLOOKUP(INDEX(英雄装备!$F:$BZ,MATCH($H22,英雄装备!$F:$F,0),MATCH(S$2,英雄装备!$1:$1,0)-3),装备属性!$A:$C,3,0),VLOOKUP(INDEX(英雄装备!$F:$BZ,MATCH($H22,英雄装备!$F:$F,0),MATCH(S$2,英雄装备!$1:$1,0)-2),装备属性!$A:$C,3,0),VLOOKUP(INDEX(英雄装备!$F:$BZ,MATCH($H22,英雄装备!$F:$F,0),MATCH(S$2,英雄装备!$1:$1,0)-1),装备属性!$A:$C,3,0),VLOOKUP(INDEX(英雄装备!$F:$BZ,MATCH($H22,英雄装备!$F:$F,0),MATCH(S$2,英雄装备!$1:$1,0)),装备属性!$A:$C,3,0))</f>
        <v>85</v>
      </c>
      <c r="T22" s="51">
        <f>MAX(VLOOKUP(INDEX(英雄装备!$F:$BZ,MATCH($H22,英雄装备!$F:$F,0),MATCH(T$2,英雄装备!$1:$1,0)-5),装备属性!$A:$C,3,0),VLOOKUP(INDEX(英雄装备!$F:$BZ,MATCH($H22,英雄装备!$F:$F,0),MATCH(T$2,英雄装备!$1:$1,0)-4),装备属性!$A:$C,3,0),VLOOKUP(INDEX(英雄装备!$F:$BZ,MATCH($H22,英雄装备!$F:$F,0),MATCH(T$2,英雄装备!$1:$1,0)-3),装备属性!$A:$C,3,0),VLOOKUP(INDEX(英雄装备!$F:$BZ,MATCH($H22,英雄装备!$F:$F,0),MATCH(T$2,英雄装备!$1:$1,0)-2),装备属性!$A:$C,3,0),VLOOKUP(INDEX(英雄装备!$F:$BZ,MATCH($H22,英雄装备!$F:$F,0),MATCH(T$2,英雄装备!$1:$1,0)-1),装备属性!$A:$C,3,0))</f>
        <v>89</v>
      </c>
      <c r="W22" s="55">
        <f t="shared" si="3"/>
        <v>1</v>
      </c>
      <c r="X22" s="49">
        <f>IF(X9="暂无","暂无",IF(VLOOKUP(X9,装备属性!$A:$C,3,0)&gt;单英雄!$C$4,0,1))</f>
        <v>1</v>
      </c>
      <c r="Y22" s="49">
        <f>IF(Y9="暂无","暂无",IF(VLOOKUP(Y9,装备属性!$A:$C,3,0)&gt;单英雄!$C$4,0,1))</f>
        <v>1</v>
      </c>
      <c r="Z22" s="49">
        <f>IF(Z9="暂无","暂无",IF(VLOOKUP(Z9,装备属性!$A:$C,3,0)&gt;单英雄!$C$4,0,1))</f>
        <v>1</v>
      </c>
      <c r="AA22" s="49">
        <f>IF(AA9="暂无","暂无",IF(VLOOKUP(AA9,装备属性!$A:$C,3,0)&gt;单英雄!$C$4,0,1))</f>
        <v>1</v>
      </c>
      <c r="AB22" s="49">
        <f>IF(AB9="暂无","暂无",IF(VLOOKUP(AB9,装备属性!$A:$C,3,0)&gt;单英雄!$C$4,0,1))</f>
        <v>1</v>
      </c>
      <c r="AC22" s="49">
        <f>IF(AC9="暂无","暂无",IF(VLOOKUP(AC9,装备属性!$A:$C,3,0)&gt;单英雄!$C$4,0,1))</f>
        <v>1</v>
      </c>
      <c r="AF22" s="49" t="s">
        <v>1080</v>
      </c>
      <c r="AG22" s="49" t="s">
        <v>1079</v>
      </c>
      <c r="AH22" s="50" t="s">
        <v>3</v>
      </c>
      <c r="AI22" s="50" t="s">
        <v>4</v>
      </c>
      <c r="AJ22" s="50" t="s">
        <v>5</v>
      </c>
      <c r="AK22" s="50" t="s">
        <v>103</v>
      </c>
      <c r="AL22" s="50" t="s">
        <v>14</v>
      </c>
      <c r="AM22" s="50" t="s">
        <v>47</v>
      </c>
      <c r="AN22" s="50" t="s">
        <v>35</v>
      </c>
      <c r="AO22" s="50" t="s">
        <v>38</v>
      </c>
      <c r="AP22" s="50" t="s">
        <v>34</v>
      </c>
      <c r="AQ22" s="50" t="s">
        <v>56</v>
      </c>
      <c r="AR22" s="50" t="s">
        <v>84</v>
      </c>
      <c r="AS22" s="50" t="s">
        <v>98</v>
      </c>
      <c r="AT22" s="50" t="s">
        <v>2099</v>
      </c>
      <c r="AU22" s="119" t="s">
        <v>1874</v>
      </c>
      <c r="AV22" s="50" t="s">
        <v>91</v>
      </c>
      <c r="AW22" s="50" t="s">
        <v>13</v>
      </c>
      <c r="AX22" s="50" t="s">
        <v>18</v>
      </c>
      <c r="AY22" s="51" t="s">
        <v>71</v>
      </c>
      <c r="AZ22" s="50" t="s">
        <v>130</v>
      </c>
      <c r="BA22" s="141" t="s">
        <v>2096</v>
      </c>
      <c r="BB22" s="141" t="s">
        <v>2097</v>
      </c>
    </row>
    <row r="23" spans="2:54">
      <c r="B23" s="49" t="str">
        <f>英雄初始!A24</f>
        <v>美杜莎</v>
      </c>
      <c r="H23" s="54" t="s">
        <v>176</v>
      </c>
      <c r="I23" s="51">
        <f>MAX(VLOOKUP(INDEX(英雄装备!$F:$BZ,MATCH($H23,英雄装备!$F:$F,0),MATCH(I$2,英雄装备!$1:$1,0)-5),装备属性!$A:$C,3,0),VLOOKUP(INDEX(英雄装备!$F:$BZ,MATCH($H23,英雄装备!$F:$F,0),MATCH(I$2,英雄装备!$1:$1,0)-4),装备属性!$A:$C,3,0),VLOOKUP(INDEX(英雄装备!$F:$BZ,MATCH($H23,英雄装备!$F:$F,0),MATCH(I$2,英雄装备!$1:$1,0)-3),装备属性!$A:$C,3,0),VLOOKUP(INDEX(英雄装备!$F:$BZ,MATCH($H23,英雄装备!$F:$F,0),MATCH(I$2,英雄装备!$1:$1,0)-2),装备属性!$A:$C,3,0),VLOOKUP(INDEX(英雄装备!$F:$BZ,MATCH($H23,英雄装备!$F:$F,0),MATCH(I$2,英雄装备!$1:$1,0)-1),装备属性!$A:$C,3,0),VLOOKUP(INDEX(英雄装备!$F:$BZ,MATCH($H23,英雄装备!$F:$F,0),MATCH(I$2,英雄装备!$1:$1,0)),装备属性!$A:$C,3,0))</f>
        <v>2</v>
      </c>
      <c r="J23" s="51">
        <f>MAX(VLOOKUP(INDEX(英雄装备!$F:$BZ,MATCH($H23,英雄装备!$F:$F,0),MATCH(J$2,英雄装备!$1:$1,0)-5),装备属性!$A:$C,3,0),VLOOKUP(INDEX(英雄装备!$F:$BZ,MATCH($H23,英雄装备!$F:$F,0),MATCH(J$2,英雄装备!$1:$1,0)-4),装备属性!$A:$C,3,0),VLOOKUP(INDEX(英雄装备!$F:$BZ,MATCH($H23,英雄装备!$F:$F,0),MATCH(J$2,英雄装备!$1:$1,0)-3),装备属性!$A:$C,3,0),VLOOKUP(INDEX(英雄装备!$F:$BZ,MATCH($H23,英雄装备!$F:$F,0),MATCH(J$2,英雄装备!$1:$1,0)-2),装备属性!$A:$C,3,0),VLOOKUP(INDEX(英雄装备!$F:$BZ,MATCH($H23,英雄装备!$F:$F,0),MATCH(J$2,英雄装备!$1:$1,0)-1),装备属性!$A:$C,3,0),VLOOKUP(INDEX(英雄装备!$F:$BZ,MATCH($H23,英雄装备!$F:$F,0),MATCH(J$2,英雄装备!$1:$1,0)),装备属性!$A:$C,3,0))</f>
        <v>11</v>
      </c>
      <c r="K23" s="51">
        <f>MAX(VLOOKUP(INDEX(英雄装备!$F:$BZ,MATCH($H23,英雄装备!$F:$F,0),MATCH(K$2,英雄装备!$1:$1,0)-5),装备属性!$A:$C,3,0),VLOOKUP(INDEX(英雄装备!$F:$BZ,MATCH($H23,英雄装备!$F:$F,0),MATCH(K$2,英雄装备!$1:$1,0)-4),装备属性!$A:$C,3,0),VLOOKUP(INDEX(英雄装备!$F:$BZ,MATCH($H23,英雄装备!$F:$F,0),MATCH(K$2,英雄装备!$1:$1,0)-3),装备属性!$A:$C,3,0),VLOOKUP(INDEX(英雄装备!$F:$BZ,MATCH($H23,英雄装备!$F:$F,0),MATCH(K$2,英雄装备!$1:$1,0)-2),装备属性!$A:$C,3,0),VLOOKUP(INDEX(英雄装备!$F:$BZ,MATCH($H23,英雄装备!$F:$F,0),MATCH(K$2,英雄装备!$1:$1,0)-1),装备属性!$A:$C,3,0),VLOOKUP(INDEX(英雄装备!$F:$BZ,MATCH($H23,英雄装备!$F:$F,0),MATCH(K$2,英雄装备!$1:$1,0)),装备属性!$A:$C,3,0))</f>
        <v>25</v>
      </c>
      <c r="L23" s="51">
        <f>MAX(VLOOKUP(INDEX(英雄装备!$F:$BZ,MATCH($H23,英雄装备!$F:$F,0),MATCH(L$2,英雄装备!$1:$1,0)-5),装备属性!$A:$C,3,0),VLOOKUP(INDEX(英雄装备!$F:$BZ,MATCH($H23,英雄装备!$F:$F,0),MATCH(L$2,英雄装备!$1:$1,0)-4),装备属性!$A:$C,3,0),VLOOKUP(INDEX(英雄装备!$F:$BZ,MATCH($H23,英雄装备!$F:$F,0),MATCH(L$2,英雄装备!$1:$1,0)-3),装备属性!$A:$C,3,0),VLOOKUP(INDEX(英雄装备!$F:$BZ,MATCH($H23,英雄装备!$F:$F,0),MATCH(L$2,英雄装备!$1:$1,0)-2),装备属性!$A:$C,3,0),VLOOKUP(INDEX(英雄装备!$F:$BZ,MATCH($H23,英雄装备!$F:$F,0),MATCH(L$2,英雄装备!$1:$1,0)-1),装备属性!$A:$C,3,0),VLOOKUP(INDEX(英雄装备!$F:$BZ,MATCH($H23,英雄装备!$F:$F,0),MATCH(L$2,英雄装备!$1:$1,0)),装备属性!$A:$C,3,0))</f>
        <v>34</v>
      </c>
      <c r="M23" s="51">
        <f>MAX(VLOOKUP(INDEX(英雄装备!$F:$BZ,MATCH($H23,英雄装备!$F:$F,0),MATCH(M$2,英雄装备!$1:$1,0)-5),装备属性!$A:$C,3,0),VLOOKUP(INDEX(英雄装备!$F:$BZ,MATCH($H23,英雄装备!$F:$F,0),MATCH(M$2,英雄装备!$1:$1,0)-4),装备属性!$A:$C,3,0),VLOOKUP(INDEX(英雄装备!$F:$BZ,MATCH($H23,英雄装备!$F:$F,0),MATCH(M$2,英雄装备!$1:$1,0)-3),装备属性!$A:$C,3,0),VLOOKUP(INDEX(英雄装备!$F:$BZ,MATCH($H23,英雄装备!$F:$F,0),MATCH(M$2,英雄装备!$1:$1,0)-2),装备属性!$A:$C,3,0),VLOOKUP(INDEX(英雄装备!$F:$BZ,MATCH($H23,英雄装备!$F:$F,0),MATCH(M$2,英雄装备!$1:$1,0)-1),装备属性!$A:$C,3,0),VLOOKUP(INDEX(英雄装备!$F:$BZ,MATCH($H23,英雄装备!$F:$F,0),MATCH(M$2,英雄装备!$1:$1,0)),装备属性!$A:$C,3,0))</f>
        <v>44</v>
      </c>
      <c r="N23" s="51">
        <f>MAX(VLOOKUP(INDEX(英雄装备!$F:$BZ,MATCH($H23,英雄装备!$F:$F,0),MATCH(N$2,英雄装备!$1:$1,0)-5),装备属性!$A:$C,3,0),VLOOKUP(INDEX(英雄装备!$F:$BZ,MATCH($H23,英雄装备!$F:$F,0),MATCH(N$2,英雄装备!$1:$1,0)-4),装备属性!$A:$C,3,0),VLOOKUP(INDEX(英雄装备!$F:$BZ,MATCH($H23,英雄装备!$F:$F,0),MATCH(N$2,英雄装备!$1:$1,0)-3),装备属性!$A:$C,3,0),VLOOKUP(INDEX(英雄装备!$F:$BZ,MATCH($H23,英雄装备!$F:$F,0),MATCH(N$2,英雄装备!$1:$1,0)-2),装备属性!$A:$C,3,0),VLOOKUP(INDEX(英雄装备!$F:$BZ,MATCH($H23,英雄装备!$F:$F,0),MATCH(N$2,英雄装备!$1:$1,0)-1),装备属性!$A:$C,3,0),VLOOKUP(INDEX(英雄装备!$F:$BZ,MATCH($H23,英雄装备!$F:$F,0),MATCH(N$2,英雄装备!$1:$1,0)),装备属性!$A:$C,3,0))</f>
        <v>53</v>
      </c>
      <c r="O23" s="51">
        <f>MAX(VLOOKUP(INDEX(英雄装备!$F:$BZ,MATCH($H23,英雄装备!$F:$F,0),MATCH(O$2,英雄装备!$1:$1,0)-5),装备属性!$A:$C,3,0),VLOOKUP(INDEX(英雄装备!$F:$BZ,MATCH($H23,英雄装备!$F:$F,0),MATCH(O$2,英雄装备!$1:$1,0)-4),装备属性!$A:$C,3,0),VLOOKUP(INDEX(英雄装备!$F:$BZ,MATCH($H23,英雄装备!$F:$F,0),MATCH(O$2,英雄装备!$1:$1,0)-3),装备属性!$A:$C,3,0),VLOOKUP(INDEX(英雄装备!$F:$BZ,MATCH($H23,英雄装备!$F:$F,0),MATCH(O$2,英雄装备!$1:$1,0)-2),装备属性!$A:$C,3,0),VLOOKUP(INDEX(英雄装备!$F:$BZ,MATCH($H23,英雄装备!$F:$F,0),MATCH(O$2,英雄装备!$1:$1,0)-1),装备属性!$A:$C,3,0),VLOOKUP(INDEX(英雄装备!$F:$BZ,MATCH($H23,英雄装备!$F:$F,0),MATCH(O$2,英雄装备!$1:$1,0)),装备属性!$A:$C,3,0))</f>
        <v>59</v>
      </c>
      <c r="P23" s="51">
        <f>MAX(VLOOKUP(INDEX(英雄装备!$F:$BZ,MATCH($H23,英雄装备!$F:$F,0),MATCH(P$2,英雄装备!$1:$1,0)-5),装备属性!$A:$C,3,0),VLOOKUP(INDEX(英雄装备!$F:$BZ,MATCH($H23,英雄装备!$F:$F,0),MATCH(P$2,英雄装备!$1:$1,0)-4),装备属性!$A:$C,3,0),VLOOKUP(INDEX(英雄装备!$F:$BZ,MATCH($H23,英雄装备!$F:$F,0),MATCH(P$2,英雄装备!$1:$1,0)-3),装备属性!$A:$C,3,0),VLOOKUP(INDEX(英雄装备!$F:$BZ,MATCH($H23,英雄装备!$F:$F,0),MATCH(P$2,英雄装备!$1:$1,0)-2),装备属性!$A:$C,3,0),VLOOKUP(INDEX(英雄装备!$F:$BZ,MATCH($H23,英雄装备!$F:$F,0),MATCH(P$2,英雄装备!$1:$1,0)-1),装备属性!$A:$C,3,0),VLOOKUP(INDEX(英雄装备!$F:$BZ,MATCH($H23,英雄装备!$F:$F,0),MATCH(P$2,英雄装备!$1:$1,0)),装备属性!$A:$C,3,0))</f>
        <v>73</v>
      </c>
      <c r="Q23" s="51">
        <f>MAX(VLOOKUP(INDEX(英雄装备!$F:$BZ,MATCH($H23,英雄装备!$F:$F,0),MATCH(Q$2,英雄装备!$1:$1,0)-5),装备属性!$A:$C,3,0),VLOOKUP(INDEX(英雄装备!$F:$BZ,MATCH($H23,英雄装备!$F:$F,0),MATCH(Q$2,英雄装备!$1:$1,0)-4),装备属性!$A:$C,3,0),VLOOKUP(INDEX(英雄装备!$F:$BZ,MATCH($H23,英雄装备!$F:$F,0),MATCH(Q$2,英雄装备!$1:$1,0)-3),装备属性!$A:$C,3,0),VLOOKUP(INDEX(英雄装备!$F:$BZ,MATCH($H23,英雄装备!$F:$F,0),MATCH(Q$2,英雄装备!$1:$1,0)-2),装备属性!$A:$C,3,0),VLOOKUP(INDEX(英雄装备!$F:$BZ,MATCH($H23,英雄装备!$F:$F,0),MATCH(Q$2,英雄装备!$1:$1,0)-1),装备属性!$A:$C,3,0),VLOOKUP(INDEX(英雄装备!$F:$BZ,MATCH($H23,英雄装备!$F:$F,0),MATCH(Q$2,英雄装备!$1:$1,0)),装备属性!$A:$C,3,0))</f>
        <v>78</v>
      </c>
      <c r="R23" s="51">
        <f>MAX(VLOOKUP(INDEX(英雄装备!$F:$BZ,MATCH($H23,英雄装备!$F:$F,0),MATCH(R$2,英雄装备!$1:$1,0)-5),装备属性!$A:$C,3,0),VLOOKUP(INDEX(英雄装备!$F:$BZ,MATCH($H23,英雄装备!$F:$F,0),MATCH(R$2,英雄装备!$1:$1,0)-4),装备属性!$A:$C,3,0),VLOOKUP(INDEX(英雄装备!$F:$BZ,MATCH($H23,英雄装备!$F:$F,0),MATCH(R$2,英雄装备!$1:$1,0)-3),装备属性!$A:$C,3,0),VLOOKUP(INDEX(英雄装备!$F:$BZ,MATCH($H23,英雄装备!$F:$F,0),MATCH(R$2,英雄装备!$1:$1,0)-2),装备属性!$A:$C,3,0),VLOOKUP(INDEX(英雄装备!$F:$BZ,MATCH($H23,英雄装备!$F:$F,0),MATCH(R$2,英雄装备!$1:$1,0)-1),装备属性!$A:$C,3,0),VLOOKUP(INDEX(英雄装备!$F:$BZ,MATCH($H23,英雄装备!$F:$F,0),MATCH(R$2,英雄装备!$1:$1,0)),装备属性!$A:$C,3,0))</f>
        <v>79</v>
      </c>
      <c r="S23" s="51">
        <f>MAX(VLOOKUP(INDEX(英雄装备!$F:$BZ,MATCH($H23,英雄装备!$F:$F,0),MATCH(S$2,英雄装备!$1:$1,0)-5),装备属性!$A:$C,3,0),VLOOKUP(INDEX(英雄装备!$F:$BZ,MATCH($H23,英雄装备!$F:$F,0),MATCH(S$2,英雄装备!$1:$1,0)-4),装备属性!$A:$C,3,0),VLOOKUP(INDEX(英雄装备!$F:$BZ,MATCH($H23,英雄装备!$F:$F,0),MATCH(S$2,英雄装备!$1:$1,0)-3),装备属性!$A:$C,3,0),VLOOKUP(INDEX(英雄装备!$F:$BZ,MATCH($H23,英雄装备!$F:$F,0),MATCH(S$2,英雄装备!$1:$1,0)-2),装备属性!$A:$C,3,0),VLOOKUP(INDEX(英雄装备!$F:$BZ,MATCH($H23,英雄装备!$F:$F,0),MATCH(S$2,英雄装备!$1:$1,0)-1),装备属性!$A:$C,3,0),VLOOKUP(INDEX(英雄装备!$F:$BZ,MATCH($H23,英雄装备!$F:$F,0),MATCH(S$2,英雄装备!$1:$1,0)),装备属性!$A:$C,3,0))</f>
        <v>84</v>
      </c>
      <c r="T23" s="51">
        <f>MAX(VLOOKUP(INDEX(英雄装备!$F:$BZ,MATCH($H23,英雄装备!$F:$F,0),MATCH(T$2,英雄装备!$1:$1,0)-5),装备属性!$A:$C,3,0),VLOOKUP(INDEX(英雄装备!$F:$BZ,MATCH($H23,英雄装备!$F:$F,0),MATCH(T$2,英雄装备!$1:$1,0)-4),装备属性!$A:$C,3,0),VLOOKUP(INDEX(英雄装备!$F:$BZ,MATCH($H23,英雄装备!$F:$F,0),MATCH(T$2,英雄装备!$1:$1,0)-3),装备属性!$A:$C,3,0),VLOOKUP(INDEX(英雄装备!$F:$BZ,MATCH($H23,英雄装备!$F:$F,0),MATCH(T$2,英雄装备!$1:$1,0)-2),装备属性!$A:$C,3,0),VLOOKUP(INDEX(英雄装备!$F:$BZ,MATCH($H23,英雄装备!$F:$F,0),MATCH(T$2,英雄装备!$1:$1,0)-1),装备属性!$A:$C,3,0))</f>
        <v>89</v>
      </c>
      <c r="W23" s="55">
        <f t="shared" si="3"/>
        <v>1</v>
      </c>
      <c r="X23" s="49">
        <f>IF(X10="暂无","暂无",IF(VLOOKUP(X10,装备属性!$A:$C,3,0)&gt;单英雄!$C$4,0,1))</f>
        <v>1</v>
      </c>
      <c r="Y23" s="49">
        <f>IF(Y10="暂无","暂无",IF(VLOOKUP(Y10,装备属性!$A:$C,3,0)&gt;单英雄!$C$4,0,1))</f>
        <v>1</v>
      </c>
      <c r="Z23" s="49">
        <f>IF(Z10="暂无","暂无",IF(VLOOKUP(Z10,装备属性!$A:$C,3,0)&gt;单英雄!$C$4,0,1))</f>
        <v>1</v>
      </c>
      <c r="AA23" s="49">
        <f>IF(AA10="暂无","暂无",IF(VLOOKUP(AA10,装备属性!$A:$C,3,0)&gt;单英雄!$C$4,0,1))</f>
        <v>1</v>
      </c>
      <c r="AB23" s="49">
        <f>IF(AB10="暂无","暂无",IF(VLOOKUP(AB10,装备属性!$A:$C,3,0)&gt;单英雄!$C$4,0,1))</f>
        <v>1</v>
      </c>
      <c r="AC23" s="49">
        <f>IF(AC10="暂无","暂无",IF(VLOOKUP(AC10,装备属性!$A:$C,3,0)&gt;单英雄!$C$4,0,1))</f>
        <v>1</v>
      </c>
      <c r="AF23" s="49">
        <v>1</v>
      </c>
      <c r="AG23" s="49" t="str">
        <f>X1</f>
        <v>树枝</v>
      </c>
      <c r="AH23" s="49">
        <f>VLOOKUP($AG23,装备属性!$A:$Y,5,0)</f>
        <v>1</v>
      </c>
      <c r="AI23" s="49">
        <f>VLOOKUP($AG23,装备属性!$A:$Y,6,0)</f>
        <v>1</v>
      </c>
      <c r="AJ23" s="49">
        <f>VLOOKUP($AG23,装备属性!$A:$Y,7,0)</f>
        <v>1</v>
      </c>
      <c r="AK23" s="49">
        <f>VLOOKUP($AG23,装备属性!$A:$Y,8,0)</f>
        <v>0</v>
      </c>
      <c r="AL23" s="49">
        <f>VLOOKUP($AG23,装备属性!$A:$Y,9,0)</f>
        <v>0</v>
      </c>
      <c r="AM23" s="49">
        <f>VLOOKUP($AG23,装备属性!$A:$Y,10,0)</f>
        <v>0</v>
      </c>
      <c r="AN23" s="49">
        <f>VLOOKUP($AG23,装备属性!$A:$Y,11,0)</f>
        <v>0</v>
      </c>
      <c r="AO23" s="49">
        <f>VLOOKUP($AG23,装备属性!$A:$Y,12,0)</f>
        <v>0</v>
      </c>
      <c r="AP23" s="49">
        <f>VLOOKUP($AG23,装备属性!$A:$Y,13,0)</f>
        <v>0</v>
      </c>
      <c r="AQ23" s="49">
        <f>VLOOKUP($AG23,装备属性!$A:$Y,14,0)</f>
        <v>0</v>
      </c>
      <c r="AR23" s="49">
        <f>VLOOKUP($AG23,装备属性!$A:$Y,15,0)</f>
        <v>0</v>
      </c>
      <c r="AS23" s="49">
        <f>VLOOKUP($AG23,装备属性!$A:$Y,16,0)</f>
        <v>0</v>
      </c>
      <c r="AT23" s="49">
        <f>VLOOKUP($AG23,装备属性!$A:$Y,17,0)</f>
        <v>0</v>
      </c>
      <c r="AU23" s="49">
        <f>VLOOKUP($AG23,装备属性!$A:$Y,18,0)</f>
        <v>0</v>
      </c>
      <c r="AV23" s="49">
        <f>VLOOKUP($AG23,装备属性!$A:$Y,19,0)</f>
        <v>0</v>
      </c>
      <c r="AW23" s="49">
        <f>VLOOKUP($AG23,装备属性!$A:$Y,20,0)</f>
        <v>0</v>
      </c>
      <c r="AX23" s="49">
        <f>VLOOKUP($AG23,装备属性!$A:$Y,21,0)</f>
        <v>0</v>
      </c>
      <c r="AY23" s="49">
        <f>VLOOKUP($AG23,装备属性!$A:$Y,22,0)</f>
        <v>0</v>
      </c>
      <c r="AZ23" s="138">
        <f>VLOOKUP($AG23,装备属性!$A:$Y,23,0)</f>
        <v>0</v>
      </c>
      <c r="BA23" s="138">
        <f>VLOOKUP($AG23,装备属性!$A:$Y,24,0)</f>
        <v>0</v>
      </c>
      <c r="BB23" s="138">
        <f>VLOOKUP($AG23,装备属性!$A:$Y,25,0)</f>
        <v>0</v>
      </c>
    </row>
    <row r="24" spans="2:54" ht="13.5" customHeight="1">
      <c r="B24" s="49" t="str">
        <f>英雄初始!A25</f>
        <v>小黑</v>
      </c>
      <c r="D24" s="48" t="s">
        <v>1055</v>
      </c>
      <c r="E24" s="233" t="str">
        <f>IF(D25="-","暂无该英雄数据，请重新输入","")</f>
        <v/>
      </c>
      <c r="H24" s="54" t="s">
        <v>177</v>
      </c>
      <c r="I24" s="51">
        <f>MAX(VLOOKUP(INDEX(英雄装备!$F:$BZ,MATCH($H24,英雄装备!$F:$F,0),MATCH(I$2,英雄装备!$1:$1,0)-5),装备属性!$A:$C,3,0),VLOOKUP(INDEX(英雄装备!$F:$BZ,MATCH($H24,英雄装备!$F:$F,0),MATCH(I$2,英雄装备!$1:$1,0)-4),装备属性!$A:$C,3,0),VLOOKUP(INDEX(英雄装备!$F:$BZ,MATCH($H24,英雄装备!$F:$F,0),MATCH(I$2,英雄装备!$1:$1,0)-3),装备属性!$A:$C,3,0),VLOOKUP(INDEX(英雄装备!$F:$BZ,MATCH($H24,英雄装备!$F:$F,0),MATCH(I$2,英雄装备!$1:$1,0)-2),装备属性!$A:$C,3,0),VLOOKUP(INDEX(英雄装备!$F:$BZ,MATCH($H24,英雄装备!$F:$F,0),MATCH(I$2,英雄装备!$1:$1,0)-1),装备属性!$A:$C,3,0),VLOOKUP(INDEX(英雄装备!$F:$BZ,MATCH($H24,英雄装备!$F:$F,0),MATCH(I$2,英雄装备!$1:$1,0)),装备属性!$A:$C,3,0))</f>
        <v>2</v>
      </c>
      <c r="J24" s="51">
        <f>MAX(VLOOKUP(INDEX(英雄装备!$F:$BZ,MATCH($H24,英雄装备!$F:$F,0),MATCH(J$2,英雄装备!$1:$1,0)-5),装备属性!$A:$C,3,0),VLOOKUP(INDEX(英雄装备!$F:$BZ,MATCH($H24,英雄装备!$F:$F,0),MATCH(J$2,英雄装备!$1:$1,0)-4),装备属性!$A:$C,3,0),VLOOKUP(INDEX(英雄装备!$F:$BZ,MATCH($H24,英雄装备!$F:$F,0),MATCH(J$2,英雄装备!$1:$1,0)-3),装备属性!$A:$C,3,0),VLOOKUP(INDEX(英雄装备!$F:$BZ,MATCH($H24,英雄装备!$F:$F,0),MATCH(J$2,英雄装备!$1:$1,0)-2),装备属性!$A:$C,3,0),VLOOKUP(INDEX(英雄装备!$F:$BZ,MATCH($H24,英雄装备!$F:$F,0),MATCH(J$2,英雄装备!$1:$1,0)-1),装备属性!$A:$C,3,0),VLOOKUP(INDEX(英雄装备!$F:$BZ,MATCH($H24,英雄装备!$F:$F,0),MATCH(J$2,英雄装备!$1:$1,0)),装备属性!$A:$C,3,0))</f>
        <v>11</v>
      </c>
      <c r="K24" s="51">
        <f>MAX(VLOOKUP(INDEX(英雄装备!$F:$BZ,MATCH($H24,英雄装备!$F:$F,0),MATCH(K$2,英雄装备!$1:$1,0)-5),装备属性!$A:$C,3,0),VLOOKUP(INDEX(英雄装备!$F:$BZ,MATCH($H24,英雄装备!$F:$F,0),MATCH(K$2,英雄装备!$1:$1,0)-4),装备属性!$A:$C,3,0),VLOOKUP(INDEX(英雄装备!$F:$BZ,MATCH($H24,英雄装备!$F:$F,0),MATCH(K$2,英雄装备!$1:$1,0)-3),装备属性!$A:$C,3,0),VLOOKUP(INDEX(英雄装备!$F:$BZ,MATCH($H24,英雄装备!$F:$F,0),MATCH(K$2,英雄装备!$1:$1,0)-2),装备属性!$A:$C,3,0),VLOOKUP(INDEX(英雄装备!$F:$BZ,MATCH($H24,英雄装备!$F:$F,0),MATCH(K$2,英雄装备!$1:$1,0)-1),装备属性!$A:$C,3,0),VLOOKUP(INDEX(英雄装备!$F:$BZ,MATCH($H24,英雄装备!$F:$F,0),MATCH(K$2,英雄装备!$1:$1,0)),装备属性!$A:$C,3,0))</f>
        <v>25</v>
      </c>
      <c r="L24" s="51">
        <f>MAX(VLOOKUP(INDEX(英雄装备!$F:$BZ,MATCH($H24,英雄装备!$F:$F,0),MATCH(L$2,英雄装备!$1:$1,0)-5),装备属性!$A:$C,3,0),VLOOKUP(INDEX(英雄装备!$F:$BZ,MATCH($H24,英雄装备!$F:$F,0),MATCH(L$2,英雄装备!$1:$1,0)-4),装备属性!$A:$C,3,0),VLOOKUP(INDEX(英雄装备!$F:$BZ,MATCH($H24,英雄装备!$F:$F,0),MATCH(L$2,英雄装备!$1:$1,0)-3),装备属性!$A:$C,3,0),VLOOKUP(INDEX(英雄装备!$F:$BZ,MATCH($H24,英雄装备!$F:$F,0),MATCH(L$2,英雄装备!$1:$1,0)-2),装备属性!$A:$C,3,0),VLOOKUP(INDEX(英雄装备!$F:$BZ,MATCH($H24,英雄装备!$F:$F,0),MATCH(L$2,英雄装备!$1:$1,0)-1),装备属性!$A:$C,3,0),VLOOKUP(INDEX(英雄装备!$F:$BZ,MATCH($H24,英雄装备!$F:$F,0),MATCH(L$2,英雄装备!$1:$1,0)),装备属性!$A:$C,3,0))</f>
        <v>34</v>
      </c>
      <c r="M24" s="51">
        <f>MAX(VLOOKUP(INDEX(英雄装备!$F:$BZ,MATCH($H24,英雄装备!$F:$F,0),MATCH(M$2,英雄装备!$1:$1,0)-5),装备属性!$A:$C,3,0),VLOOKUP(INDEX(英雄装备!$F:$BZ,MATCH($H24,英雄装备!$F:$F,0),MATCH(M$2,英雄装备!$1:$1,0)-4),装备属性!$A:$C,3,0),VLOOKUP(INDEX(英雄装备!$F:$BZ,MATCH($H24,英雄装备!$F:$F,0),MATCH(M$2,英雄装备!$1:$1,0)-3),装备属性!$A:$C,3,0),VLOOKUP(INDEX(英雄装备!$F:$BZ,MATCH($H24,英雄装备!$F:$F,0),MATCH(M$2,英雄装备!$1:$1,0)-2),装备属性!$A:$C,3,0),VLOOKUP(INDEX(英雄装备!$F:$BZ,MATCH($H24,英雄装备!$F:$F,0),MATCH(M$2,英雄装备!$1:$1,0)-1),装备属性!$A:$C,3,0),VLOOKUP(INDEX(英雄装备!$F:$BZ,MATCH($H24,英雄装备!$F:$F,0),MATCH(M$2,英雄装备!$1:$1,0)),装备属性!$A:$C,3,0))</f>
        <v>44</v>
      </c>
      <c r="N24" s="51">
        <f>MAX(VLOOKUP(INDEX(英雄装备!$F:$BZ,MATCH($H24,英雄装备!$F:$F,0),MATCH(N$2,英雄装备!$1:$1,0)-5),装备属性!$A:$C,3,0),VLOOKUP(INDEX(英雄装备!$F:$BZ,MATCH($H24,英雄装备!$F:$F,0),MATCH(N$2,英雄装备!$1:$1,0)-4),装备属性!$A:$C,3,0),VLOOKUP(INDEX(英雄装备!$F:$BZ,MATCH($H24,英雄装备!$F:$F,0),MATCH(N$2,英雄装备!$1:$1,0)-3),装备属性!$A:$C,3,0),VLOOKUP(INDEX(英雄装备!$F:$BZ,MATCH($H24,英雄装备!$F:$F,0),MATCH(N$2,英雄装备!$1:$1,0)-2),装备属性!$A:$C,3,0),VLOOKUP(INDEX(英雄装备!$F:$BZ,MATCH($H24,英雄装备!$F:$F,0),MATCH(N$2,英雄装备!$1:$1,0)-1),装备属性!$A:$C,3,0),VLOOKUP(INDEX(英雄装备!$F:$BZ,MATCH($H24,英雄装备!$F:$F,0),MATCH(N$2,英雄装备!$1:$1,0)),装备属性!$A:$C,3,0))</f>
        <v>53</v>
      </c>
      <c r="O24" s="51">
        <f>MAX(VLOOKUP(INDEX(英雄装备!$F:$BZ,MATCH($H24,英雄装备!$F:$F,0),MATCH(O$2,英雄装备!$1:$1,0)-5),装备属性!$A:$C,3,0),VLOOKUP(INDEX(英雄装备!$F:$BZ,MATCH($H24,英雄装备!$F:$F,0),MATCH(O$2,英雄装备!$1:$1,0)-4),装备属性!$A:$C,3,0),VLOOKUP(INDEX(英雄装备!$F:$BZ,MATCH($H24,英雄装备!$F:$F,0),MATCH(O$2,英雄装备!$1:$1,0)-3),装备属性!$A:$C,3,0),VLOOKUP(INDEX(英雄装备!$F:$BZ,MATCH($H24,英雄装备!$F:$F,0),MATCH(O$2,英雄装备!$1:$1,0)-2),装备属性!$A:$C,3,0),VLOOKUP(INDEX(英雄装备!$F:$BZ,MATCH($H24,英雄装备!$F:$F,0),MATCH(O$2,英雄装备!$1:$1,0)-1),装备属性!$A:$C,3,0),VLOOKUP(INDEX(英雄装备!$F:$BZ,MATCH($H24,英雄装备!$F:$F,0),MATCH(O$2,英雄装备!$1:$1,0)),装备属性!$A:$C,3,0))</f>
        <v>59</v>
      </c>
      <c r="P24" s="51">
        <f>MAX(VLOOKUP(INDEX(英雄装备!$F:$BZ,MATCH($H24,英雄装备!$F:$F,0),MATCH(P$2,英雄装备!$1:$1,0)-5),装备属性!$A:$C,3,0),VLOOKUP(INDEX(英雄装备!$F:$BZ,MATCH($H24,英雄装备!$F:$F,0),MATCH(P$2,英雄装备!$1:$1,0)-4),装备属性!$A:$C,3,0),VLOOKUP(INDEX(英雄装备!$F:$BZ,MATCH($H24,英雄装备!$F:$F,0),MATCH(P$2,英雄装备!$1:$1,0)-3),装备属性!$A:$C,3,0),VLOOKUP(INDEX(英雄装备!$F:$BZ,MATCH($H24,英雄装备!$F:$F,0),MATCH(P$2,英雄装备!$1:$1,0)-2),装备属性!$A:$C,3,0),VLOOKUP(INDEX(英雄装备!$F:$BZ,MATCH($H24,英雄装备!$F:$F,0),MATCH(P$2,英雄装备!$1:$1,0)-1),装备属性!$A:$C,3,0),VLOOKUP(INDEX(英雄装备!$F:$BZ,MATCH($H24,英雄装备!$F:$F,0),MATCH(P$2,英雄装备!$1:$1,0)),装备属性!$A:$C,3,0))</f>
        <v>72</v>
      </c>
      <c r="Q24" s="51">
        <f>MAX(VLOOKUP(INDEX(英雄装备!$F:$BZ,MATCH($H24,英雄装备!$F:$F,0),MATCH(Q$2,英雄装备!$1:$1,0)-5),装备属性!$A:$C,3,0),VLOOKUP(INDEX(英雄装备!$F:$BZ,MATCH($H24,英雄装备!$F:$F,0),MATCH(Q$2,英雄装备!$1:$1,0)-4),装备属性!$A:$C,3,0),VLOOKUP(INDEX(英雄装备!$F:$BZ,MATCH($H24,英雄装备!$F:$F,0),MATCH(Q$2,英雄装备!$1:$1,0)-3),装备属性!$A:$C,3,0),VLOOKUP(INDEX(英雄装备!$F:$BZ,MATCH($H24,英雄装备!$F:$F,0),MATCH(Q$2,英雄装备!$1:$1,0)-2),装备属性!$A:$C,3,0),VLOOKUP(INDEX(英雄装备!$F:$BZ,MATCH($H24,英雄装备!$F:$F,0),MATCH(Q$2,英雄装备!$1:$1,0)-1),装备属性!$A:$C,3,0),VLOOKUP(INDEX(英雄装备!$F:$BZ,MATCH($H24,英雄装备!$F:$F,0),MATCH(Q$2,英雄装备!$1:$1,0)),装备属性!$A:$C,3,0))</f>
        <v>78</v>
      </c>
      <c r="R24" s="51">
        <f>MAX(VLOOKUP(INDEX(英雄装备!$F:$BZ,MATCH($H24,英雄装备!$F:$F,0),MATCH(R$2,英雄装备!$1:$1,0)-5),装备属性!$A:$C,3,0),VLOOKUP(INDEX(英雄装备!$F:$BZ,MATCH($H24,英雄装备!$F:$F,0),MATCH(R$2,英雄装备!$1:$1,0)-4),装备属性!$A:$C,3,0),VLOOKUP(INDEX(英雄装备!$F:$BZ,MATCH($H24,英雄装备!$F:$F,0),MATCH(R$2,英雄装备!$1:$1,0)-3),装备属性!$A:$C,3,0),VLOOKUP(INDEX(英雄装备!$F:$BZ,MATCH($H24,英雄装备!$F:$F,0),MATCH(R$2,英雄装备!$1:$1,0)-2),装备属性!$A:$C,3,0),VLOOKUP(INDEX(英雄装备!$F:$BZ,MATCH($H24,英雄装备!$F:$F,0),MATCH(R$2,英雄装备!$1:$1,0)-1),装备属性!$A:$C,3,0),VLOOKUP(INDEX(英雄装备!$F:$BZ,MATCH($H24,英雄装备!$F:$F,0),MATCH(R$2,英雄装备!$1:$1,0)),装备属性!$A:$C,3,0))</f>
        <v>73</v>
      </c>
      <c r="S24" s="51">
        <f>MAX(VLOOKUP(INDEX(英雄装备!$F:$BZ,MATCH($H24,英雄装备!$F:$F,0),MATCH(S$2,英雄装备!$1:$1,0)-5),装备属性!$A:$C,3,0),VLOOKUP(INDEX(英雄装备!$F:$BZ,MATCH($H24,英雄装备!$F:$F,0),MATCH(S$2,英雄装备!$1:$1,0)-4),装备属性!$A:$C,3,0),VLOOKUP(INDEX(英雄装备!$F:$BZ,MATCH($H24,英雄装备!$F:$F,0),MATCH(S$2,英雄装备!$1:$1,0)-3),装备属性!$A:$C,3,0),VLOOKUP(INDEX(英雄装备!$F:$BZ,MATCH($H24,英雄装备!$F:$F,0),MATCH(S$2,英雄装备!$1:$1,0)-2),装备属性!$A:$C,3,0),VLOOKUP(INDEX(英雄装备!$F:$BZ,MATCH($H24,英雄装备!$F:$F,0),MATCH(S$2,英雄装备!$1:$1,0)-1),装备属性!$A:$C,3,0),VLOOKUP(INDEX(英雄装备!$F:$BZ,MATCH($H24,英雄装备!$F:$F,0),MATCH(S$2,英雄装备!$1:$1,0)),装备属性!$A:$C,3,0))</f>
        <v>84</v>
      </c>
      <c r="T24" s="51">
        <f>MAX(VLOOKUP(INDEX(英雄装备!$F:$BZ,MATCH($H24,英雄装备!$F:$F,0),MATCH(T$2,英雄装备!$1:$1,0)-5),装备属性!$A:$C,3,0),VLOOKUP(INDEX(英雄装备!$F:$BZ,MATCH($H24,英雄装备!$F:$F,0),MATCH(T$2,英雄装备!$1:$1,0)-4),装备属性!$A:$C,3,0),VLOOKUP(INDEX(英雄装备!$F:$BZ,MATCH($H24,英雄装备!$F:$F,0),MATCH(T$2,英雄装备!$1:$1,0)-3),装备属性!$A:$C,3,0),VLOOKUP(INDEX(英雄装备!$F:$BZ,MATCH($H24,英雄装备!$F:$F,0),MATCH(T$2,英雄装备!$1:$1,0)-2),装备属性!$A:$C,3,0),VLOOKUP(INDEX(英雄装备!$F:$BZ,MATCH($H24,英雄装备!$F:$F,0),MATCH(T$2,英雄装备!$1:$1,0)-1),装备属性!$A:$C,3,0))</f>
        <v>89</v>
      </c>
      <c r="U24" s="112"/>
      <c r="V24" s="112"/>
      <c r="W24" s="108">
        <f t="shared" si="3"/>
        <v>1</v>
      </c>
      <c r="X24" s="112">
        <f>IF(X11="暂无","暂无",IF(VLOOKUP(X11,装备属性!$A:$C,3,0)&gt;单英雄!$C$4,0,1))</f>
        <v>1</v>
      </c>
      <c r="Y24" s="112">
        <f>IF(Y11="暂无","暂无",IF(VLOOKUP(Y11,装备属性!$A:$C,3,0)&gt;单英雄!$C$4,0,1))</f>
        <v>1</v>
      </c>
      <c r="Z24" s="112">
        <f>IF(Z11="暂无","暂无",IF(VLOOKUP(Z11,装备属性!$A:$C,3,0)&gt;单英雄!$C$4,0,1))</f>
        <v>1</v>
      </c>
      <c r="AA24" s="112">
        <f>IF(AA11="暂无","暂无",IF(VLOOKUP(AA11,装备属性!$A:$C,3,0)&gt;单英雄!$C$4,0,1))</f>
        <v>1</v>
      </c>
      <c r="AB24" s="112">
        <f>IF(AB11="暂无","暂无",IF(VLOOKUP(AB11,装备属性!$A:$C,3,0)&gt;单英雄!$C$4,0,1))</f>
        <v>1</v>
      </c>
      <c r="AC24" s="112">
        <f>IF(AC11="暂无","暂无",IF(VLOOKUP(AC11,装备属性!$A:$C,3,0)&gt;单英雄!$C$4,0,1))</f>
        <v>1</v>
      </c>
      <c r="AF24" s="49">
        <v>1</v>
      </c>
      <c r="AG24" s="49" t="str">
        <f>Y1</f>
        <v>敏捷丝袜</v>
      </c>
      <c r="AH24" s="49">
        <f>VLOOKUP($AG24,装备属性!$A:$Y,5,0)</f>
        <v>0</v>
      </c>
      <c r="AI24" s="49">
        <f>VLOOKUP($AG24,装备属性!$A:$Y,6,0)</f>
        <v>3</v>
      </c>
      <c r="AJ24" s="49">
        <f>VLOOKUP($AG24,装备属性!$A:$Y,7,0)</f>
        <v>0</v>
      </c>
      <c r="AK24" s="49">
        <f>VLOOKUP($AG24,装备属性!$A:$Y,8,0)</f>
        <v>0</v>
      </c>
      <c r="AL24" s="49">
        <f>VLOOKUP($AG24,装备属性!$A:$Y,9,0)</f>
        <v>0</v>
      </c>
      <c r="AM24" s="49">
        <f>VLOOKUP($AG24,装备属性!$A:$Y,10,0)</f>
        <v>0</v>
      </c>
      <c r="AN24" s="49">
        <f>VLOOKUP($AG24,装备属性!$A:$Y,11,0)</f>
        <v>0</v>
      </c>
      <c r="AO24" s="49">
        <f>VLOOKUP($AG24,装备属性!$A:$Y,12,0)</f>
        <v>0</v>
      </c>
      <c r="AP24" s="49">
        <f>VLOOKUP($AG24,装备属性!$A:$Y,13,0)</f>
        <v>0</v>
      </c>
      <c r="AQ24" s="49">
        <f>VLOOKUP($AG24,装备属性!$A:$Y,14,0)</f>
        <v>0</v>
      </c>
      <c r="AR24" s="49">
        <f>VLOOKUP($AG24,装备属性!$A:$Y,15,0)</f>
        <v>0</v>
      </c>
      <c r="AS24" s="49">
        <f>VLOOKUP($AG24,装备属性!$A:$Y,16,0)</f>
        <v>0</v>
      </c>
      <c r="AT24" s="49">
        <f>VLOOKUP($AG24,装备属性!$A:$Y,17,0)</f>
        <v>0</v>
      </c>
      <c r="AU24" s="49">
        <f>VLOOKUP($AG24,装备属性!$A:$Y,18,0)</f>
        <v>0</v>
      </c>
      <c r="AV24" s="49">
        <f>VLOOKUP($AG24,装备属性!$A:$Y,19,0)</f>
        <v>0</v>
      </c>
      <c r="AW24" s="49">
        <f>VLOOKUP($AG24,装备属性!$A:$Y,20,0)</f>
        <v>0</v>
      </c>
      <c r="AX24" s="49">
        <f>VLOOKUP($AG24,装备属性!$A:$Y,21,0)</f>
        <v>0</v>
      </c>
      <c r="AY24" s="49">
        <f>VLOOKUP($AG24,装备属性!$A:$Y,22,0)</f>
        <v>0</v>
      </c>
      <c r="AZ24" s="138">
        <f>VLOOKUP($AG24,装备属性!$A:$Y,23,0)</f>
        <v>0</v>
      </c>
      <c r="BA24" s="138">
        <f>VLOOKUP($AG24,装备属性!$A:$Y,24,0)</f>
        <v>0</v>
      </c>
      <c r="BB24" s="138">
        <f>VLOOKUP($AG24,装备属性!$A:$Y,25,0)</f>
        <v>0</v>
      </c>
    </row>
    <row r="25" spans="2:54">
      <c r="B25" s="49" t="str">
        <f>英雄初始!A26</f>
        <v>小娜迦</v>
      </c>
      <c r="D25" s="49">
        <f>INDEX(英雄成长!$A:$Q,MATCH(单英雄!$C$2,英雄成长!$A:$A,0),MATCH(单英雄!$C$3,英雄成长!$1:$1,0))</f>
        <v>6.3</v>
      </c>
      <c r="E25" s="233"/>
      <c r="H25" s="54" t="s">
        <v>178</v>
      </c>
      <c r="I25" s="51">
        <f>MAX(VLOOKUP(INDEX(英雄装备!$F:$BZ,MATCH($H25,英雄装备!$F:$F,0),MATCH(I$2,英雄装备!$1:$1,0)-5),装备属性!$A:$C,3,0),VLOOKUP(INDEX(英雄装备!$F:$BZ,MATCH($H25,英雄装备!$F:$F,0),MATCH(I$2,英雄装备!$1:$1,0)-4),装备属性!$A:$C,3,0),VLOOKUP(INDEX(英雄装备!$F:$BZ,MATCH($H25,英雄装备!$F:$F,0),MATCH(I$2,英雄装备!$1:$1,0)-3),装备属性!$A:$C,3,0),VLOOKUP(INDEX(英雄装备!$F:$BZ,MATCH($H25,英雄装备!$F:$F,0),MATCH(I$2,英雄装备!$1:$1,0)-2),装备属性!$A:$C,3,0),VLOOKUP(INDEX(英雄装备!$F:$BZ,MATCH($H25,英雄装备!$F:$F,0),MATCH(I$2,英雄装备!$1:$1,0)-1),装备属性!$A:$C,3,0),VLOOKUP(INDEX(英雄装备!$F:$BZ,MATCH($H25,英雄装备!$F:$F,0),MATCH(I$2,英雄装备!$1:$1,0)),装备属性!$A:$C,3,0))</f>
        <v>2</v>
      </c>
      <c r="J25" s="51">
        <f>MAX(VLOOKUP(INDEX(英雄装备!$F:$BZ,MATCH($H25,英雄装备!$F:$F,0),MATCH(J$2,英雄装备!$1:$1,0)-5),装备属性!$A:$C,3,0),VLOOKUP(INDEX(英雄装备!$F:$BZ,MATCH($H25,英雄装备!$F:$F,0),MATCH(J$2,英雄装备!$1:$1,0)-4),装备属性!$A:$C,3,0),VLOOKUP(INDEX(英雄装备!$F:$BZ,MATCH($H25,英雄装备!$F:$F,0),MATCH(J$2,英雄装备!$1:$1,0)-3),装备属性!$A:$C,3,0),VLOOKUP(INDEX(英雄装备!$F:$BZ,MATCH($H25,英雄装备!$F:$F,0),MATCH(J$2,英雄装备!$1:$1,0)-2),装备属性!$A:$C,3,0),VLOOKUP(INDEX(英雄装备!$F:$BZ,MATCH($H25,英雄装备!$F:$F,0),MATCH(J$2,英雄装备!$1:$1,0)-1),装备属性!$A:$C,3,0),VLOOKUP(INDEX(英雄装备!$F:$BZ,MATCH($H25,英雄装备!$F:$F,0),MATCH(J$2,英雄装备!$1:$1,0)),装备属性!$A:$C,3,0))</f>
        <v>10</v>
      </c>
      <c r="K25" s="51">
        <f>MAX(VLOOKUP(INDEX(英雄装备!$F:$BZ,MATCH($H25,英雄装备!$F:$F,0),MATCH(K$2,英雄装备!$1:$1,0)-5),装备属性!$A:$C,3,0),VLOOKUP(INDEX(英雄装备!$F:$BZ,MATCH($H25,英雄装备!$F:$F,0),MATCH(K$2,英雄装备!$1:$1,0)-4),装备属性!$A:$C,3,0),VLOOKUP(INDEX(英雄装备!$F:$BZ,MATCH($H25,英雄装备!$F:$F,0),MATCH(K$2,英雄装备!$1:$1,0)-3),装备属性!$A:$C,3,0),VLOOKUP(INDEX(英雄装备!$F:$BZ,MATCH($H25,英雄装备!$F:$F,0),MATCH(K$2,英雄装备!$1:$1,0)-2),装备属性!$A:$C,3,0),VLOOKUP(INDEX(英雄装备!$F:$BZ,MATCH($H25,英雄装备!$F:$F,0),MATCH(K$2,英雄装备!$1:$1,0)-1),装备属性!$A:$C,3,0),VLOOKUP(INDEX(英雄装备!$F:$BZ,MATCH($H25,英雄装备!$F:$F,0),MATCH(K$2,英雄装备!$1:$1,0)),装备属性!$A:$C,3,0))</f>
        <v>20</v>
      </c>
      <c r="L25" s="51">
        <f>MAX(VLOOKUP(INDEX(英雄装备!$F:$BZ,MATCH($H25,英雄装备!$F:$F,0),MATCH(L$2,英雄装备!$1:$1,0)-5),装备属性!$A:$C,3,0),VLOOKUP(INDEX(英雄装备!$F:$BZ,MATCH($H25,英雄装备!$F:$F,0),MATCH(L$2,英雄装备!$1:$1,0)-4),装备属性!$A:$C,3,0),VLOOKUP(INDEX(英雄装备!$F:$BZ,MATCH($H25,英雄装备!$F:$F,0),MATCH(L$2,英雄装备!$1:$1,0)-3),装备属性!$A:$C,3,0),VLOOKUP(INDEX(英雄装备!$F:$BZ,MATCH($H25,英雄装备!$F:$F,0),MATCH(L$2,英雄装备!$1:$1,0)-2),装备属性!$A:$C,3,0),VLOOKUP(INDEX(英雄装备!$F:$BZ,MATCH($H25,英雄装备!$F:$F,0),MATCH(L$2,英雄装备!$1:$1,0)-1),装备属性!$A:$C,3,0),VLOOKUP(INDEX(英雄装备!$F:$BZ,MATCH($H25,英雄装备!$F:$F,0),MATCH(L$2,英雄装备!$1:$1,0)),装备属性!$A:$C,3,0))</f>
        <v>37</v>
      </c>
      <c r="M25" s="51">
        <f>MAX(VLOOKUP(INDEX(英雄装备!$F:$BZ,MATCH($H25,英雄装备!$F:$F,0),MATCH(M$2,英雄装备!$1:$1,0)-5),装备属性!$A:$C,3,0),VLOOKUP(INDEX(英雄装备!$F:$BZ,MATCH($H25,英雄装备!$F:$F,0),MATCH(M$2,英雄装备!$1:$1,0)-4),装备属性!$A:$C,3,0),VLOOKUP(INDEX(英雄装备!$F:$BZ,MATCH($H25,英雄装备!$F:$F,0),MATCH(M$2,英雄装备!$1:$1,0)-3),装备属性!$A:$C,3,0),VLOOKUP(INDEX(英雄装备!$F:$BZ,MATCH($H25,英雄装备!$F:$F,0),MATCH(M$2,英雄装备!$1:$1,0)-2),装备属性!$A:$C,3,0),VLOOKUP(INDEX(英雄装备!$F:$BZ,MATCH($H25,英雄装备!$F:$F,0),MATCH(M$2,英雄装备!$1:$1,0)-1),装备属性!$A:$C,3,0),VLOOKUP(INDEX(英雄装备!$F:$BZ,MATCH($H25,英雄装备!$F:$F,0),MATCH(M$2,英雄装备!$1:$1,0)),装备属性!$A:$C,3,0))</f>
        <v>42</v>
      </c>
      <c r="N25" s="51">
        <f>MAX(VLOOKUP(INDEX(英雄装备!$F:$BZ,MATCH($H25,英雄装备!$F:$F,0),MATCH(N$2,英雄装备!$1:$1,0)-5),装备属性!$A:$C,3,0),VLOOKUP(INDEX(英雄装备!$F:$BZ,MATCH($H25,英雄装备!$F:$F,0),MATCH(N$2,英雄装备!$1:$1,0)-4),装备属性!$A:$C,3,0),VLOOKUP(INDEX(英雄装备!$F:$BZ,MATCH($H25,英雄装备!$F:$F,0),MATCH(N$2,英雄装备!$1:$1,0)-3),装备属性!$A:$C,3,0),VLOOKUP(INDEX(英雄装备!$F:$BZ,MATCH($H25,英雄装备!$F:$F,0),MATCH(N$2,英雄装备!$1:$1,0)-2),装备属性!$A:$C,3,0),VLOOKUP(INDEX(英雄装备!$F:$BZ,MATCH($H25,英雄装备!$F:$F,0),MATCH(N$2,英雄装备!$1:$1,0)-1),装备属性!$A:$C,3,0),VLOOKUP(INDEX(英雄装备!$F:$BZ,MATCH($H25,英雄装备!$F:$F,0),MATCH(N$2,英雄装备!$1:$1,0)),装备属性!$A:$C,3,0))</f>
        <v>53</v>
      </c>
      <c r="O25" s="51">
        <f>MAX(VLOOKUP(INDEX(英雄装备!$F:$BZ,MATCH($H25,英雄装备!$F:$F,0),MATCH(O$2,英雄装备!$1:$1,0)-5),装备属性!$A:$C,3,0),VLOOKUP(INDEX(英雄装备!$F:$BZ,MATCH($H25,英雄装备!$F:$F,0),MATCH(O$2,英雄装备!$1:$1,0)-4),装备属性!$A:$C,3,0),VLOOKUP(INDEX(英雄装备!$F:$BZ,MATCH($H25,英雄装备!$F:$F,0),MATCH(O$2,英雄装备!$1:$1,0)-3),装备属性!$A:$C,3,0),VLOOKUP(INDEX(英雄装备!$F:$BZ,MATCH($H25,英雄装备!$F:$F,0),MATCH(O$2,英雄装备!$1:$1,0)-2),装备属性!$A:$C,3,0),VLOOKUP(INDEX(英雄装备!$F:$BZ,MATCH($H25,英雄装备!$F:$F,0),MATCH(O$2,英雄装备!$1:$1,0)-1),装备属性!$A:$C,3,0),VLOOKUP(INDEX(英雄装备!$F:$BZ,MATCH($H25,英雄装备!$F:$F,0),MATCH(O$2,英雄装备!$1:$1,0)),装备属性!$A:$C,3,0))</f>
        <v>64</v>
      </c>
      <c r="P25" s="51">
        <f>MAX(VLOOKUP(INDEX(英雄装备!$F:$BZ,MATCH($H25,英雄装备!$F:$F,0),MATCH(P$2,英雄装备!$1:$1,0)-5),装备属性!$A:$C,3,0),VLOOKUP(INDEX(英雄装备!$F:$BZ,MATCH($H25,英雄装备!$F:$F,0),MATCH(P$2,英雄装备!$1:$1,0)-4),装备属性!$A:$C,3,0),VLOOKUP(INDEX(英雄装备!$F:$BZ,MATCH($H25,英雄装备!$F:$F,0),MATCH(P$2,英雄装备!$1:$1,0)-3),装备属性!$A:$C,3,0),VLOOKUP(INDEX(英雄装备!$F:$BZ,MATCH($H25,英雄装备!$F:$F,0),MATCH(P$2,英雄装备!$1:$1,0)-2),装备属性!$A:$C,3,0),VLOOKUP(INDEX(英雄装备!$F:$BZ,MATCH($H25,英雄装备!$F:$F,0),MATCH(P$2,英雄装备!$1:$1,0)-1),装备属性!$A:$C,3,0),VLOOKUP(INDEX(英雄装备!$F:$BZ,MATCH($H25,英雄装备!$F:$F,0),MATCH(P$2,英雄装备!$1:$1,0)),装备属性!$A:$C,3,0))</f>
        <v>73</v>
      </c>
      <c r="Q25" s="51">
        <f>MAX(VLOOKUP(INDEX(英雄装备!$F:$BZ,MATCH($H25,英雄装备!$F:$F,0),MATCH(Q$2,英雄装备!$1:$1,0)-5),装备属性!$A:$C,3,0),VLOOKUP(INDEX(英雄装备!$F:$BZ,MATCH($H25,英雄装备!$F:$F,0),MATCH(Q$2,英雄装备!$1:$1,0)-4),装备属性!$A:$C,3,0),VLOOKUP(INDEX(英雄装备!$F:$BZ,MATCH($H25,英雄装备!$F:$F,0),MATCH(Q$2,英雄装备!$1:$1,0)-3),装备属性!$A:$C,3,0),VLOOKUP(INDEX(英雄装备!$F:$BZ,MATCH($H25,英雄装备!$F:$F,0),MATCH(Q$2,英雄装备!$1:$1,0)-2),装备属性!$A:$C,3,0),VLOOKUP(INDEX(英雄装备!$F:$BZ,MATCH($H25,英雄装备!$F:$F,0),MATCH(Q$2,英雄装备!$1:$1,0)-1),装备属性!$A:$C,3,0),VLOOKUP(INDEX(英雄装备!$F:$BZ,MATCH($H25,英雄装备!$F:$F,0),MATCH(Q$2,英雄装备!$1:$1,0)),装备属性!$A:$C,3,0))</f>
        <v>80</v>
      </c>
      <c r="R25" s="51">
        <f>MAX(VLOOKUP(INDEX(英雄装备!$F:$BZ,MATCH($H25,英雄装备!$F:$F,0),MATCH(R$2,英雄装备!$1:$1,0)-5),装备属性!$A:$C,3,0),VLOOKUP(INDEX(英雄装备!$F:$BZ,MATCH($H25,英雄装备!$F:$F,0),MATCH(R$2,英雄装备!$1:$1,0)-4),装备属性!$A:$C,3,0),VLOOKUP(INDEX(英雄装备!$F:$BZ,MATCH($H25,英雄装备!$F:$F,0),MATCH(R$2,英雄装备!$1:$1,0)-3),装备属性!$A:$C,3,0),VLOOKUP(INDEX(英雄装备!$F:$BZ,MATCH($H25,英雄装备!$F:$F,0),MATCH(R$2,英雄装备!$1:$1,0)-2),装备属性!$A:$C,3,0),VLOOKUP(INDEX(英雄装备!$F:$BZ,MATCH($H25,英雄装备!$F:$F,0),MATCH(R$2,英雄装备!$1:$1,0)-1),装备属性!$A:$C,3,0),VLOOKUP(INDEX(英雄装备!$F:$BZ,MATCH($H25,英雄装备!$F:$F,0),MATCH(R$2,英雄装备!$1:$1,0)),装备属性!$A:$C,3,0))</f>
        <v>79</v>
      </c>
      <c r="S25" s="51">
        <f>MAX(VLOOKUP(INDEX(英雄装备!$F:$BZ,MATCH($H25,英雄装备!$F:$F,0),MATCH(S$2,英雄装备!$1:$1,0)-5),装备属性!$A:$C,3,0),VLOOKUP(INDEX(英雄装备!$F:$BZ,MATCH($H25,英雄装备!$F:$F,0),MATCH(S$2,英雄装备!$1:$1,0)-4),装备属性!$A:$C,3,0),VLOOKUP(INDEX(英雄装备!$F:$BZ,MATCH($H25,英雄装备!$F:$F,0),MATCH(S$2,英雄装备!$1:$1,0)-3),装备属性!$A:$C,3,0),VLOOKUP(INDEX(英雄装备!$F:$BZ,MATCH($H25,英雄装备!$F:$F,0),MATCH(S$2,英雄装备!$1:$1,0)-2),装备属性!$A:$C,3,0),VLOOKUP(INDEX(英雄装备!$F:$BZ,MATCH($H25,英雄装备!$F:$F,0),MATCH(S$2,英雄装备!$1:$1,0)-1),装备属性!$A:$C,3,0),VLOOKUP(INDEX(英雄装备!$F:$BZ,MATCH($H25,英雄装备!$F:$F,0),MATCH(S$2,英雄装备!$1:$1,0)),装备属性!$A:$C,3,0))</f>
        <v>85</v>
      </c>
      <c r="T25" s="51">
        <f>MAX(VLOOKUP(INDEX(英雄装备!$F:$BZ,MATCH($H25,英雄装备!$F:$F,0),MATCH(T$2,英雄装备!$1:$1,0)-5),装备属性!$A:$C,3,0),VLOOKUP(INDEX(英雄装备!$F:$BZ,MATCH($H25,英雄装备!$F:$F,0),MATCH(T$2,英雄装备!$1:$1,0)-4),装备属性!$A:$C,3,0),VLOOKUP(INDEX(英雄装备!$F:$BZ,MATCH($H25,英雄装备!$F:$F,0),MATCH(T$2,英雄装备!$1:$1,0)-3),装备属性!$A:$C,3,0),VLOOKUP(INDEX(英雄装备!$F:$BZ,MATCH($H25,英雄装备!$F:$F,0),MATCH(T$2,英雄装备!$1:$1,0)-2),装备属性!$A:$C,3,0),VLOOKUP(INDEX(英雄装备!$F:$BZ,MATCH($H25,英雄装备!$F:$F,0),MATCH(T$2,英雄装备!$1:$1,0)-1),装备属性!$A:$C,3,0))</f>
        <v>89</v>
      </c>
      <c r="U25" s="112"/>
      <c r="V25" s="112"/>
      <c r="W25" s="108">
        <f t="shared" si="3"/>
        <v>1</v>
      </c>
      <c r="X25" s="112">
        <f>IF(X12="暂无","暂无",IF(VLOOKUP(X12,装备属性!$A:$C,3,0)&gt;单英雄!$C$4,0,1))</f>
        <v>1</v>
      </c>
      <c r="Y25" s="112">
        <f>IF(Y12="暂无","暂无",IF(VLOOKUP(Y12,装备属性!$A:$C,3,0)&gt;单英雄!$C$4,0,1))</f>
        <v>1</v>
      </c>
      <c r="Z25" s="112">
        <f>IF(Z12="暂无","暂无",IF(VLOOKUP(Z12,装备属性!$A:$C,3,0)&gt;单英雄!$C$4,0,1))</f>
        <v>1</v>
      </c>
      <c r="AA25" s="112">
        <f>IF(AA12="暂无","暂无",IF(VLOOKUP(AA12,装备属性!$A:$C,3,0)&gt;单英雄!$C$4,0,1))</f>
        <v>1</v>
      </c>
      <c r="AB25" s="112">
        <f>IF(AB12="暂无","暂无",IF(VLOOKUP(AB12,装备属性!$A:$C,3,0)&gt;单英雄!$C$4,0,1))</f>
        <v>1</v>
      </c>
      <c r="AC25" s="141" t="s">
        <v>2102</v>
      </c>
      <c r="AF25" s="49">
        <v>1</v>
      </c>
      <c r="AG25" s="49" t="str">
        <f>Z1</f>
        <v>贵族头环</v>
      </c>
      <c r="AH25" s="49">
        <f>VLOOKUP($AG25,装备属性!$A:$Y,5,0)</f>
        <v>2</v>
      </c>
      <c r="AI25" s="49">
        <f>VLOOKUP($AG25,装备属性!$A:$Y,6,0)</f>
        <v>2</v>
      </c>
      <c r="AJ25" s="49">
        <f>VLOOKUP($AG25,装备属性!$A:$Y,7,0)</f>
        <v>2</v>
      </c>
      <c r="AK25" s="49">
        <f>VLOOKUP($AG25,装备属性!$A:$Y,8,0)</f>
        <v>0</v>
      </c>
      <c r="AL25" s="49">
        <f>VLOOKUP($AG25,装备属性!$A:$Y,9,0)</f>
        <v>0</v>
      </c>
      <c r="AM25" s="49">
        <f>VLOOKUP($AG25,装备属性!$A:$Y,10,0)</f>
        <v>0</v>
      </c>
      <c r="AN25" s="49">
        <f>VLOOKUP($AG25,装备属性!$A:$Y,11,0)</f>
        <v>0</v>
      </c>
      <c r="AO25" s="49">
        <f>VLOOKUP($AG25,装备属性!$A:$Y,12,0)</f>
        <v>0</v>
      </c>
      <c r="AP25" s="49">
        <f>VLOOKUP($AG25,装备属性!$A:$Y,13,0)</f>
        <v>0</v>
      </c>
      <c r="AQ25" s="49">
        <f>VLOOKUP($AG25,装备属性!$A:$Y,14,0)</f>
        <v>0</v>
      </c>
      <c r="AR25" s="49">
        <f>VLOOKUP($AG25,装备属性!$A:$Y,15,0)</f>
        <v>0</v>
      </c>
      <c r="AS25" s="49">
        <f>VLOOKUP($AG25,装备属性!$A:$Y,16,0)</f>
        <v>0</v>
      </c>
      <c r="AT25" s="49">
        <f>VLOOKUP($AG25,装备属性!$A:$Y,17,0)</f>
        <v>0</v>
      </c>
      <c r="AU25" s="49">
        <f>VLOOKUP($AG25,装备属性!$A:$Y,18,0)</f>
        <v>0</v>
      </c>
      <c r="AV25" s="49">
        <f>VLOOKUP($AG25,装备属性!$A:$Y,19,0)</f>
        <v>0</v>
      </c>
      <c r="AW25" s="49">
        <f>VLOOKUP($AG25,装备属性!$A:$Y,20,0)</f>
        <v>0</v>
      </c>
      <c r="AX25" s="49">
        <f>VLOOKUP($AG25,装备属性!$A:$Y,21,0)</f>
        <v>0</v>
      </c>
      <c r="AY25" s="49">
        <f>VLOOKUP($AG25,装备属性!$A:$Y,22,0)</f>
        <v>0</v>
      </c>
      <c r="AZ25" s="138">
        <f>VLOOKUP($AG25,装备属性!$A:$Y,23,0)</f>
        <v>0</v>
      </c>
      <c r="BA25" s="138">
        <f>VLOOKUP($AG25,装备属性!$A:$Y,24,0)</f>
        <v>0</v>
      </c>
      <c r="BB25" s="138">
        <f>VLOOKUP($AG25,装备属性!$A:$Y,25,0)</f>
        <v>0</v>
      </c>
    </row>
    <row r="26" spans="2:54">
      <c r="B26" s="49" t="str">
        <f>英雄初始!A27</f>
        <v>影魔</v>
      </c>
      <c r="D26" s="49">
        <f>INDEX(英雄成长!$A:$Q,MATCH(单英雄!$C$2,英雄成长!$A:$A,0),MATCH(单英雄!$C$3,英雄成长!$1:$1,0)+1)</f>
        <v>9.6</v>
      </c>
      <c r="E26" s="233"/>
      <c r="H26" s="54" t="s">
        <v>179</v>
      </c>
      <c r="I26" s="51">
        <f>MAX(VLOOKUP(INDEX(英雄装备!$F:$BZ,MATCH($H26,英雄装备!$F:$F,0),MATCH(I$2,英雄装备!$1:$1,0)-5),装备属性!$A:$C,3,0),VLOOKUP(INDEX(英雄装备!$F:$BZ,MATCH($H26,英雄装备!$F:$F,0),MATCH(I$2,英雄装备!$1:$1,0)-4),装备属性!$A:$C,3,0),VLOOKUP(INDEX(英雄装备!$F:$BZ,MATCH($H26,英雄装备!$F:$F,0),MATCH(I$2,英雄装备!$1:$1,0)-3),装备属性!$A:$C,3,0),VLOOKUP(INDEX(英雄装备!$F:$BZ,MATCH($H26,英雄装备!$F:$F,0),MATCH(I$2,英雄装备!$1:$1,0)-2),装备属性!$A:$C,3,0),VLOOKUP(INDEX(英雄装备!$F:$BZ,MATCH($H26,英雄装备!$F:$F,0),MATCH(I$2,英雄装备!$1:$1,0)-1),装备属性!$A:$C,3,0),VLOOKUP(INDEX(英雄装备!$F:$BZ,MATCH($H26,英雄装备!$F:$F,0),MATCH(I$2,英雄装备!$1:$1,0)),装备属性!$A:$C,3,0))</f>
        <v>2</v>
      </c>
      <c r="J26" s="51">
        <f>MAX(VLOOKUP(INDEX(英雄装备!$F:$BZ,MATCH($H26,英雄装备!$F:$F,0),MATCH(J$2,英雄装备!$1:$1,0)-5),装备属性!$A:$C,3,0),VLOOKUP(INDEX(英雄装备!$F:$BZ,MATCH($H26,英雄装备!$F:$F,0),MATCH(J$2,英雄装备!$1:$1,0)-4),装备属性!$A:$C,3,0),VLOOKUP(INDEX(英雄装备!$F:$BZ,MATCH($H26,英雄装备!$F:$F,0),MATCH(J$2,英雄装备!$1:$1,0)-3),装备属性!$A:$C,3,0),VLOOKUP(INDEX(英雄装备!$F:$BZ,MATCH($H26,英雄装备!$F:$F,0),MATCH(J$2,英雄装备!$1:$1,0)-2),装备属性!$A:$C,3,0),VLOOKUP(INDEX(英雄装备!$F:$BZ,MATCH($H26,英雄装备!$F:$F,0),MATCH(J$2,英雄装备!$1:$1,0)-1),装备属性!$A:$C,3,0),VLOOKUP(INDEX(英雄装备!$F:$BZ,MATCH($H26,英雄装备!$F:$F,0),MATCH(J$2,英雄装备!$1:$1,0)),装备属性!$A:$C,3,0))</f>
        <v>11</v>
      </c>
      <c r="K26" s="51">
        <f>MAX(VLOOKUP(INDEX(英雄装备!$F:$BZ,MATCH($H26,英雄装备!$F:$F,0),MATCH(K$2,英雄装备!$1:$1,0)-5),装备属性!$A:$C,3,0),VLOOKUP(INDEX(英雄装备!$F:$BZ,MATCH($H26,英雄装备!$F:$F,0),MATCH(K$2,英雄装备!$1:$1,0)-4),装备属性!$A:$C,3,0),VLOOKUP(INDEX(英雄装备!$F:$BZ,MATCH($H26,英雄装备!$F:$F,0),MATCH(K$2,英雄装备!$1:$1,0)-3),装备属性!$A:$C,3,0),VLOOKUP(INDEX(英雄装备!$F:$BZ,MATCH($H26,英雄装备!$F:$F,0),MATCH(K$2,英雄装备!$1:$1,0)-2),装备属性!$A:$C,3,0),VLOOKUP(INDEX(英雄装备!$F:$BZ,MATCH($H26,英雄装备!$F:$F,0),MATCH(K$2,英雄装备!$1:$1,0)-1),装备属性!$A:$C,3,0),VLOOKUP(INDEX(英雄装备!$F:$BZ,MATCH($H26,英雄装备!$F:$F,0),MATCH(K$2,英雄装备!$1:$1,0)),装备属性!$A:$C,3,0))</f>
        <v>26</v>
      </c>
      <c r="L26" s="51">
        <f>MAX(VLOOKUP(INDEX(英雄装备!$F:$BZ,MATCH($H26,英雄装备!$F:$F,0),MATCH(L$2,英雄装备!$1:$1,0)-5),装备属性!$A:$C,3,0),VLOOKUP(INDEX(英雄装备!$F:$BZ,MATCH($H26,英雄装备!$F:$F,0),MATCH(L$2,英雄装备!$1:$1,0)-4),装备属性!$A:$C,3,0),VLOOKUP(INDEX(英雄装备!$F:$BZ,MATCH($H26,英雄装备!$F:$F,0),MATCH(L$2,英雄装备!$1:$1,0)-3),装备属性!$A:$C,3,0),VLOOKUP(INDEX(英雄装备!$F:$BZ,MATCH($H26,英雄装备!$F:$F,0),MATCH(L$2,英雄装备!$1:$1,0)-2),装备属性!$A:$C,3,0),VLOOKUP(INDEX(英雄装备!$F:$BZ,MATCH($H26,英雄装备!$F:$F,0),MATCH(L$2,英雄装备!$1:$1,0)-1),装备属性!$A:$C,3,0),VLOOKUP(INDEX(英雄装备!$F:$BZ,MATCH($H26,英雄装备!$F:$F,0),MATCH(L$2,英雄装备!$1:$1,0)),装备属性!$A:$C,3,0))</f>
        <v>35</v>
      </c>
      <c r="M26" s="51">
        <f>MAX(VLOOKUP(INDEX(英雄装备!$F:$BZ,MATCH($H26,英雄装备!$F:$F,0),MATCH(M$2,英雄装备!$1:$1,0)-5),装备属性!$A:$C,3,0),VLOOKUP(INDEX(英雄装备!$F:$BZ,MATCH($H26,英雄装备!$F:$F,0),MATCH(M$2,英雄装备!$1:$1,0)-4),装备属性!$A:$C,3,0),VLOOKUP(INDEX(英雄装备!$F:$BZ,MATCH($H26,英雄装备!$F:$F,0),MATCH(M$2,英雄装备!$1:$1,0)-3),装备属性!$A:$C,3,0),VLOOKUP(INDEX(英雄装备!$F:$BZ,MATCH($H26,英雄装备!$F:$F,0),MATCH(M$2,英雄装备!$1:$1,0)-2),装备属性!$A:$C,3,0),VLOOKUP(INDEX(英雄装备!$F:$BZ,MATCH($H26,英雄装备!$F:$F,0),MATCH(M$2,英雄装备!$1:$1,0)-1),装备属性!$A:$C,3,0),VLOOKUP(INDEX(英雄装备!$F:$BZ,MATCH($H26,英雄装备!$F:$F,0),MATCH(M$2,英雄装备!$1:$1,0)),装备属性!$A:$C,3,0))</f>
        <v>44</v>
      </c>
      <c r="N26" s="51">
        <f>MAX(VLOOKUP(INDEX(英雄装备!$F:$BZ,MATCH($H26,英雄装备!$F:$F,0),MATCH(N$2,英雄装备!$1:$1,0)-5),装备属性!$A:$C,3,0),VLOOKUP(INDEX(英雄装备!$F:$BZ,MATCH($H26,英雄装备!$F:$F,0),MATCH(N$2,英雄装备!$1:$1,0)-4),装备属性!$A:$C,3,0),VLOOKUP(INDEX(英雄装备!$F:$BZ,MATCH($H26,英雄装备!$F:$F,0),MATCH(N$2,英雄装备!$1:$1,0)-3),装备属性!$A:$C,3,0),VLOOKUP(INDEX(英雄装备!$F:$BZ,MATCH($H26,英雄装备!$F:$F,0),MATCH(N$2,英雄装备!$1:$1,0)-2),装备属性!$A:$C,3,0),VLOOKUP(INDEX(英雄装备!$F:$BZ,MATCH($H26,英雄装备!$F:$F,0),MATCH(N$2,英雄装备!$1:$1,0)-1),装备属性!$A:$C,3,0),VLOOKUP(INDEX(英雄装备!$F:$BZ,MATCH($H26,英雄装备!$F:$F,0),MATCH(N$2,英雄装备!$1:$1,0)),装备属性!$A:$C,3,0))</f>
        <v>53</v>
      </c>
      <c r="O26" s="51">
        <f>MAX(VLOOKUP(INDEX(英雄装备!$F:$BZ,MATCH($H26,英雄装备!$F:$F,0),MATCH(O$2,英雄装备!$1:$1,0)-5),装备属性!$A:$C,3,0),VLOOKUP(INDEX(英雄装备!$F:$BZ,MATCH($H26,英雄装备!$F:$F,0),MATCH(O$2,英雄装备!$1:$1,0)-4),装备属性!$A:$C,3,0),VLOOKUP(INDEX(英雄装备!$F:$BZ,MATCH($H26,英雄装备!$F:$F,0),MATCH(O$2,英雄装备!$1:$1,0)-3),装备属性!$A:$C,3,0),VLOOKUP(INDEX(英雄装备!$F:$BZ,MATCH($H26,英雄装备!$F:$F,0),MATCH(O$2,英雄装备!$1:$1,0)-2),装备属性!$A:$C,3,0),VLOOKUP(INDEX(英雄装备!$F:$BZ,MATCH($H26,英雄装备!$F:$F,0),MATCH(O$2,英雄装备!$1:$1,0)-1),装备属性!$A:$C,3,0),VLOOKUP(INDEX(英雄装备!$F:$BZ,MATCH($H26,英雄装备!$F:$F,0),MATCH(O$2,英雄装备!$1:$1,0)),装备属性!$A:$C,3,0))</f>
        <v>64</v>
      </c>
      <c r="P26" s="51">
        <f>MAX(VLOOKUP(INDEX(英雄装备!$F:$BZ,MATCH($H26,英雄装备!$F:$F,0),MATCH(P$2,英雄装备!$1:$1,0)-5),装备属性!$A:$C,3,0),VLOOKUP(INDEX(英雄装备!$F:$BZ,MATCH($H26,英雄装备!$F:$F,0),MATCH(P$2,英雄装备!$1:$1,0)-4),装备属性!$A:$C,3,0),VLOOKUP(INDEX(英雄装备!$F:$BZ,MATCH($H26,英雄装备!$F:$F,0),MATCH(P$2,英雄装备!$1:$1,0)-3),装备属性!$A:$C,3,0),VLOOKUP(INDEX(英雄装备!$F:$BZ,MATCH($H26,英雄装备!$F:$F,0),MATCH(P$2,英雄装备!$1:$1,0)-2),装备属性!$A:$C,3,0),VLOOKUP(INDEX(英雄装备!$F:$BZ,MATCH($H26,英雄装备!$F:$F,0),MATCH(P$2,英雄装备!$1:$1,0)-1),装备属性!$A:$C,3,0),VLOOKUP(INDEX(英雄装备!$F:$BZ,MATCH($H26,英雄装备!$F:$F,0),MATCH(P$2,英雄装备!$1:$1,0)),装备属性!$A:$C,3,0))</f>
        <v>73</v>
      </c>
      <c r="Q26" s="51">
        <f>MAX(VLOOKUP(INDEX(英雄装备!$F:$BZ,MATCH($H26,英雄装备!$F:$F,0),MATCH(Q$2,英雄装备!$1:$1,0)-5),装备属性!$A:$C,3,0),VLOOKUP(INDEX(英雄装备!$F:$BZ,MATCH($H26,英雄装备!$F:$F,0),MATCH(Q$2,英雄装备!$1:$1,0)-4),装备属性!$A:$C,3,0),VLOOKUP(INDEX(英雄装备!$F:$BZ,MATCH($H26,英雄装备!$F:$F,0),MATCH(Q$2,英雄装备!$1:$1,0)-3),装备属性!$A:$C,3,0),VLOOKUP(INDEX(英雄装备!$F:$BZ,MATCH($H26,英雄装备!$F:$F,0),MATCH(Q$2,英雄装备!$1:$1,0)-2),装备属性!$A:$C,3,0),VLOOKUP(INDEX(英雄装备!$F:$BZ,MATCH($H26,英雄装备!$F:$F,0),MATCH(Q$2,英雄装备!$1:$1,0)-1),装备属性!$A:$C,3,0),VLOOKUP(INDEX(英雄装备!$F:$BZ,MATCH($H26,英雄装备!$F:$F,0),MATCH(Q$2,英雄装备!$1:$1,0)),装备属性!$A:$C,3,0))</f>
        <v>79</v>
      </c>
      <c r="R26" s="51">
        <f>MAX(VLOOKUP(INDEX(英雄装备!$F:$BZ,MATCH($H26,英雄装备!$F:$F,0),MATCH(R$2,英雄装备!$1:$1,0)-5),装备属性!$A:$C,3,0),VLOOKUP(INDEX(英雄装备!$F:$BZ,MATCH($H26,英雄装备!$F:$F,0),MATCH(R$2,英雄装备!$1:$1,0)-4),装备属性!$A:$C,3,0),VLOOKUP(INDEX(英雄装备!$F:$BZ,MATCH($H26,英雄装备!$F:$F,0),MATCH(R$2,英雄装备!$1:$1,0)-3),装备属性!$A:$C,3,0),VLOOKUP(INDEX(英雄装备!$F:$BZ,MATCH($H26,英雄装备!$F:$F,0),MATCH(R$2,英雄装备!$1:$1,0)-2),装备属性!$A:$C,3,0),VLOOKUP(INDEX(英雄装备!$F:$BZ,MATCH($H26,英雄装备!$F:$F,0),MATCH(R$2,英雄装备!$1:$1,0)-1),装备属性!$A:$C,3,0),VLOOKUP(INDEX(英雄装备!$F:$BZ,MATCH($H26,英雄装备!$F:$F,0),MATCH(R$2,英雄装备!$1:$1,0)),装备属性!$A:$C,3,0))</f>
        <v>80</v>
      </c>
      <c r="S26" s="51">
        <f>MAX(VLOOKUP(INDEX(英雄装备!$F:$BZ,MATCH($H26,英雄装备!$F:$F,0),MATCH(S$2,英雄装备!$1:$1,0)-5),装备属性!$A:$C,3,0),VLOOKUP(INDEX(英雄装备!$F:$BZ,MATCH($H26,英雄装备!$F:$F,0),MATCH(S$2,英雄装备!$1:$1,0)-4),装备属性!$A:$C,3,0),VLOOKUP(INDEX(英雄装备!$F:$BZ,MATCH($H26,英雄装备!$F:$F,0),MATCH(S$2,英雄装备!$1:$1,0)-3),装备属性!$A:$C,3,0),VLOOKUP(INDEX(英雄装备!$F:$BZ,MATCH($H26,英雄装备!$F:$F,0),MATCH(S$2,英雄装备!$1:$1,0)-2),装备属性!$A:$C,3,0),VLOOKUP(INDEX(英雄装备!$F:$BZ,MATCH($H26,英雄装备!$F:$F,0),MATCH(S$2,英雄装备!$1:$1,0)-1),装备属性!$A:$C,3,0),VLOOKUP(INDEX(英雄装备!$F:$BZ,MATCH($H26,英雄装备!$F:$F,0),MATCH(S$2,英雄装备!$1:$1,0)),装备属性!$A:$C,3,0))</f>
        <v>85</v>
      </c>
      <c r="T26" s="51">
        <f>MAX(VLOOKUP(INDEX(英雄装备!$F:$BZ,MATCH($H26,英雄装备!$F:$F,0),MATCH(T$2,英雄装备!$1:$1,0)-5),装备属性!$A:$C,3,0),VLOOKUP(INDEX(英雄装备!$F:$BZ,MATCH($H26,英雄装备!$F:$F,0),MATCH(T$2,英雄装备!$1:$1,0)-4),装备属性!$A:$C,3,0),VLOOKUP(INDEX(英雄装备!$F:$BZ,MATCH($H26,英雄装备!$F:$F,0),MATCH(T$2,英雄装备!$1:$1,0)-3),装备属性!$A:$C,3,0),VLOOKUP(INDEX(英雄装备!$F:$BZ,MATCH($H26,英雄装备!$F:$F,0),MATCH(T$2,英雄装备!$1:$1,0)-2),装备属性!$A:$C,3,0),VLOOKUP(INDEX(英雄装备!$F:$BZ,MATCH($H26,英雄装备!$F:$F,0),MATCH(T$2,英雄装备!$1:$1,0)-1),装备属性!$A:$C,3,0))</f>
        <v>89</v>
      </c>
      <c r="AF26" s="49">
        <v>1</v>
      </c>
      <c r="AG26" s="49" t="str">
        <f>AA1</f>
        <v>补刀斧</v>
      </c>
      <c r="AH26" s="49">
        <f>VLOOKUP($AG26,装备属性!$A:$Y,5,0)</f>
        <v>0</v>
      </c>
      <c r="AI26" s="49">
        <f>VLOOKUP($AG26,装备属性!$A:$Y,6,0)</f>
        <v>0</v>
      </c>
      <c r="AJ26" s="49">
        <f>VLOOKUP($AG26,装备属性!$A:$Y,7,0)</f>
        <v>0</v>
      </c>
      <c r="AK26" s="49">
        <f>VLOOKUP($AG26,装备属性!$A:$Y,8,0)</f>
        <v>0</v>
      </c>
      <c r="AL26" s="49">
        <f>VLOOKUP($AG26,装备属性!$A:$Y,9,0)</f>
        <v>6</v>
      </c>
      <c r="AM26" s="49">
        <f>VLOOKUP($AG26,装备属性!$A:$Y,10,0)</f>
        <v>0</v>
      </c>
      <c r="AN26" s="49">
        <f>VLOOKUP($AG26,装备属性!$A:$Y,11,0)</f>
        <v>0</v>
      </c>
      <c r="AO26" s="49">
        <f>VLOOKUP($AG26,装备属性!$A:$Y,12,0)</f>
        <v>0</v>
      </c>
      <c r="AP26" s="49">
        <f>VLOOKUP($AG26,装备属性!$A:$Y,13,0)</f>
        <v>0</v>
      </c>
      <c r="AQ26" s="49">
        <f>VLOOKUP($AG26,装备属性!$A:$Y,14,0)</f>
        <v>0</v>
      </c>
      <c r="AR26" s="49">
        <f>VLOOKUP($AG26,装备属性!$A:$Y,15,0)</f>
        <v>0</v>
      </c>
      <c r="AS26" s="49">
        <f>VLOOKUP($AG26,装备属性!$A:$Y,16,0)</f>
        <v>0</v>
      </c>
      <c r="AT26" s="49">
        <f>VLOOKUP($AG26,装备属性!$A:$Y,17,0)</f>
        <v>0</v>
      </c>
      <c r="AU26" s="49">
        <f>VLOOKUP($AG26,装备属性!$A:$Y,18,0)</f>
        <v>0</v>
      </c>
      <c r="AV26" s="49">
        <f>VLOOKUP($AG26,装备属性!$A:$Y,19,0)</f>
        <v>0</v>
      </c>
      <c r="AW26" s="49">
        <f>VLOOKUP($AG26,装备属性!$A:$Y,20,0)</f>
        <v>0</v>
      </c>
      <c r="AX26" s="49">
        <f>VLOOKUP($AG26,装备属性!$A:$Y,21,0)</f>
        <v>0</v>
      </c>
      <c r="AY26" s="49">
        <f>VLOOKUP($AG26,装备属性!$A:$Y,22,0)</f>
        <v>0</v>
      </c>
      <c r="AZ26" s="138">
        <f>VLOOKUP($AG26,装备属性!$A:$Y,23,0)</f>
        <v>0</v>
      </c>
      <c r="BA26" s="138">
        <f>VLOOKUP($AG26,装备属性!$A:$Y,24,0)</f>
        <v>0</v>
      </c>
      <c r="BB26" s="138">
        <f>VLOOKUP($AG26,装备属性!$A:$Y,25,0)</f>
        <v>0</v>
      </c>
    </row>
    <row r="27" spans="2:54">
      <c r="B27" s="49" t="str">
        <f>英雄初始!A28</f>
        <v>月骑</v>
      </c>
      <c r="D27" s="49">
        <f>INDEX(英雄成长!$A:$Q,MATCH(单英雄!$C$2,英雄成长!$A:$A,0),MATCH(单英雄!$C$3,英雄成长!$1:$1,0)+2)</f>
        <v>4.2</v>
      </c>
      <c r="E27" s="233"/>
      <c r="H27" s="54" t="s">
        <v>180</v>
      </c>
      <c r="I27" s="51">
        <f>MAX(VLOOKUP(INDEX(英雄装备!$F:$BZ,MATCH($H27,英雄装备!$F:$F,0),MATCH(I$2,英雄装备!$1:$1,0)-5),装备属性!$A:$C,3,0),VLOOKUP(INDEX(英雄装备!$F:$BZ,MATCH($H27,英雄装备!$F:$F,0),MATCH(I$2,英雄装备!$1:$1,0)-4),装备属性!$A:$C,3,0),VLOOKUP(INDEX(英雄装备!$F:$BZ,MATCH($H27,英雄装备!$F:$F,0),MATCH(I$2,英雄装备!$1:$1,0)-3),装备属性!$A:$C,3,0),VLOOKUP(INDEX(英雄装备!$F:$BZ,MATCH($H27,英雄装备!$F:$F,0),MATCH(I$2,英雄装备!$1:$1,0)-2),装备属性!$A:$C,3,0),VLOOKUP(INDEX(英雄装备!$F:$BZ,MATCH($H27,英雄装备!$F:$F,0),MATCH(I$2,英雄装备!$1:$1,0)-1),装备属性!$A:$C,3,0),VLOOKUP(INDEX(英雄装备!$F:$BZ,MATCH($H27,英雄装备!$F:$F,0),MATCH(I$2,英雄装备!$1:$1,0)),装备属性!$A:$C,3,0))</f>
        <v>2</v>
      </c>
      <c r="J27" s="51">
        <f>MAX(VLOOKUP(INDEX(英雄装备!$F:$BZ,MATCH($H27,英雄装备!$F:$F,0),MATCH(J$2,英雄装备!$1:$1,0)-5),装备属性!$A:$C,3,0),VLOOKUP(INDEX(英雄装备!$F:$BZ,MATCH($H27,英雄装备!$F:$F,0),MATCH(J$2,英雄装备!$1:$1,0)-4),装备属性!$A:$C,3,0),VLOOKUP(INDEX(英雄装备!$F:$BZ,MATCH($H27,英雄装备!$F:$F,0),MATCH(J$2,英雄装备!$1:$1,0)-3),装备属性!$A:$C,3,0),VLOOKUP(INDEX(英雄装备!$F:$BZ,MATCH($H27,英雄装备!$F:$F,0),MATCH(J$2,英雄装备!$1:$1,0)-2),装备属性!$A:$C,3,0),VLOOKUP(INDEX(英雄装备!$F:$BZ,MATCH($H27,英雄装备!$F:$F,0),MATCH(J$2,英雄装备!$1:$1,0)-1),装备属性!$A:$C,3,0),VLOOKUP(INDEX(英雄装备!$F:$BZ,MATCH($H27,英雄装备!$F:$F,0),MATCH(J$2,英雄装备!$1:$1,0)),装备属性!$A:$C,3,0))</f>
        <v>10</v>
      </c>
      <c r="K27" s="51">
        <f>MAX(VLOOKUP(INDEX(英雄装备!$F:$BZ,MATCH($H27,英雄装备!$F:$F,0),MATCH(K$2,英雄装备!$1:$1,0)-5),装备属性!$A:$C,3,0),VLOOKUP(INDEX(英雄装备!$F:$BZ,MATCH($H27,英雄装备!$F:$F,0),MATCH(K$2,英雄装备!$1:$1,0)-4),装备属性!$A:$C,3,0),VLOOKUP(INDEX(英雄装备!$F:$BZ,MATCH($H27,英雄装备!$F:$F,0),MATCH(K$2,英雄装备!$1:$1,0)-3),装备属性!$A:$C,3,0),VLOOKUP(INDEX(英雄装备!$F:$BZ,MATCH($H27,英雄装备!$F:$F,0),MATCH(K$2,英雄装备!$1:$1,0)-2),装备属性!$A:$C,3,0),VLOOKUP(INDEX(英雄装备!$F:$BZ,MATCH($H27,英雄装备!$F:$F,0),MATCH(K$2,英雄装备!$1:$1,0)-1),装备属性!$A:$C,3,0),VLOOKUP(INDEX(英雄装备!$F:$BZ,MATCH($H27,英雄装备!$F:$F,0),MATCH(K$2,英雄装备!$1:$1,0)),装备属性!$A:$C,3,0))</f>
        <v>20</v>
      </c>
      <c r="L27" s="51">
        <f>MAX(VLOOKUP(INDEX(英雄装备!$F:$BZ,MATCH($H27,英雄装备!$F:$F,0),MATCH(L$2,英雄装备!$1:$1,0)-5),装备属性!$A:$C,3,0),VLOOKUP(INDEX(英雄装备!$F:$BZ,MATCH($H27,英雄装备!$F:$F,0),MATCH(L$2,英雄装备!$1:$1,0)-4),装备属性!$A:$C,3,0),VLOOKUP(INDEX(英雄装备!$F:$BZ,MATCH($H27,英雄装备!$F:$F,0),MATCH(L$2,英雄装备!$1:$1,0)-3),装备属性!$A:$C,3,0),VLOOKUP(INDEX(英雄装备!$F:$BZ,MATCH($H27,英雄装备!$F:$F,0),MATCH(L$2,英雄装备!$1:$1,0)-2),装备属性!$A:$C,3,0),VLOOKUP(INDEX(英雄装备!$F:$BZ,MATCH($H27,英雄装备!$F:$F,0),MATCH(L$2,英雄装备!$1:$1,0)-1),装备属性!$A:$C,3,0),VLOOKUP(INDEX(英雄装备!$F:$BZ,MATCH($H27,英雄装备!$F:$F,0),MATCH(L$2,英雄装备!$1:$1,0)),装备属性!$A:$C,3,0))</f>
        <v>35</v>
      </c>
      <c r="M27" s="51">
        <f>MAX(VLOOKUP(INDEX(英雄装备!$F:$BZ,MATCH($H27,英雄装备!$F:$F,0),MATCH(M$2,英雄装备!$1:$1,0)-5),装备属性!$A:$C,3,0),VLOOKUP(INDEX(英雄装备!$F:$BZ,MATCH($H27,英雄装备!$F:$F,0),MATCH(M$2,英雄装备!$1:$1,0)-4),装备属性!$A:$C,3,0),VLOOKUP(INDEX(英雄装备!$F:$BZ,MATCH($H27,英雄装备!$F:$F,0),MATCH(M$2,英雄装备!$1:$1,0)-3),装备属性!$A:$C,3,0),VLOOKUP(INDEX(英雄装备!$F:$BZ,MATCH($H27,英雄装备!$F:$F,0),MATCH(M$2,英雄装备!$1:$1,0)-2),装备属性!$A:$C,3,0),VLOOKUP(INDEX(英雄装备!$F:$BZ,MATCH($H27,英雄装备!$F:$F,0),MATCH(M$2,英雄装备!$1:$1,0)-1),装备属性!$A:$C,3,0),VLOOKUP(INDEX(英雄装备!$F:$BZ,MATCH($H27,英雄装备!$F:$F,0),MATCH(M$2,英雄装备!$1:$1,0)),装备属性!$A:$C,3,0))</f>
        <v>44</v>
      </c>
      <c r="N27" s="51">
        <f>MAX(VLOOKUP(INDEX(英雄装备!$F:$BZ,MATCH($H27,英雄装备!$F:$F,0),MATCH(N$2,英雄装备!$1:$1,0)-5),装备属性!$A:$C,3,0),VLOOKUP(INDEX(英雄装备!$F:$BZ,MATCH($H27,英雄装备!$F:$F,0),MATCH(N$2,英雄装备!$1:$1,0)-4),装备属性!$A:$C,3,0),VLOOKUP(INDEX(英雄装备!$F:$BZ,MATCH($H27,英雄装备!$F:$F,0),MATCH(N$2,英雄装备!$1:$1,0)-3),装备属性!$A:$C,3,0),VLOOKUP(INDEX(英雄装备!$F:$BZ,MATCH($H27,英雄装备!$F:$F,0),MATCH(N$2,英雄装备!$1:$1,0)-2),装备属性!$A:$C,3,0),VLOOKUP(INDEX(英雄装备!$F:$BZ,MATCH($H27,英雄装备!$F:$F,0),MATCH(N$2,英雄装备!$1:$1,0)-1),装备属性!$A:$C,3,0),VLOOKUP(INDEX(英雄装备!$F:$BZ,MATCH($H27,英雄装备!$F:$F,0),MATCH(N$2,英雄装备!$1:$1,0)),装备属性!$A:$C,3,0))</f>
        <v>53</v>
      </c>
      <c r="O27" s="51">
        <f>MAX(VLOOKUP(INDEX(英雄装备!$F:$BZ,MATCH($H27,英雄装备!$F:$F,0),MATCH(O$2,英雄装备!$1:$1,0)-5),装备属性!$A:$C,3,0),VLOOKUP(INDEX(英雄装备!$F:$BZ,MATCH($H27,英雄装备!$F:$F,0),MATCH(O$2,英雄装备!$1:$1,0)-4),装备属性!$A:$C,3,0),VLOOKUP(INDEX(英雄装备!$F:$BZ,MATCH($H27,英雄装备!$F:$F,0),MATCH(O$2,英雄装备!$1:$1,0)-3),装备属性!$A:$C,3,0),VLOOKUP(INDEX(英雄装备!$F:$BZ,MATCH($H27,英雄装备!$F:$F,0),MATCH(O$2,英雄装备!$1:$1,0)-2),装备属性!$A:$C,3,0),VLOOKUP(INDEX(英雄装备!$F:$BZ,MATCH($H27,英雄装备!$F:$F,0),MATCH(O$2,英雄装备!$1:$1,0)-1),装备属性!$A:$C,3,0),VLOOKUP(INDEX(英雄装备!$F:$BZ,MATCH($H27,英雄装备!$F:$F,0),MATCH(O$2,英雄装备!$1:$1,0)),装备属性!$A:$C,3,0))</f>
        <v>64</v>
      </c>
      <c r="P27" s="51">
        <f>MAX(VLOOKUP(INDEX(英雄装备!$F:$BZ,MATCH($H27,英雄装备!$F:$F,0),MATCH(P$2,英雄装备!$1:$1,0)-5),装备属性!$A:$C,3,0),VLOOKUP(INDEX(英雄装备!$F:$BZ,MATCH($H27,英雄装备!$F:$F,0),MATCH(P$2,英雄装备!$1:$1,0)-4),装备属性!$A:$C,3,0),VLOOKUP(INDEX(英雄装备!$F:$BZ,MATCH($H27,英雄装备!$F:$F,0),MATCH(P$2,英雄装备!$1:$1,0)-3),装备属性!$A:$C,3,0),VLOOKUP(INDEX(英雄装备!$F:$BZ,MATCH($H27,英雄装备!$F:$F,0),MATCH(P$2,英雄装备!$1:$1,0)-2),装备属性!$A:$C,3,0),VLOOKUP(INDEX(英雄装备!$F:$BZ,MATCH($H27,英雄装备!$F:$F,0),MATCH(P$2,英雄装备!$1:$1,0)-1),装备属性!$A:$C,3,0),VLOOKUP(INDEX(英雄装备!$F:$BZ,MATCH($H27,英雄装备!$F:$F,0),MATCH(P$2,英雄装备!$1:$1,0)),装备属性!$A:$C,3,0))</f>
        <v>73</v>
      </c>
      <c r="Q27" s="51">
        <f>MAX(VLOOKUP(INDEX(英雄装备!$F:$BZ,MATCH($H27,英雄装备!$F:$F,0),MATCH(Q$2,英雄装备!$1:$1,0)-5),装备属性!$A:$C,3,0),VLOOKUP(INDEX(英雄装备!$F:$BZ,MATCH($H27,英雄装备!$F:$F,0),MATCH(Q$2,英雄装备!$1:$1,0)-4),装备属性!$A:$C,3,0),VLOOKUP(INDEX(英雄装备!$F:$BZ,MATCH($H27,英雄装备!$F:$F,0),MATCH(Q$2,英雄装备!$1:$1,0)-3),装备属性!$A:$C,3,0),VLOOKUP(INDEX(英雄装备!$F:$BZ,MATCH($H27,英雄装备!$F:$F,0),MATCH(Q$2,英雄装备!$1:$1,0)-2),装备属性!$A:$C,3,0),VLOOKUP(INDEX(英雄装备!$F:$BZ,MATCH($H27,英雄装备!$F:$F,0),MATCH(Q$2,英雄装备!$1:$1,0)-1),装备属性!$A:$C,3,0),VLOOKUP(INDEX(英雄装备!$F:$BZ,MATCH($H27,英雄装备!$F:$F,0),MATCH(Q$2,英雄装备!$1:$1,0)),装备属性!$A:$C,3,0))</f>
        <v>79</v>
      </c>
      <c r="R27" s="51">
        <f>MAX(VLOOKUP(INDEX(英雄装备!$F:$BZ,MATCH($H27,英雄装备!$F:$F,0),MATCH(R$2,英雄装备!$1:$1,0)-5),装备属性!$A:$C,3,0),VLOOKUP(INDEX(英雄装备!$F:$BZ,MATCH($H27,英雄装备!$F:$F,0),MATCH(R$2,英雄装备!$1:$1,0)-4),装备属性!$A:$C,3,0),VLOOKUP(INDEX(英雄装备!$F:$BZ,MATCH($H27,英雄装备!$F:$F,0),MATCH(R$2,英雄装备!$1:$1,0)-3),装备属性!$A:$C,3,0),VLOOKUP(INDEX(英雄装备!$F:$BZ,MATCH($H27,英雄装备!$F:$F,0),MATCH(R$2,英雄装备!$1:$1,0)-2),装备属性!$A:$C,3,0),VLOOKUP(INDEX(英雄装备!$F:$BZ,MATCH($H27,英雄装备!$F:$F,0),MATCH(R$2,英雄装备!$1:$1,0)-1),装备属性!$A:$C,3,0),VLOOKUP(INDEX(英雄装备!$F:$BZ,MATCH($H27,英雄装备!$F:$F,0),MATCH(R$2,英雄装备!$1:$1,0)),装备属性!$A:$C,3,0))</f>
        <v>80</v>
      </c>
      <c r="S27" s="51">
        <f>MAX(VLOOKUP(INDEX(英雄装备!$F:$BZ,MATCH($H27,英雄装备!$F:$F,0),MATCH(S$2,英雄装备!$1:$1,0)-5),装备属性!$A:$C,3,0),VLOOKUP(INDEX(英雄装备!$F:$BZ,MATCH($H27,英雄装备!$F:$F,0),MATCH(S$2,英雄装备!$1:$1,0)-4),装备属性!$A:$C,3,0),VLOOKUP(INDEX(英雄装备!$F:$BZ,MATCH($H27,英雄装备!$F:$F,0),MATCH(S$2,英雄装备!$1:$1,0)-3),装备属性!$A:$C,3,0),VLOOKUP(INDEX(英雄装备!$F:$BZ,MATCH($H27,英雄装备!$F:$F,0),MATCH(S$2,英雄装备!$1:$1,0)-2),装备属性!$A:$C,3,0),VLOOKUP(INDEX(英雄装备!$F:$BZ,MATCH($H27,英雄装备!$F:$F,0),MATCH(S$2,英雄装备!$1:$1,0)-1),装备属性!$A:$C,3,0),VLOOKUP(INDEX(英雄装备!$F:$BZ,MATCH($H27,英雄装备!$F:$F,0),MATCH(S$2,英雄装备!$1:$1,0)),装备属性!$A:$C,3,0))</f>
        <v>84</v>
      </c>
      <c r="T27" s="51">
        <f>MAX(VLOOKUP(INDEX(英雄装备!$F:$BZ,MATCH($H27,英雄装备!$F:$F,0),MATCH(T$2,英雄装备!$1:$1,0)-5),装备属性!$A:$C,3,0),VLOOKUP(INDEX(英雄装备!$F:$BZ,MATCH($H27,英雄装备!$F:$F,0),MATCH(T$2,英雄装备!$1:$1,0)-4),装备属性!$A:$C,3,0),VLOOKUP(INDEX(英雄装备!$F:$BZ,MATCH($H27,英雄装备!$F:$F,0),MATCH(T$2,英雄装备!$1:$1,0)-3),装备属性!$A:$C,3,0),VLOOKUP(INDEX(英雄装备!$F:$BZ,MATCH($H27,英雄装备!$F:$F,0),MATCH(T$2,英雄装备!$1:$1,0)-2),装备属性!$A:$C,3,0),VLOOKUP(INDEX(英雄装备!$F:$BZ,MATCH($H27,英雄装备!$F:$F,0),MATCH(T$2,英雄装备!$1:$1,0)-1),装备属性!$A:$C,3,0))</f>
        <v>89</v>
      </c>
      <c r="X27" s="49" t="b">
        <f t="shared" ref="X27:AC27" si="4">AND($W14,X14)</f>
        <v>1</v>
      </c>
      <c r="Y27" s="49" t="b">
        <f t="shared" si="4"/>
        <v>1</v>
      </c>
      <c r="Z27" s="49" t="b">
        <f t="shared" si="4"/>
        <v>1</v>
      </c>
      <c r="AA27" s="49" t="b">
        <f t="shared" si="4"/>
        <v>1</v>
      </c>
      <c r="AB27" s="49" t="b">
        <f t="shared" si="4"/>
        <v>1</v>
      </c>
      <c r="AC27" s="49" t="b">
        <f t="shared" si="4"/>
        <v>1</v>
      </c>
      <c r="AF27" s="49">
        <v>1</v>
      </c>
      <c r="AG27" s="49" t="str">
        <f>AB1</f>
        <v>小圆盾</v>
      </c>
      <c r="AH27" s="49">
        <f>VLOOKUP($AG27,装备属性!$A:$Y,5,0)</f>
        <v>0</v>
      </c>
      <c r="AI27" s="49">
        <f>VLOOKUP($AG27,装备属性!$A:$Y,6,0)</f>
        <v>0</v>
      </c>
      <c r="AJ27" s="49">
        <f>VLOOKUP($AG27,装备属性!$A:$Y,7,0)</f>
        <v>0</v>
      </c>
      <c r="AK27" s="49">
        <f>VLOOKUP($AG27,装备属性!$A:$Y,8,0)</f>
        <v>0</v>
      </c>
      <c r="AL27" s="49">
        <f>VLOOKUP($AG27,装备属性!$A:$Y,9,0)</f>
        <v>0</v>
      </c>
      <c r="AM27" s="49">
        <f>VLOOKUP($AG27,装备属性!$A:$Y,10,0)</f>
        <v>0</v>
      </c>
      <c r="AN27" s="49">
        <f>VLOOKUP($AG27,装备属性!$A:$Y,11,0)</f>
        <v>2</v>
      </c>
      <c r="AO27" s="49">
        <f>VLOOKUP($AG27,装备属性!$A:$Y,12,0)</f>
        <v>0</v>
      </c>
      <c r="AP27" s="49">
        <f>VLOOKUP($AG27,装备属性!$A:$Y,13,0)</f>
        <v>0</v>
      </c>
      <c r="AQ27" s="49">
        <f>VLOOKUP($AG27,装备属性!$A:$Y,14,0)</f>
        <v>0</v>
      </c>
      <c r="AR27" s="49">
        <f>VLOOKUP($AG27,装备属性!$A:$Y,15,0)</f>
        <v>0</v>
      </c>
      <c r="AS27" s="49">
        <f>VLOOKUP($AG27,装备属性!$A:$Y,16,0)</f>
        <v>0</v>
      </c>
      <c r="AT27" s="49">
        <f>VLOOKUP($AG27,装备属性!$A:$Y,17,0)</f>
        <v>0</v>
      </c>
      <c r="AU27" s="49">
        <f>VLOOKUP($AG27,装备属性!$A:$Y,18,0)</f>
        <v>0</v>
      </c>
      <c r="AV27" s="49">
        <f>VLOOKUP($AG27,装备属性!$A:$Y,19,0)</f>
        <v>0</v>
      </c>
      <c r="AW27" s="49">
        <f>VLOOKUP($AG27,装备属性!$A:$Y,20,0)</f>
        <v>0</v>
      </c>
      <c r="AX27" s="49">
        <f>VLOOKUP($AG27,装备属性!$A:$Y,21,0)</f>
        <v>0</v>
      </c>
      <c r="AY27" s="49">
        <f>VLOOKUP($AG27,装备属性!$A:$Y,22,0)</f>
        <v>0</v>
      </c>
      <c r="AZ27" s="138">
        <f>VLOOKUP($AG27,装备属性!$A:$Y,23,0)</f>
        <v>0</v>
      </c>
      <c r="BA27" s="138">
        <f>VLOOKUP($AG27,装备属性!$A:$Y,24,0)</f>
        <v>0</v>
      </c>
      <c r="BB27" s="138">
        <f>VLOOKUP($AG27,装备属性!$A:$Y,25,0)</f>
        <v>0</v>
      </c>
    </row>
    <row r="28" spans="2:54">
      <c r="B28" s="49" t="str">
        <f>英雄初始!A29</f>
        <v>暗牧</v>
      </c>
      <c r="E28" s="233"/>
      <c r="H28" s="54" t="s">
        <v>181</v>
      </c>
      <c r="I28" s="51">
        <f>MAX(VLOOKUP(INDEX(英雄装备!$F:$BZ,MATCH($H28,英雄装备!$F:$F,0),MATCH(I$2,英雄装备!$1:$1,0)-5),装备属性!$A:$C,3,0),VLOOKUP(INDEX(英雄装备!$F:$BZ,MATCH($H28,英雄装备!$F:$F,0),MATCH(I$2,英雄装备!$1:$1,0)-4),装备属性!$A:$C,3,0),VLOOKUP(INDEX(英雄装备!$F:$BZ,MATCH($H28,英雄装备!$F:$F,0),MATCH(I$2,英雄装备!$1:$1,0)-3),装备属性!$A:$C,3,0),VLOOKUP(INDEX(英雄装备!$F:$BZ,MATCH($H28,英雄装备!$F:$F,0),MATCH(I$2,英雄装备!$1:$1,0)-2),装备属性!$A:$C,3,0),VLOOKUP(INDEX(英雄装备!$F:$BZ,MATCH($H28,英雄装备!$F:$F,0),MATCH(I$2,英雄装备!$1:$1,0)-1),装备属性!$A:$C,3,0),VLOOKUP(INDEX(英雄装备!$F:$BZ,MATCH($H28,英雄装备!$F:$F,0),MATCH(I$2,英雄装备!$1:$1,0)),装备属性!$A:$C,3,0))</f>
        <v>2</v>
      </c>
      <c r="J28" s="51">
        <f>MAX(VLOOKUP(INDEX(英雄装备!$F:$BZ,MATCH($H28,英雄装备!$F:$F,0),MATCH(J$2,英雄装备!$1:$1,0)-5),装备属性!$A:$C,3,0),VLOOKUP(INDEX(英雄装备!$F:$BZ,MATCH($H28,英雄装备!$F:$F,0),MATCH(J$2,英雄装备!$1:$1,0)-4),装备属性!$A:$C,3,0),VLOOKUP(INDEX(英雄装备!$F:$BZ,MATCH($H28,英雄装备!$F:$F,0),MATCH(J$2,英雄装备!$1:$1,0)-3),装备属性!$A:$C,3,0),VLOOKUP(INDEX(英雄装备!$F:$BZ,MATCH($H28,英雄装备!$F:$F,0),MATCH(J$2,英雄装备!$1:$1,0)-2),装备属性!$A:$C,3,0),VLOOKUP(INDEX(英雄装备!$F:$BZ,MATCH($H28,英雄装备!$F:$F,0),MATCH(J$2,英雄装备!$1:$1,0)-1),装备属性!$A:$C,3,0),VLOOKUP(INDEX(英雄装备!$F:$BZ,MATCH($H28,英雄装备!$F:$F,0),MATCH(J$2,英雄装备!$1:$1,0)),装备属性!$A:$C,3,0))</f>
        <v>10</v>
      </c>
      <c r="K28" s="51">
        <f>MAX(VLOOKUP(INDEX(英雄装备!$F:$BZ,MATCH($H28,英雄装备!$F:$F,0),MATCH(K$2,英雄装备!$1:$1,0)-5),装备属性!$A:$C,3,0),VLOOKUP(INDEX(英雄装备!$F:$BZ,MATCH($H28,英雄装备!$F:$F,0),MATCH(K$2,英雄装备!$1:$1,0)-4),装备属性!$A:$C,3,0),VLOOKUP(INDEX(英雄装备!$F:$BZ,MATCH($H28,英雄装备!$F:$F,0),MATCH(K$2,英雄装备!$1:$1,0)-3),装备属性!$A:$C,3,0),VLOOKUP(INDEX(英雄装备!$F:$BZ,MATCH($H28,英雄装备!$F:$F,0),MATCH(K$2,英雄装备!$1:$1,0)-2),装备属性!$A:$C,3,0),VLOOKUP(INDEX(英雄装备!$F:$BZ,MATCH($H28,英雄装备!$F:$F,0),MATCH(K$2,英雄装备!$1:$1,0)-1),装备属性!$A:$C,3,0),VLOOKUP(INDEX(英雄装备!$F:$BZ,MATCH($H28,英雄装备!$F:$F,0),MATCH(K$2,英雄装备!$1:$1,0)),装备属性!$A:$C,3,0))</f>
        <v>24</v>
      </c>
      <c r="L28" s="51">
        <f>MAX(VLOOKUP(INDEX(英雄装备!$F:$BZ,MATCH($H28,英雄装备!$F:$F,0),MATCH(L$2,英雄装备!$1:$1,0)-5),装备属性!$A:$C,3,0),VLOOKUP(INDEX(英雄装备!$F:$BZ,MATCH($H28,英雄装备!$F:$F,0),MATCH(L$2,英雄装备!$1:$1,0)-4),装备属性!$A:$C,3,0),VLOOKUP(INDEX(英雄装备!$F:$BZ,MATCH($H28,英雄装备!$F:$F,0),MATCH(L$2,英雄装备!$1:$1,0)-3),装备属性!$A:$C,3,0),VLOOKUP(INDEX(英雄装备!$F:$BZ,MATCH($H28,英雄装备!$F:$F,0),MATCH(L$2,英雄装备!$1:$1,0)-2),装备属性!$A:$C,3,0),VLOOKUP(INDEX(英雄装备!$F:$BZ,MATCH($H28,英雄装备!$F:$F,0),MATCH(L$2,英雄装备!$1:$1,0)-1),装备属性!$A:$C,3,0),VLOOKUP(INDEX(英雄装备!$F:$BZ,MATCH($H28,英雄装备!$F:$F,0),MATCH(L$2,英雄装备!$1:$1,0)),装备属性!$A:$C,3,0))</f>
        <v>34</v>
      </c>
      <c r="M28" s="51">
        <f>MAX(VLOOKUP(INDEX(英雄装备!$F:$BZ,MATCH($H28,英雄装备!$F:$F,0),MATCH(M$2,英雄装备!$1:$1,0)-5),装备属性!$A:$C,3,0),VLOOKUP(INDEX(英雄装备!$F:$BZ,MATCH($H28,英雄装备!$F:$F,0),MATCH(M$2,英雄装备!$1:$1,0)-4),装备属性!$A:$C,3,0),VLOOKUP(INDEX(英雄装备!$F:$BZ,MATCH($H28,英雄装备!$F:$F,0),MATCH(M$2,英雄装备!$1:$1,0)-3),装备属性!$A:$C,3,0),VLOOKUP(INDEX(英雄装备!$F:$BZ,MATCH($H28,英雄装备!$F:$F,0),MATCH(M$2,英雄装备!$1:$1,0)-2),装备属性!$A:$C,3,0),VLOOKUP(INDEX(英雄装备!$F:$BZ,MATCH($H28,英雄装备!$F:$F,0),MATCH(M$2,英雄装备!$1:$1,0)-1),装备属性!$A:$C,3,0),VLOOKUP(INDEX(英雄装备!$F:$BZ,MATCH($H28,英雄装备!$F:$F,0),MATCH(M$2,英雄装备!$1:$1,0)),装备属性!$A:$C,3,0))</f>
        <v>44</v>
      </c>
      <c r="N28" s="51">
        <f>MAX(VLOOKUP(INDEX(英雄装备!$F:$BZ,MATCH($H28,英雄装备!$F:$F,0),MATCH(N$2,英雄装备!$1:$1,0)-5),装备属性!$A:$C,3,0),VLOOKUP(INDEX(英雄装备!$F:$BZ,MATCH($H28,英雄装备!$F:$F,0),MATCH(N$2,英雄装备!$1:$1,0)-4),装备属性!$A:$C,3,0),VLOOKUP(INDEX(英雄装备!$F:$BZ,MATCH($H28,英雄装备!$F:$F,0),MATCH(N$2,英雄装备!$1:$1,0)-3),装备属性!$A:$C,3,0),VLOOKUP(INDEX(英雄装备!$F:$BZ,MATCH($H28,英雄装备!$F:$F,0),MATCH(N$2,英雄装备!$1:$1,0)-2),装备属性!$A:$C,3,0),VLOOKUP(INDEX(英雄装备!$F:$BZ,MATCH($H28,英雄装备!$F:$F,0),MATCH(N$2,英雄装备!$1:$1,0)-1),装备属性!$A:$C,3,0),VLOOKUP(INDEX(英雄装备!$F:$BZ,MATCH($H28,英雄装备!$F:$F,0),MATCH(N$2,英雄装备!$1:$1,0)),装备属性!$A:$C,3,0))</f>
        <v>53</v>
      </c>
      <c r="O28" s="51">
        <f>MAX(VLOOKUP(INDEX(英雄装备!$F:$BZ,MATCH($H28,英雄装备!$F:$F,0),MATCH(O$2,英雄装备!$1:$1,0)-5),装备属性!$A:$C,3,0),VLOOKUP(INDEX(英雄装备!$F:$BZ,MATCH($H28,英雄装备!$F:$F,0),MATCH(O$2,英雄装备!$1:$1,0)-4),装备属性!$A:$C,3,0),VLOOKUP(INDEX(英雄装备!$F:$BZ,MATCH($H28,英雄装备!$F:$F,0),MATCH(O$2,英雄装备!$1:$1,0)-3),装备属性!$A:$C,3,0),VLOOKUP(INDEX(英雄装备!$F:$BZ,MATCH($H28,英雄装备!$F:$F,0),MATCH(O$2,英雄装备!$1:$1,0)-2),装备属性!$A:$C,3,0),VLOOKUP(INDEX(英雄装备!$F:$BZ,MATCH($H28,英雄装备!$F:$F,0),MATCH(O$2,英雄装备!$1:$1,0)-1),装备属性!$A:$C,3,0),VLOOKUP(INDEX(英雄装备!$F:$BZ,MATCH($H28,英雄装备!$F:$F,0),MATCH(O$2,英雄装备!$1:$1,0)),装备属性!$A:$C,3,0))</f>
        <v>62</v>
      </c>
      <c r="P28" s="51">
        <f>MAX(VLOOKUP(INDEX(英雄装备!$F:$BZ,MATCH($H28,英雄装备!$F:$F,0),MATCH(P$2,英雄装备!$1:$1,0)-5),装备属性!$A:$C,3,0),VLOOKUP(INDEX(英雄装备!$F:$BZ,MATCH($H28,英雄装备!$F:$F,0),MATCH(P$2,英雄装备!$1:$1,0)-4),装备属性!$A:$C,3,0),VLOOKUP(INDEX(英雄装备!$F:$BZ,MATCH($H28,英雄装备!$F:$F,0),MATCH(P$2,英雄装备!$1:$1,0)-3),装备属性!$A:$C,3,0),VLOOKUP(INDEX(英雄装备!$F:$BZ,MATCH($H28,英雄装备!$F:$F,0),MATCH(P$2,英雄装备!$1:$1,0)-2),装备属性!$A:$C,3,0),VLOOKUP(INDEX(英雄装备!$F:$BZ,MATCH($H28,英雄装备!$F:$F,0),MATCH(P$2,英雄装备!$1:$1,0)-1),装备属性!$A:$C,3,0),VLOOKUP(INDEX(英雄装备!$F:$BZ,MATCH($H28,英雄装备!$F:$F,0),MATCH(P$2,英雄装备!$1:$1,0)),装备属性!$A:$C,3,0))</f>
        <v>73</v>
      </c>
      <c r="Q28" s="51">
        <f>MAX(VLOOKUP(INDEX(英雄装备!$F:$BZ,MATCH($H28,英雄装备!$F:$F,0),MATCH(Q$2,英雄装备!$1:$1,0)-5),装备属性!$A:$C,3,0),VLOOKUP(INDEX(英雄装备!$F:$BZ,MATCH($H28,英雄装备!$F:$F,0),MATCH(Q$2,英雄装备!$1:$1,0)-4),装备属性!$A:$C,3,0),VLOOKUP(INDEX(英雄装备!$F:$BZ,MATCH($H28,英雄装备!$F:$F,0),MATCH(Q$2,英雄装备!$1:$1,0)-3),装备属性!$A:$C,3,0),VLOOKUP(INDEX(英雄装备!$F:$BZ,MATCH($H28,英雄装备!$F:$F,0),MATCH(Q$2,英雄装备!$1:$1,0)-2),装备属性!$A:$C,3,0),VLOOKUP(INDEX(英雄装备!$F:$BZ,MATCH($H28,英雄装备!$F:$F,0),MATCH(Q$2,英雄装备!$1:$1,0)-1),装备属性!$A:$C,3,0),VLOOKUP(INDEX(英雄装备!$F:$BZ,MATCH($H28,英雄装备!$F:$F,0),MATCH(Q$2,英雄装备!$1:$1,0)),装备属性!$A:$C,3,0))</f>
        <v>80</v>
      </c>
      <c r="R28" s="51">
        <f>MAX(VLOOKUP(INDEX(英雄装备!$F:$BZ,MATCH($H28,英雄装备!$F:$F,0),MATCH(R$2,英雄装备!$1:$1,0)-5),装备属性!$A:$C,3,0),VLOOKUP(INDEX(英雄装备!$F:$BZ,MATCH($H28,英雄装备!$F:$F,0),MATCH(R$2,英雄装备!$1:$1,0)-4),装备属性!$A:$C,3,0),VLOOKUP(INDEX(英雄装备!$F:$BZ,MATCH($H28,英雄装备!$F:$F,0),MATCH(R$2,英雄装备!$1:$1,0)-3),装备属性!$A:$C,3,0),VLOOKUP(INDEX(英雄装备!$F:$BZ,MATCH($H28,英雄装备!$F:$F,0),MATCH(R$2,英雄装备!$1:$1,0)-2),装备属性!$A:$C,3,0),VLOOKUP(INDEX(英雄装备!$F:$BZ,MATCH($H28,英雄装备!$F:$F,0),MATCH(R$2,英雄装备!$1:$1,0)-1),装备属性!$A:$C,3,0),VLOOKUP(INDEX(英雄装备!$F:$BZ,MATCH($H28,英雄装备!$F:$F,0),MATCH(R$2,英雄装备!$1:$1,0)),装备属性!$A:$C,3,0))</f>
        <v>79</v>
      </c>
      <c r="S28" s="51">
        <f>MAX(VLOOKUP(INDEX(英雄装备!$F:$BZ,MATCH($H28,英雄装备!$F:$F,0),MATCH(S$2,英雄装备!$1:$1,0)-5),装备属性!$A:$C,3,0),VLOOKUP(INDEX(英雄装备!$F:$BZ,MATCH($H28,英雄装备!$F:$F,0),MATCH(S$2,英雄装备!$1:$1,0)-4),装备属性!$A:$C,3,0),VLOOKUP(INDEX(英雄装备!$F:$BZ,MATCH($H28,英雄装备!$F:$F,0),MATCH(S$2,英雄装备!$1:$1,0)-3),装备属性!$A:$C,3,0),VLOOKUP(INDEX(英雄装备!$F:$BZ,MATCH($H28,英雄装备!$F:$F,0),MATCH(S$2,英雄装备!$1:$1,0)-2),装备属性!$A:$C,3,0),VLOOKUP(INDEX(英雄装备!$F:$BZ,MATCH($H28,英雄装备!$F:$F,0),MATCH(S$2,英雄装备!$1:$1,0)-1),装备属性!$A:$C,3,0),VLOOKUP(INDEX(英雄装备!$F:$BZ,MATCH($H28,英雄装备!$F:$F,0),MATCH(S$2,英雄装备!$1:$1,0)),装备属性!$A:$C,3,0))</f>
        <v>84</v>
      </c>
      <c r="T28" s="51">
        <f>MAX(VLOOKUP(INDEX(英雄装备!$F:$BZ,MATCH($H28,英雄装备!$F:$F,0),MATCH(T$2,英雄装备!$1:$1,0)-5),装备属性!$A:$C,3,0),VLOOKUP(INDEX(英雄装备!$F:$BZ,MATCH($H28,英雄装备!$F:$F,0),MATCH(T$2,英雄装备!$1:$1,0)-4),装备属性!$A:$C,3,0),VLOOKUP(INDEX(英雄装备!$F:$BZ,MATCH($H28,英雄装备!$F:$F,0),MATCH(T$2,英雄装备!$1:$1,0)-3),装备属性!$A:$C,3,0),VLOOKUP(INDEX(英雄装备!$F:$BZ,MATCH($H28,英雄装备!$F:$F,0),MATCH(T$2,英雄装备!$1:$1,0)-2),装备属性!$A:$C,3,0),VLOOKUP(INDEX(英雄装备!$F:$BZ,MATCH($H28,英雄装备!$F:$F,0),MATCH(T$2,英雄装备!$1:$1,0)-1),装备属性!$A:$C,3,0))</f>
        <v>89</v>
      </c>
      <c r="X28" s="49" t="b">
        <f t="shared" ref="X28:AC28" si="5">AND($W15,X15)</f>
        <v>1</v>
      </c>
      <c r="Y28" s="49" t="b">
        <f t="shared" si="5"/>
        <v>1</v>
      </c>
      <c r="Z28" s="49" t="b">
        <f t="shared" si="5"/>
        <v>1</v>
      </c>
      <c r="AA28" s="49" t="b">
        <f t="shared" si="5"/>
        <v>1</v>
      </c>
      <c r="AB28" s="49" t="b">
        <f t="shared" si="5"/>
        <v>1</v>
      </c>
      <c r="AC28" s="49" t="b">
        <f t="shared" si="5"/>
        <v>1</v>
      </c>
      <c r="AF28" s="49">
        <v>1</v>
      </c>
      <c r="AG28" s="49" t="str">
        <f>AC1</f>
        <v>防御指环</v>
      </c>
      <c r="AH28" s="49">
        <f>VLOOKUP($AG28,装备属性!$A:$Y,5,0)</f>
        <v>0</v>
      </c>
      <c r="AI28" s="49">
        <f>VLOOKUP($AG28,装备属性!$A:$Y,6,0)</f>
        <v>0</v>
      </c>
      <c r="AJ28" s="49">
        <f>VLOOKUP($AG28,装备属性!$A:$Y,7,0)</f>
        <v>0</v>
      </c>
      <c r="AK28" s="49">
        <f>VLOOKUP($AG28,装备属性!$A:$Y,8,0)</f>
        <v>0</v>
      </c>
      <c r="AL28" s="49">
        <f>VLOOKUP($AG28,装备属性!$A:$Y,9,0)</f>
        <v>0</v>
      </c>
      <c r="AM28" s="49">
        <f>VLOOKUP($AG28,装备属性!$A:$Y,10,0)</f>
        <v>0</v>
      </c>
      <c r="AN28" s="49">
        <f>VLOOKUP($AG28,装备属性!$A:$Y,11,0)</f>
        <v>2</v>
      </c>
      <c r="AO28" s="49">
        <f>VLOOKUP($AG28,装备属性!$A:$Y,12,0)</f>
        <v>0</v>
      </c>
      <c r="AP28" s="49">
        <f>VLOOKUP($AG28,装备属性!$A:$Y,13,0)</f>
        <v>0</v>
      </c>
      <c r="AQ28" s="49">
        <f>VLOOKUP($AG28,装备属性!$A:$Y,14,0)</f>
        <v>0</v>
      </c>
      <c r="AR28" s="49">
        <f>VLOOKUP($AG28,装备属性!$A:$Y,15,0)</f>
        <v>0</v>
      </c>
      <c r="AS28" s="49">
        <f>VLOOKUP($AG28,装备属性!$A:$Y,16,0)</f>
        <v>0</v>
      </c>
      <c r="AT28" s="49">
        <f>VLOOKUP($AG28,装备属性!$A:$Y,17,0)</f>
        <v>0</v>
      </c>
      <c r="AU28" s="49">
        <f>VLOOKUP($AG28,装备属性!$A:$Y,18,0)</f>
        <v>0</v>
      </c>
      <c r="AV28" s="49">
        <f>VLOOKUP($AG28,装备属性!$A:$Y,19,0)</f>
        <v>0</v>
      </c>
      <c r="AW28" s="49">
        <f>VLOOKUP($AG28,装备属性!$A:$Y,20,0)</f>
        <v>0</v>
      </c>
      <c r="AX28" s="49">
        <f>VLOOKUP($AG28,装备属性!$A:$Y,21,0)</f>
        <v>0</v>
      </c>
      <c r="AY28" s="49">
        <f>VLOOKUP($AG28,装备属性!$A:$Y,22,0)</f>
        <v>0</v>
      </c>
      <c r="AZ28" s="138">
        <f>VLOOKUP($AG28,装备属性!$A:$Y,23,0)</f>
        <v>0</v>
      </c>
      <c r="BA28" s="138">
        <f>VLOOKUP($AG28,装备属性!$A:$Y,24,0)</f>
        <v>0</v>
      </c>
      <c r="BB28" s="138">
        <f>VLOOKUP($AG28,装备属性!$A:$Y,25,0)</f>
        <v>0</v>
      </c>
    </row>
    <row r="29" spans="2:54">
      <c r="B29" s="49" t="str">
        <f>英雄初始!A30</f>
        <v>冰女</v>
      </c>
      <c r="E29" s="233"/>
      <c r="H29" s="54" t="s">
        <v>182</v>
      </c>
      <c r="I29" s="51">
        <f>MAX(VLOOKUP(INDEX(英雄装备!$F:$BZ,MATCH($H29,英雄装备!$F:$F,0),MATCH(I$2,英雄装备!$1:$1,0)-5),装备属性!$A:$C,3,0),VLOOKUP(INDEX(英雄装备!$F:$BZ,MATCH($H29,英雄装备!$F:$F,0),MATCH(I$2,英雄装备!$1:$1,0)-4),装备属性!$A:$C,3,0),VLOOKUP(INDEX(英雄装备!$F:$BZ,MATCH($H29,英雄装备!$F:$F,0),MATCH(I$2,英雄装备!$1:$1,0)-3),装备属性!$A:$C,3,0),VLOOKUP(INDEX(英雄装备!$F:$BZ,MATCH($H29,英雄装备!$F:$F,0),MATCH(I$2,英雄装备!$1:$1,0)-2),装备属性!$A:$C,3,0),VLOOKUP(INDEX(英雄装备!$F:$BZ,MATCH($H29,英雄装备!$F:$F,0),MATCH(I$2,英雄装备!$1:$1,0)-1),装备属性!$A:$C,3,0),VLOOKUP(INDEX(英雄装备!$F:$BZ,MATCH($H29,英雄装备!$F:$F,0),MATCH(I$2,英雄装备!$1:$1,0)),装备属性!$A:$C,3,0))</f>
        <v>2</v>
      </c>
      <c r="J29" s="51">
        <f>MAX(VLOOKUP(INDEX(英雄装备!$F:$BZ,MATCH($H29,英雄装备!$F:$F,0),MATCH(J$2,英雄装备!$1:$1,0)-5),装备属性!$A:$C,3,0),VLOOKUP(INDEX(英雄装备!$F:$BZ,MATCH($H29,英雄装备!$F:$F,0),MATCH(J$2,英雄装备!$1:$1,0)-4),装备属性!$A:$C,3,0),VLOOKUP(INDEX(英雄装备!$F:$BZ,MATCH($H29,英雄装备!$F:$F,0),MATCH(J$2,英雄装备!$1:$1,0)-3),装备属性!$A:$C,3,0),VLOOKUP(INDEX(英雄装备!$F:$BZ,MATCH($H29,英雄装备!$F:$F,0),MATCH(J$2,英雄装备!$1:$1,0)-2),装备属性!$A:$C,3,0),VLOOKUP(INDEX(英雄装备!$F:$BZ,MATCH($H29,英雄装备!$F:$F,0),MATCH(J$2,英雄装备!$1:$1,0)-1),装备属性!$A:$C,3,0),VLOOKUP(INDEX(英雄装备!$F:$BZ,MATCH($H29,英雄装备!$F:$F,0),MATCH(J$2,英雄装备!$1:$1,0)),装备属性!$A:$C,3,0))</f>
        <v>10</v>
      </c>
      <c r="K29" s="51">
        <f>MAX(VLOOKUP(INDEX(英雄装备!$F:$BZ,MATCH($H29,英雄装备!$F:$F,0),MATCH(K$2,英雄装备!$1:$1,0)-5),装备属性!$A:$C,3,0),VLOOKUP(INDEX(英雄装备!$F:$BZ,MATCH($H29,英雄装备!$F:$F,0),MATCH(K$2,英雄装备!$1:$1,0)-4),装备属性!$A:$C,3,0),VLOOKUP(INDEX(英雄装备!$F:$BZ,MATCH($H29,英雄装备!$F:$F,0),MATCH(K$2,英雄装备!$1:$1,0)-3),装备属性!$A:$C,3,0),VLOOKUP(INDEX(英雄装备!$F:$BZ,MATCH($H29,英雄装备!$F:$F,0),MATCH(K$2,英雄装备!$1:$1,0)-2),装备属性!$A:$C,3,0),VLOOKUP(INDEX(英雄装备!$F:$BZ,MATCH($H29,英雄装备!$F:$F,0),MATCH(K$2,英雄装备!$1:$1,0)-1),装备属性!$A:$C,3,0),VLOOKUP(INDEX(英雄装备!$F:$BZ,MATCH($H29,英雄装备!$F:$F,0),MATCH(K$2,英雄装备!$1:$1,0)),装备属性!$A:$C,3,0))</f>
        <v>24</v>
      </c>
      <c r="L29" s="51">
        <f>MAX(VLOOKUP(INDEX(英雄装备!$F:$BZ,MATCH($H29,英雄装备!$F:$F,0),MATCH(L$2,英雄装备!$1:$1,0)-5),装备属性!$A:$C,3,0),VLOOKUP(INDEX(英雄装备!$F:$BZ,MATCH($H29,英雄装备!$F:$F,0),MATCH(L$2,英雄装备!$1:$1,0)-4),装备属性!$A:$C,3,0),VLOOKUP(INDEX(英雄装备!$F:$BZ,MATCH($H29,英雄装备!$F:$F,0),MATCH(L$2,英雄装备!$1:$1,0)-3),装备属性!$A:$C,3,0),VLOOKUP(INDEX(英雄装备!$F:$BZ,MATCH($H29,英雄装备!$F:$F,0),MATCH(L$2,英雄装备!$1:$1,0)-2),装备属性!$A:$C,3,0),VLOOKUP(INDEX(英雄装备!$F:$BZ,MATCH($H29,英雄装备!$F:$F,0),MATCH(L$2,英雄装备!$1:$1,0)-1),装备属性!$A:$C,3,0),VLOOKUP(INDEX(英雄装备!$F:$BZ,MATCH($H29,英雄装备!$F:$F,0),MATCH(L$2,英雄装备!$1:$1,0)),装备属性!$A:$C,3,0))</f>
        <v>35</v>
      </c>
      <c r="M29" s="51">
        <f>MAX(VLOOKUP(INDEX(英雄装备!$F:$BZ,MATCH($H29,英雄装备!$F:$F,0),MATCH(M$2,英雄装备!$1:$1,0)-5),装备属性!$A:$C,3,0),VLOOKUP(INDEX(英雄装备!$F:$BZ,MATCH($H29,英雄装备!$F:$F,0),MATCH(M$2,英雄装备!$1:$1,0)-4),装备属性!$A:$C,3,0),VLOOKUP(INDEX(英雄装备!$F:$BZ,MATCH($H29,英雄装备!$F:$F,0),MATCH(M$2,英雄装备!$1:$1,0)-3),装备属性!$A:$C,3,0),VLOOKUP(INDEX(英雄装备!$F:$BZ,MATCH($H29,英雄装备!$F:$F,0),MATCH(M$2,英雄装备!$1:$1,0)-2),装备属性!$A:$C,3,0),VLOOKUP(INDEX(英雄装备!$F:$BZ,MATCH($H29,英雄装备!$F:$F,0),MATCH(M$2,英雄装备!$1:$1,0)-1),装备属性!$A:$C,3,0),VLOOKUP(INDEX(英雄装备!$F:$BZ,MATCH($H29,英雄装备!$F:$F,0),MATCH(M$2,英雄装备!$1:$1,0)),装备属性!$A:$C,3,0))</f>
        <v>42</v>
      </c>
      <c r="N29" s="51">
        <f>MAX(VLOOKUP(INDEX(英雄装备!$F:$BZ,MATCH($H29,英雄装备!$F:$F,0),MATCH(N$2,英雄装备!$1:$1,0)-5),装备属性!$A:$C,3,0),VLOOKUP(INDEX(英雄装备!$F:$BZ,MATCH($H29,英雄装备!$F:$F,0),MATCH(N$2,英雄装备!$1:$1,0)-4),装备属性!$A:$C,3,0),VLOOKUP(INDEX(英雄装备!$F:$BZ,MATCH($H29,英雄装备!$F:$F,0),MATCH(N$2,英雄装备!$1:$1,0)-3),装备属性!$A:$C,3,0),VLOOKUP(INDEX(英雄装备!$F:$BZ,MATCH($H29,英雄装备!$F:$F,0),MATCH(N$2,英雄装备!$1:$1,0)-2),装备属性!$A:$C,3,0),VLOOKUP(INDEX(英雄装备!$F:$BZ,MATCH($H29,英雄装备!$F:$F,0),MATCH(N$2,英雄装备!$1:$1,0)-1),装备属性!$A:$C,3,0),VLOOKUP(INDEX(英雄装备!$F:$BZ,MATCH($H29,英雄装备!$F:$F,0),MATCH(N$2,英雄装备!$1:$1,0)),装备属性!$A:$C,3,0))</f>
        <v>51</v>
      </c>
      <c r="O29" s="51">
        <f>MAX(VLOOKUP(INDEX(英雄装备!$F:$BZ,MATCH($H29,英雄装备!$F:$F,0),MATCH(O$2,英雄装备!$1:$1,0)-5),装备属性!$A:$C,3,0),VLOOKUP(INDEX(英雄装备!$F:$BZ,MATCH($H29,英雄装备!$F:$F,0),MATCH(O$2,英雄装备!$1:$1,0)-4),装备属性!$A:$C,3,0),VLOOKUP(INDEX(英雄装备!$F:$BZ,MATCH($H29,英雄装备!$F:$F,0),MATCH(O$2,英雄装备!$1:$1,0)-3),装备属性!$A:$C,3,0),VLOOKUP(INDEX(英雄装备!$F:$BZ,MATCH($H29,英雄装备!$F:$F,0),MATCH(O$2,英雄装备!$1:$1,0)-2),装备属性!$A:$C,3,0),VLOOKUP(INDEX(英雄装备!$F:$BZ,MATCH($H29,英雄装备!$F:$F,0),MATCH(O$2,英雄装备!$1:$1,0)-1),装备属性!$A:$C,3,0),VLOOKUP(INDEX(英雄装备!$F:$BZ,MATCH($H29,英雄装备!$F:$F,0),MATCH(O$2,英雄装备!$1:$1,0)),装备属性!$A:$C,3,0))</f>
        <v>64</v>
      </c>
      <c r="P29" s="51">
        <f>MAX(VLOOKUP(INDEX(英雄装备!$F:$BZ,MATCH($H29,英雄装备!$F:$F,0),MATCH(P$2,英雄装备!$1:$1,0)-5),装备属性!$A:$C,3,0),VLOOKUP(INDEX(英雄装备!$F:$BZ,MATCH($H29,英雄装备!$F:$F,0),MATCH(P$2,英雄装备!$1:$1,0)-4),装备属性!$A:$C,3,0),VLOOKUP(INDEX(英雄装备!$F:$BZ,MATCH($H29,英雄装备!$F:$F,0),MATCH(P$2,英雄装备!$1:$1,0)-3),装备属性!$A:$C,3,0),VLOOKUP(INDEX(英雄装备!$F:$BZ,MATCH($H29,英雄装备!$F:$F,0),MATCH(P$2,英雄装备!$1:$1,0)-2),装备属性!$A:$C,3,0),VLOOKUP(INDEX(英雄装备!$F:$BZ,MATCH($H29,英雄装备!$F:$F,0),MATCH(P$2,英雄装备!$1:$1,0)-1),装备属性!$A:$C,3,0),VLOOKUP(INDEX(英雄装备!$F:$BZ,MATCH($H29,英雄装备!$F:$F,0),MATCH(P$2,英雄装备!$1:$1,0)),装备属性!$A:$C,3,0))</f>
        <v>73</v>
      </c>
      <c r="Q29" s="51">
        <f>MAX(VLOOKUP(INDEX(英雄装备!$F:$BZ,MATCH($H29,英雄装备!$F:$F,0),MATCH(Q$2,英雄装备!$1:$1,0)-5),装备属性!$A:$C,3,0),VLOOKUP(INDEX(英雄装备!$F:$BZ,MATCH($H29,英雄装备!$F:$F,0),MATCH(Q$2,英雄装备!$1:$1,0)-4),装备属性!$A:$C,3,0),VLOOKUP(INDEX(英雄装备!$F:$BZ,MATCH($H29,英雄装备!$F:$F,0),MATCH(Q$2,英雄装备!$1:$1,0)-3),装备属性!$A:$C,3,0),VLOOKUP(INDEX(英雄装备!$F:$BZ,MATCH($H29,英雄装备!$F:$F,0),MATCH(Q$2,英雄装备!$1:$1,0)-2),装备属性!$A:$C,3,0),VLOOKUP(INDEX(英雄装备!$F:$BZ,MATCH($H29,英雄装备!$F:$F,0),MATCH(Q$2,英雄装备!$1:$1,0)-1),装备属性!$A:$C,3,0),VLOOKUP(INDEX(英雄装备!$F:$BZ,MATCH($H29,英雄装备!$F:$F,0),MATCH(Q$2,英雄装备!$1:$1,0)),装备属性!$A:$C,3,0))</f>
        <v>80</v>
      </c>
      <c r="R29" s="51">
        <f>MAX(VLOOKUP(INDEX(英雄装备!$F:$BZ,MATCH($H29,英雄装备!$F:$F,0),MATCH(R$2,英雄装备!$1:$1,0)-5),装备属性!$A:$C,3,0),VLOOKUP(INDEX(英雄装备!$F:$BZ,MATCH($H29,英雄装备!$F:$F,0),MATCH(R$2,英雄装备!$1:$1,0)-4),装备属性!$A:$C,3,0),VLOOKUP(INDEX(英雄装备!$F:$BZ,MATCH($H29,英雄装备!$F:$F,0),MATCH(R$2,英雄装备!$1:$1,0)-3),装备属性!$A:$C,3,0),VLOOKUP(INDEX(英雄装备!$F:$BZ,MATCH($H29,英雄装备!$F:$F,0),MATCH(R$2,英雄装备!$1:$1,0)-2),装备属性!$A:$C,3,0),VLOOKUP(INDEX(英雄装备!$F:$BZ,MATCH($H29,英雄装备!$F:$F,0),MATCH(R$2,英雄装备!$1:$1,0)-1),装备属性!$A:$C,3,0),VLOOKUP(INDEX(英雄装备!$F:$BZ,MATCH($H29,英雄装备!$F:$F,0),MATCH(R$2,英雄装备!$1:$1,0)),装备属性!$A:$C,3,0))</f>
        <v>80</v>
      </c>
      <c r="S29" s="51">
        <f>MAX(VLOOKUP(INDEX(英雄装备!$F:$BZ,MATCH($H29,英雄装备!$F:$F,0),MATCH(S$2,英雄装备!$1:$1,0)-5),装备属性!$A:$C,3,0),VLOOKUP(INDEX(英雄装备!$F:$BZ,MATCH($H29,英雄装备!$F:$F,0),MATCH(S$2,英雄装备!$1:$1,0)-4),装备属性!$A:$C,3,0),VLOOKUP(INDEX(英雄装备!$F:$BZ,MATCH($H29,英雄装备!$F:$F,0),MATCH(S$2,英雄装备!$1:$1,0)-3),装备属性!$A:$C,3,0),VLOOKUP(INDEX(英雄装备!$F:$BZ,MATCH($H29,英雄装备!$F:$F,0),MATCH(S$2,英雄装备!$1:$1,0)-2),装备属性!$A:$C,3,0),VLOOKUP(INDEX(英雄装备!$F:$BZ,MATCH($H29,英雄装备!$F:$F,0),MATCH(S$2,英雄装备!$1:$1,0)-1),装备属性!$A:$C,3,0),VLOOKUP(INDEX(英雄装备!$F:$BZ,MATCH($H29,英雄装备!$F:$F,0),MATCH(S$2,英雄装备!$1:$1,0)),装备属性!$A:$C,3,0))</f>
        <v>84</v>
      </c>
      <c r="T29" s="51">
        <f>MAX(VLOOKUP(INDEX(英雄装备!$F:$BZ,MATCH($H29,英雄装备!$F:$F,0),MATCH(T$2,英雄装备!$1:$1,0)-5),装备属性!$A:$C,3,0),VLOOKUP(INDEX(英雄装备!$F:$BZ,MATCH($H29,英雄装备!$F:$F,0),MATCH(T$2,英雄装备!$1:$1,0)-4),装备属性!$A:$C,3,0),VLOOKUP(INDEX(英雄装备!$F:$BZ,MATCH($H29,英雄装备!$F:$F,0),MATCH(T$2,英雄装备!$1:$1,0)-3),装备属性!$A:$C,3,0),VLOOKUP(INDEX(英雄装备!$F:$BZ,MATCH($H29,英雄装备!$F:$F,0),MATCH(T$2,英雄装备!$1:$1,0)-2),装备属性!$A:$C,3,0),VLOOKUP(INDEX(英雄装备!$F:$BZ,MATCH($H29,英雄装备!$F:$F,0),MATCH(T$2,英雄装备!$1:$1,0)-1),装备属性!$A:$C,3,0))</f>
        <v>89</v>
      </c>
      <c r="X29" s="49" t="b">
        <f t="shared" ref="X29:AC29" si="6">AND($W16,X16)</f>
        <v>1</v>
      </c>
      <c r="Y29" s="49" t="b">
        <f t="shared" si="6"/>
        <v>1</v>
      </c>
      <c r="Z29" s="49" t="b">
        <f t="shared" si="6"/>
        <v>1</v>
      </c>
      <c r="AA29" s="49" t="b">
        <f t="shared" si="6"/>
        <v>1</v>
      </c>
      <c r="AB29" s="49" t="b">
        <f t="shared" si="6"/>
        <v>1</v>
      </c>
      <c r="AC29" s="49" t="b">
        <f t="shared" si="6"/>
        <v>1</v>
      </c>
      <c r="AF29" s="49">
        <v>2</v>
      </c>
      <c r="AG29" s="49" t="str">
        <f>X2</f>
        <v>敏捷皮靴</v>
      </c>
      <c r="AH29" s="49">
        <f>VLOOKUP($AG29,装备属性!$A:$Y,5,0)</f>
        <v>0</v>
      </c>
      <c r="AI29" s="49">
        <f>VLOOKUP($AG29,装备属性!$A:$Y,6,0)</f>
        <v>6</v>
      </c>
      <c r="AJ29" s="49">
        <f>VLOOKUP($AG29,装备属性!$A:$Y,7,0)</f>
        <v>0</v>
      </c>
      <c r="AK29" s="49">
        <f>VLOOKUP($AG29,装备属性!$A:$Y,8,0)</f>
        <v>0</v>
      </c>
      <c r="AL29" s="49">
        <f>VLOOKUP($AG29,装备属性!$A:$Y,9,0)</f>
        <v>0</v>
      </c>
      <c r="AM29" s="49">
        <f>VLOOKUP($AG29,装备属性!$A:$Y,10,0)</f>
        <v>0</v>
      </c>
      <c r="AN29" s="49">
        <f>VLOOKUP($AG29,装备属性!$A:$Y,11,0)</f>
        <v>0</v>
      </c>
      <c r="AO29" s="49">
        <f>VLOOKUP($AG29,装备属性!$A:$Y,12,0)</f>
        <v>0</v>
      </c>
      <c r="AP29" s="49">
        <f>VLOOKUP($AG29,装备属性!$A:$Y,13,0)</f>
        <v>0</v>
      </c>
      <c r="AQ29" s="49">
        <f>VLOOKUP($AG29,装备属性!$A:$Y,14,0)</f>
        <v>0</v>
      </c>
      <c r="AR29" s="49">
        <f>VLOOKUP($AG29,装备属性!$A:$Y,15,0)</f>
        <v>0</v>
      </c>
      <c r="AS29" s="49">
        <f>VLOOKUP($AG29,装备属性!$A:$Y,16,0)</f>
        <v>0</v>
      </c>
      <c r="AT29" s="49">
        <f>VLOOKUP($AG29,装备属性!$A:$Y,17,0)</f>
        <v>0</v>
      </c>
      <c r="AU29" s="49">
        <f>VLOOKUP($AG29,装备属性!$A:$Y,18,0)</f>
        <v>0</v>
      </c>
      <c r="AV29" s="49">
        <f>VLOOKUP($AG29,装备属性!$A:$Y,19,0)</f>
        <v>0</v>
      </c>
      <c r="AW29" s="49">
        <f>VLOOKUP($AG29,装备属性!$A:$Y,20,0)</f>
        <v>0</v>
      </c>
      <c r="AX29" s="49">
        <f>VLOOKUP($AG29,装备属性!$A:$Y,21,0)</f>
        <v>0</v>
      </c>
      <c r="AY29" s="49">
        <f>VLOOKUP($AG29,装备属性!$A:$Y,22,0)</f>
        <v>0</v>
      </c>
      <c r="AZ29" s="138">
        <f>VLOOKUP($AG29,装备属性!$A:$Y,23,0)</f>
        <v>0</v>
      </c>
      <c r="BA29" s="138">
        <f>VLOOKUP($AG29,装备属性!$A:$Y,24,0)</f>
        <v>0</v>
      </c>
      <c r="BB29" s="138">
        <f>VLOOKUP($AG29,装备属性!$A:$Y,25,0)</f>
        <v>0</v>
      </c>
    </row>
    <row r="30" spans="2:54">
      <c r="B30" s="49" t="str">
        <f>英雄初始!A31</f>
        <v>沉默</v>
      </c>
      <c r="H30" s="54" t="s">
        <v>183</v>
      </c>
      <c r="I30" s="51">
        <f>MAX(VLOOKUP(INDEX(英雄装备!$F:$BZ,MATCH($H30,英雄装备!$F:$F,0),MATCH(I$2,英雄装备!$1:$1,0)-5),装备属性!$A:$C,3,0),VLOOKUP(INDEX(英雄装备!$F:$BZ,MATCH($H30,英雄装备!$F:$F,0),MATCH(I$2,英雄装备!$1:$1,0)-4),装备属性!$A:$C,3,0),VLOOKUP(INDEX(英雄装备!$F:$BZ,MATCH($H30,英雄装备!$F:$F,0),MATCH(I$2,英雄装备!$1:$1,0)-3),装备属性!$A:$C,3,0),VLOOKUP(INDEX(英雄装备!$F:$BZ,MATCH($H30,英雄装备!$F:$F,0),MATCH(I$2,英雄装备!$1:$1,0)-2),装备属性!$A:$C,3,0),VLOOKUP(INDEX(英雄装备!$F:$BZ,MATCH($H30,英雄装备!$F:$F,0),MATCH(I$2,英雄装备!$1:$1,0)-1),装备属性!$A:$C,3,0),VLOOKUP(INDEX(英雄装备!$F:$BZ,MATCH($H30,英雄装备!$F:$F,0),MATCH(I$2,英雄装备!$1:$1,0)),装备属性!$A:$C,3,0))</f>
        <v>2</v>
      </c>
      <c r="J30" s="51">
        <f>MAX(VLOOKUP(INDEX(英雄装备!$F:$BZ,MATCH($H30,英雄装备!$F:$F,0),MATCH(J$2,英雄装备!$1:$1,0)-5),装备属性!$A:$C,3,0),VLOOKUP(INDEX(英雄装备!$F:$BZ,MATCH($H30,英雄装备!$F:$F,0),MATCH(J$2,英雄装备!$1:$1,0)-4),装备属性!$A:$C,3,0),VLOOKUP(INDEX(英雄装备!$F:$BZ,MATCH($H30,英雄装备!$F:$F,0),MATCH(J$2,英雄装备!$1:$1,0)-3),装备属性!$A:$C,3,0),VLOOKUP(INDEX(英雄装备!$F:$BZ,MATCH($H30,英雄装备!$F:$F,0),MATCH(J$2,英雄装备!$1:$1,0)-2),装备属性!$A:$C,3,0),VLOOKUP(INDEX(英雄装备!$F:$BZ,MATCH($H30,英雄装备!$F:$F,0),MATCH(J$2,英雄装备!$1:$1,0)-1),装备属性!$A:$C,3,0),VLOOKUP(INDEX(英雄装备!$F:$BZ,MATCH($H30,英雄装备!$F:$F,0),MATCH(J$2,英雄装备!$1:$1,0)),装备属性!$A:$C,3,0))</f>
        <v>11</v>
      </c>
      <c r="K30" s="51">
        <f>MAX(VLOOKUP(INDEX(英雄装备!$F:$BZ,MATCH($H30,英雄装备!$F:$F,0),MATCH(K$2,英雄装备!$1:$1,0)-5),装备属性!$A:$C,3,0),VLOOKUP(INDEX(英雄装备!$F:$BZ,MATCH($H30,英雄装备!$F:$F,0),MATCH(K$2,英雄装备!$1:$1,0)-4),装备属性!$A:$C,3,0),VLOOKUP(INDEX(英雄装备!$F:$BZ,MATCH($H30,英雄装备!$F:$F,0),MATCH(K$2,英雄装备!$1:$1,0)-3),装备属性!$A:$C,3,0),VLOOKUP(INDEX(英雄装备!$F:$BZ,MATCH($H30,英雄装备!$F:$F,0),MATCH(K$2,英雄装备!$1:$1,0)-2),装备属性!$A:$C,3,0),VLOOKUP(INDEX(英雄装备!$F:$BZ,MATCH($H30,英雄装备!$F:$F,0),MATCH(K$2,英雄装备!$1:$1,0)-1),装备属性!$A:$C,3,0),VLOOKUP(INDEX(英雄装备!$F:$BZ,MATCH($H30,英雄装备!$F:$F,0),MATCH(K$2,英雄装备!$1:$1,0)),装备属性!$A:$C,3,0))</f>
        <v>21</v>
      </c>
      <c r="L30" s="51">
        <f>MAX(VLOOKUP(INDEX(英雄装备!$F:$BZ,MATCH($H30,英雄装备!$F:$F,0),MATCH(L$2,英雄装备!$1:$1,0)-5),装备属性!$A:$C,3,0),VLOOKUP(INDEX(英雄装备!$F:$BZ,MATCH($H30,英雄装备!$F:$F,0),MATCH(L$2,英雄装备!$1:$1,0)-4),装备属性!$A:$C,3,0),VLOOKUP(INDEX(英雄装备!$F:$BZ,MATCH($H30,英雄装备!$F:$F,0),MATCH(L$2,英雄装备!$1:$1,0)-3),装备属性!$A:$C,3,0),VLOOKUP(INDEX(英雄装备!$F:$BZ,MATCH($H30,英雄装备!$F:$F,0),MATCH(L$2,英雄装备!$1:$1,0)-2),装备属性!$A:$C,3,0),VLOOKUP(INDEX(英雄装备!$F:$BZ,MATCH($H30,英雄装备!$F:$F,0),MATCH(L$2,英雄装备!$1:$1,0)-1),装备属性!$A:$C,3,0),VLOOKUP(INDEX(英雄装备!$F:$BZ,MATCH($H30,英雄装备!$F:$F,0),MATCH(L$2,英雄装备!$1:$1,0)),装备属性!$A:$C,3,0))</f>
        <v>34</v>
      </c>
      <c r="M30" s="51">
        <f>MAX(VLOOKUP(INDEX(英雄装备!$F:$BZ,MATCH($H30,英雄装备!$F:$F,0),MATCH(M$2,英雄装备!$1:$1,0)-5),装备属性!$A:$C,3,0),VLOOKUP(INDEX(英雄装备!$F:$BZ,MATCH($H30,英雄装备!$F:$F,0),MATCH(M$2,英雄装备!$1:$1,0)-4),装备属性!$A:$C,3,0),VLOOKUP(INDEX(英雄装备!$F:$BZ,MATCH($H30,英雄装备!$F:$F,0),MATCH(M$2,英雄装备!$1:$1,0)-3),装备属性!$A:$C,3,0),VLOOKUP(INDEX(英雄装备!$F:$BZ,MATCH($H30,英雄装备!$F:$F,0),MATCH(M$2,英雄装备!$1:$1,0)-2),装备属性!$A:$C,3,0),VLOOKUP(INDEX(英雄装备!$F:$BZ,MATCH($H30,英雄装备!$F:$F,0),MATCH(M$2,英雄装备!$1:$1,0)-1),装备属性!$A:$C,3,0),VLOOKUP(INDEX(英雄装备!$F:$BZ,MATCH($H30,英雄装备!$F:$F,0),MATCH(M$2,英雄装备!$1:$1,0)),装备属性!$A:$C,3,0))</f>
        <v>41</v>
      </c>
      <c r="N30" s="51">
        <f>MAX(VLOOKUP(INDEX(英雄装备!$F:$BZ,MATCH($H30,英雄装备!$F:$F,0),MATCH(N$2,英雄装备!$1:$1,0)-5),装备属性!$A:$C,3,0),VLOOKUP(INDEX(英雄装备!$F:$BZ,MATCH($H30,英雄装备!$F:$F,0),MATCH(N$2,英雄装备!$1:$1,0)-4),装备属性!$A:$C,3,0),VLOOKUP(INDEX(英雄装备!$F:$BZ,MATCH($H30,英雄装备!$F:$F,0),MATCH(N$2,英雄装备!$1:$1,0)-3),装备属性!$A:$C,3,0),VLOOKUP(INDEX(英雄装备!$F:$BZ,MATCH($H30,英雄装备!$F:$F,0),MATCH(N$2,英雄装备!$1:$1,0)-2),装备属性!$A:$C,3,0),VLOOKUP(INDEX(英雄装备!$F:$BZ,MATCH($H30,英雄装备!$F:$F,0),MATCH(N$2,英雄装备!$1:$1,0)-1),装备属性!$A:$C,3,0),VLOOKUP(INDEX(英雄装备!$F:$BZ,MATCH($H30,英雄装备!$F:$F,0),MATCH(N$2,英雄装备!$1:$1,0)),装备属性!$A:$C,3,0))</f>
        <v>53</v>
      </c>
      <c r="O30" s="51">
        <f>MAX(VLOOKUP(INDEX(英雄装备!$F:$BZ,MATCH($H30,英雄装备!$F:$F,0),MATCH(O$2,英雄装备!$1:$1,0)-5),装备属性!$A:$C,3,0),VLOOKUP(INDEX(英雄装备!$F:$BZ,MATCH($H30,英雄装备!$F:$F,0),MATCH(O$2,英雄装备!$1:$1,0)-4),装备属性!$A:$C,3,0),VLOOKUP(INDEX(英雄装备!$F:$BZ,MATCH($H30,英雄装备!$F:$F,0),MATCH(O$2,英雄装备!$1:$1,0)-3),装备属性!$A:$C,3,0),VLOOKUP(INDEX(英雄装备!$F:$BZ,MATCH($H30,英雄装备!$F:$F,0),MATCH(O$2,英雄装备!$1:$1,0)-2),装备属性!$A:$C,3,0),VLOOKUP(INDEX(英雄装备!$F:$BZ,MATCH($H30,英雄装备!$F:$F,0),MATCH(O$2,英雄装备!$1:$1,0)-1),装备属性!$A:$C,3,0),VLOOKUP(INDEX(英雄装备!$F:$BZ,MATCH($H30,英雄装备!$F:$F,0),MATCH(O$2,英雄装备!$1:$1,0)),装备属性!$A:$C,3,0))</f>
        <v>63</v>
      </c>
      <c r="P30" s="51">
        <f>MAX(VLOOKUP(INDEX(英雄装备!$F:$BZ,MATCH($H30,英雄装备!$F:$F,0),MATCH(P$2,英雄装备!$1:$1,0)-5),装备属性!$A:$C,3,0),VLOOKUP(INDEX(英雄装备!$F:$BZ,MATCH($H30,英雄装备!$F:$F,0),MATCH(P$2,英雄装备!$1:$1,0)-4),装备属性!$A:$C,3,0),VLOOKUP(INDEX(英雄装备!$F:$BZ,MATCH($H30,英雄装备!$F:$F,0),MATCH(P$2,英雄装备!$1:$1,0)-3),装备属性!$A:$C,3,0),VLOOKUP(INDEX(英雄装备!$F:$BZ,MATCH($H30,英雄装备!$F:$F,0),MATCH(P$2,英雄装备!$1:$1,0)-2),装备属性!$A:$C,3,0),VLOOKUP(INDEX(英雄装备!$F:$BZ,MATCH($H30,英雄装备!$F:$F,0),MATCH(P$2,英雄装备!$1:$1,0)-1),装备属性!$A:$C,3,0),VLOOKUP(INDEX(英雄装备!$F:$BZ,MATCH($H30,英雄装备!$F:$F,0),MATCH(P$2,英雄装备!$1:$1,0)),装备属性!$A:$C,3,0))</f>
        <v>70</v>
      </c>
      <c r="Q30" s="51">
        <f>MAX(VLOOKUP(INDEX(英雄装备!$F:$BZ,MATCH($H30,英雄装备!$F:$F,0),MATCH(Q$2,英雄装备!$1:$1,0)-5),装备属性!$A:$C,3,0),VLOOKUP(INDEX(英雄装备!$F:$BZ,MATCH($H30,英雄装备!$F:$F,0),MATCH(Q$2,英雄装备!$1:$1,0)-4),装备属性!$A:$C,3,0),VLOOKUP(INDEX(英雄装备!$F:$BZ,MATCH($H30,英雄装备!$F:$F,0),MATCH(Q$2,英雄装备!$1:$1,0)-3),装备属性!$A:$C,3,0),VLOOKUP(INDEX(英雄装备!$F:$BZ,MATCH($H30,英雄装备!$F:$F,0),MATCH(Q$2,英雄装备!$1:$1,0)-2),装备属性!$A:$C,3,0),VLOOKUP(INDEX(英雄装备!$F:$BZ,MATCH($H30,英雄装备!$F:$F,0),MATCH(Q$2,英雄装备!$1:$1,0)-1),装备属性!$A:$C,3,0),VLOOKUP(INDEX(英雄装备!$F:$BZ,MATCH($H30,英雄装备!$F:$F,0),MATCH(Q$2,英雄装备!$1:$1,0)),装备属性!$A:$C,3,0))</f>
        <v>80</v>
      </c>
      <c r="R30" s="51">
        <f>MAX(VLOOKUP(INDEX(英雄装备!$F:$BZ,MATCH($H30,英雄装备!$F:$F,0),MATCH(R$2,英雄装备!$1:$1,0)-5),装备属性!$A:$C,3,0),VLOOKUP(INDEX(英雄装备!$F:$BZ,MATCH($H30,英雄装备!$F:$F,0),MATCH(R$2,英雄装备!$1:$1,0)-4),装备属性!$A:$C,3,0),VLOOKUP(INDEX(英雄装备!$F:$BZ,MATCH($H30,英雄装备!$F:$F,0),MATCH(R$2,英雄装备!$1:$1,0)-3),装备属性!$A:$C,3,0),VLOOKUP(INDEX(英雄装备!$F:$BZ,MATCH($H30,英雄装备!$F:$F,0),MATCH(R$2,英雄装备!$1:$1,0)-2),装备属性!$A:$C,3,0),VLOOKUP(INDEX(英雄装备!$F:$BZ,MATCH($H30,英雄装备!$F:$F,0),MATCH(R$2,英雄装备!$1:$1,0)-1),装备属性!$A:$C,3,0),VLOOKUP(INDEX(英雄装备!$F:$BZ,MATCH($H30,英雄装备!$F:$F,0),MATCH(R$2,英雄装备!$1:$1,0)),装备属性!$A:$C,3,0))</f>
        <v>77</v>
      </c>
      <c r="S30" s="51">
        <f>MAX(VLOOKUP(INDEX(英雄装备!$F:$BZ,MATCH($H30,英雄装备!$F:$F,0),MATCH(S$2,英雄装备!$1:$1,0)-5),装备属性!$A:$C,3,0),VLOOKUP(INDEX(英雄装备!$F:$BZ,MATCH($H30,英雄装备!$F:$F,0),MATCH(S$2,英雄装备!$1:$1,0)-4),装备属性!$A:$C,3,0),VLOOKUP(INDEX(英雄装备!$F:$BZ,MATCH($H30,英雄装备!$F:$F,0),MATCH(S$2,英雄装备!$1:$1,0)-3),装备属性!$A:$C,3,0),VLOOKUP(INDEX(英雄装备!$F:$BZ,MATCH($H30,英雄装备!$F:$F,0),MATCH(S$2,英雄装备!$1:$1,0)-2),装备属性!$A:$C,3,0),VLOOKUP(INDEX(英雄装备!$F:$BZ,MATCH($H30,英雄装备!$F:$F,0),MATCH(S$2,英雄装备!$1:$1,0)-1),装备属性!$A:$C,3,0),VLOOKUP(INDEX(英雄装备!$F:$BZ,MATCH($H30,英雄装备!$F:$F,0),MATCH(S$2,英雄装备!$1:$1,0)),装备属性!$A:$C,3,0))</f>
        <v>84</v>
      </c>
      <c r="T30" s="51">
        <f>MAX(VLOOKUP(INDEX(英雄装备!$F:$BZ,MATCH($H30,英雄装备!$F:$F,0),MATCH(T$2,英雄装备!$1:$1,0)-5),装备属性!$A:$C,3,0),VLOOKUP(INDEX(英雄装备!$F:$BZ,MATCH($H30,英雄装备!$F:$F,0),MATCH(T$2,英雄装备!$1:$1,0)-4),装备属性!$A:$C,3,0),VLOOKUP(INDEX(英雄装备!$F:$BZ,MATCH($H30,英雄装备!$F:$F,0),MATCH(T$2,英雄装备!$1:$1,0)-3),装备属性!$A:$C,3,0),VLOOKUP(INDEX(英雄装备!$F:$BZ,MATCH($H30,英雄装备!$F:$F,0),MATCH(T$2,英雄装备!$1:$1,0)-2),装备属性!$A:$C,3,0),VLOOKUP(INDEX(英雄装备!$F:$BZ,MATCH($H30,英雄装备!$F:$F,0),MATCH(T$2,英雄装备!$1:$1,0)-1),装备属性!$A:$C,3,0))</f>
        <v>88</v>
      </c>
      <c r="X30" s="49" t="b">
        <f t="shared" ref="X30:AC30" si="7">AND($W17,X17)</f>
        <v>1</v>
      </c>
      <c r="Y30" s="49" t="b">
        <f t="shared" si="7"/>
        <v>1</v>
      </c>
      <c r="Z30" s="49" t="b">
        <f t="shared" si="7"/>
        <v>1</v>
      </c>
      <c r="AA30" s="49" t="b">
        <f t="shared" si="7"/>
        <v>1</v>
      </c>
      <c r="AB30" s="49" t="b">
        <f t="shared" si="7"/>
        <v>1</v>
      </c>
      <c r="AC30" s="49" t="b">
        <f t="shared" si="7"/>
        <v>1</v>
      </c>
      <c r="AF30" s="49">
        <v>2</v>
      </c>
      <c r="AG30" s="49" t="str">
        <f>Y2</f>
        <v>屌丝盾</v>
      </c>
      <c r="AH30" s="49">
        <f>VLOOKUP($AG30,装备属性!$A:$Y,5,0)</f>
        <v>0</v>
      </c>
      <c r="AI30" s="49">
        <f>VLOOKUP($AG30,装备属性!$A:$Y,6,0)</f>
        <v>6</v>
      </c>
      <c r="AJ30" s="49">
        <f>VLOOKUP($AG30,装备属性!$A:$Y,7,0)</f>
        <v>0</v>
      </c>
      <c r="AK30" s="49">
        <f>VLOOKUP($AG30,装备属性!$A:$Y,8,0)</f>
        <v>0</v>
      </c>
      <c r="AL30" s="49">
        <f>VLOOKUP($AG30,装备属性!$A:$Y,9,0)</f>
        <v>0</v>
      </c>
      <c r="AM30" s="49">
        <f>VLOOKUP($AG30,装备属性!$A:$Y,10,0)</f>
        <v>0</v>
      </c>
      <c r="AN30" s="49">
        <f>VLOOKUP($AG30,装备属性!$A:$Y,11,0)</f>
        <v>3</v>
      </c>
      <c r="AO30" s="49">
        <f>VLOOKUP($AG30,装备属性!$A:$Y,12,0)</f>
        <v>0</v>
      </c>
      <c r="AP30" s="49">
        <f>VLOOKUP($AG30,装备属性!$A:$Y,13,0)</f>
        <v>0</v>
      </c>
      <c r="AQ30" s="49">
        <f>VLOOKUP($AG30,装备属性!$A:$Y,14,0)</f>
        <v>0</v>
      </c>
      <c r="AR30" s="49">
        <f>VLOOKUP($AG30,装备属性!$A:$Y,15,0)</f>
        <v>0</v>
      </c>
      <c r="AS30" s="49">
        <f>VLOOKUP($AG30,装备属性!$A:$Y,16,0)</f>
        <v>0</v>
      </c>
      <c r="AT30" s="49">
        <f>VLOOKUP($AG30,装备属性!$A:$Y,17,0)</f>
        <v>0</v>
      </c>
      <c r="AU30" s="49">
        <f>VLOOKUP($AG30,装备属性!$A:$Y,18,0)</f>
        <v>0</v>
      </c>
      <c r="AV30" s="49">
        <f>VLOOKUP($AG30,装备属性!$A:$Y,19,0)</f>
        <v>0</v>
      </c>
      <c r="AW30" s="49">
        <f>VLOOKUP($AG30,装备属性!$A:$Y,20,0)</f>
        <v>0</v>
      </c>
      <c r="AX30" s="49">
        <f>VLOOKUP($AG30,装备属性!$A:$Y,21,0)</f>
        <v>0</v>
      </c>
      <c r="AY30" s="49">
        <f>VLOOKUP($AG30,装备属性!$A:$Y,22,0)</f>
        <v>0</v>
      </c>
      <c r="AZ30" s="138">
        <f>VLOOKUP($AG30,装备属性!$A:$Y,23,0)</f>
        <v>0</v>
      </c>
      <c r="BA30" s="138">
        <f>VLOOKUP($AG30,装备属性!$A:$Y,24,0)</f>
        <v>0</v>
      </c>
      <c r="BB30" s="138">
        <f>VLOOKUP($AG30,装备属性!$A:$Y,25,0)</f>
        <v>0</v>
      </c>
    </row>
    <row r="31" spans="2:54">
      <c r="B31" s="49" t="str">
        <f>英雄初始!A32</f>
        <v>恶魔巫师</v>
      </c>
      <c r="H31" s="54" t="s">
        <v>184</v>
      </c>
      <c r="I31" s="51">
        <f>MAX(VLOOKUP(INDEX(英雄装备!$F:$BZ,MATCH($H31,英雄装备!$F:$F,0),MATCH(I$2,英雄装备!$1:$1,0)-5),装备属性!$A:$C,3,0),VLOOKUP(INDEX(英雄装备!$F:$BZ,MATCH($H31,英雄装备!$F:$F,0),MATCH(I$2,英雄装备!$1:$1,0)-4),装备属性!$A:$C,3,0),VLOOKUP(INDEX(英雄装备!$F:$BZ,MATCH($H31,英雄装备!$F:$F,0),MATCH(I$2,英雄装备!$1:$1,0)-3),装备属性!$A:$C,3,0),VLOOKUP(INDEX(英雄装备!$F:$BZ,MATCH($H31,英雄装备!$F:$F,0),MATCH(I$2,英雄装备!$1:$1,0)-2),装备属性!$A:$C,3,0),VLOOKUP(INDEX(英雄装备!$F:$BZ,MATCH($H31,英雄装备!$F:$F,0),MATCH(I$2,英雄装备!$1:$1,0)-1),装备属性!$A:$C,3,0),VLOOKUP(INDEX(英雄装备!$F:$BZ,MATCH($H31,英雄装备!$F:$F,0),MATCH(I$2,英雄装备!$1:$1,0)),装备属性!$A:$C,3,0))</f>
        <v>2</v>
      </c>
      <c r="J31" s="51">
        <f>MAX(VLOOKUP(INDEX(英雄装备!$F:$BZ,MATCH($H31,英雄装备!$F:$F,0),MATCH(J$2,英雄装备!$1:$1,0)-5),装备属性!$A:$C,3,0),VLOOKUP(INDEX(英雄装备!$F:$BZ,MATCH($H31,英雄装备!$F:$F,0),MATCH(J$2,英雄装备!$1:$1,0)-4),装备属性!$A:$C,3,0),VLOOKUP(INDEX(英雄装备!$F:$BZ,MATCH($H31,英雄装备!$F:$F,0),MATCH(J$2,英雄装备!$1:$1,0)-3),装备属性!$A:$C,3,0),VLOOKUP(INDEX(英雄装备!$F:$BZ,MATCH($H31,英雄装备!$F:$F,0),MATCH(J$2,英雄装备!$1:$1,0)-2),装备属性!$A:$C,3,0),VLOOKUP(INDEX(英雄装备!$F:$BZ,MATCH($H31,英雄装备!$F:$F,0),MATCH(J$2,英雄装备!$1:$1,0)-1),装备属性!$A:$C,3,0),VLOOKUP(INDEX(英雄装备!$F:$BZ,MATCH($H31,英雄装备!$F:$F,0),MATCH(J$2,英雄装备!$1:$1,0)),装备属性!$A:$C,3,0))</f>
        <v>10</v>
      </c>
      <c r="K31" s="51">
        <f>MAX(VLOOKUP(INDEX(英雄装备!$F:$BZ,MATCH($H31,英雄装备!$F:$F,0),MATCH(K$2,英雄装备!$1:$1,0)-5),装备属性!$A:$C,3,0),VLOOKUP(INDEX(英雄装备!$F:$BZ,MATCH($H31,英雄装备!$F:$F,0),MATCH(K$2,英雄装备!$1:$1,0)-4),装备属性!$A:$C,3,0),VLOOKUP(INDEX(英雄装备!$F:$BZ,MATCH($H31,英雄装备!$F:$F,0),MATCH(K$2,英雄装备!$1:$1,0)-3),装备属性!$A:$C,3,0),VLOOKUP(INDEX(英雄装备!$F:$BZ,MATCH($H31,英雄装备!$F:$F,0),MATCH(K$2,英雄装备!$1:$1,0)-2),装备属性!$A:$C,3,0),VLOOKUP(INDEX(英雄装备!$F:$BZ,MATCH($H31,英雄装备!$F:$F,0),MATCH(K$2,英雄装备!$1:$1,0)-1),装备属性!$A:$C,3,0),VLOOKUP(INDEX(英雄装备!$F:$BZ,MATCH($H31,英雄装备!$F:$F,0),MATCH(K$2,英雄装备!$1:$1,0)),装备属性!$A:$C,3,0))</f>
        <v>20</v>
      </c>
      <c r="L31" s="51">
        <f>MAX(VLOOKUP(INDEX(英雄装备!$F:$BZ,MATCH($H31,英雄装备!$F:$F,0),MATCH(L$2,英雄装备!$1:$1,0)-5),装备属性!$A:$C,3,0),VLOOKUP(INDEX(英雄装备!$F:$BZ,MATCH($H31,英雄装备!$F:$F,0),MATCH(L$2,英雄装备!$1:$1,0)-4),装备属性!$A:$C,3,0),VLOOKUP(INDEX(英雄装备!$F:$BZ,MATCH($H31,英雄装备!$F:$F,0),MATCH(L$2,英雄装备!$1:$1,0)-3),装备属性!$A:$C,3,0),VLOOKUP(INDEX(英雄装备!$F:$BZ,MATCH($H31,英雄装备!$F:$F,0),MATCH(L$2,英雄装备!$1:$1,0)-2),装备属性!$A:$C,3,0),VLOOKUP(INDEX(英雄装备!$F:$BZ,MATCH($H31,英雄装备!$F:$F,0),MATCH(L$2,英雄装备!$1:$1,0)-1),装备属性!$A:$C,3,0),VLOOKUP(INDEX(英雄装备!$F:$BZ,MATCH($H31,英雄装备!$F:$F,0),MATCH(L$2,英雄装备!$1:$1,0)),装备属性!$A:$C,3,0))</f>
        <v>35</v>
      </c>
      <c r="M31" s="51">
        <f>MAX(VLOOKUP(INDEX(英雄装备!$F:$BZ,MATCH($H31,英雄装备!$F:$F,0),MATCH(M$2,英雄装备!$1:$1,0)-5),装备属性!$A:$C,3,0),VLOOKUP(INDEX(英雄装备!$F:$BZ,MATCH($H31,英雄装备!$F:$F,0),MATCH(M$2,英雄装备!$1:$1,0)-4),装备属性!$A:$C,3,0),VLOOKUP(INDEX(英雄装备!$F:$BZ,MATCH($H31,英雄装备!$F:$F,0),MATCH(M$2,英雄装备!$1:$1,0)-3),装备属性!$A:$C,3,0),VLOOKUP(INDEX(英雄装备!$F:$BZ,MATCH($H31,英雄装备!$F:$F,0),MATCH(M$2,英雄装备!$1:$1,0)-2),装备属性!$A:$C,3,0),VLOOKUP(INDEX(英雄装备!$F:$BZ,MATCH($H31,英雄装备!$F:$F,0),MATCH(M$2,英雄装备!$1:$1,0)-1),装备属性!$A:$C,3,0),VLOOKUP(INDEX(英雄装备!$F:$BZ,MATCH($H31,英雄装备!$F:$F,0),MATCH(M$2,英雄装备!$1:$1,0)),装备属性!$A:$C,3,0))</f>
        <v>43</v>
      </c>
      <c r="N31" s="51">
        <f>MAX(VLOOKUP(INDEX(英雄装备!$F:$BZ,MATCH($H31,英雄装备!$F:$F,0),MATCH(N$2,英雄装备!$1:$1,0)-5),装备属性!$A:$C,3,0),VLOOKUP(INDEX(英雄装备!$F:$BZ,MATCH($H31,英雄装备!$F:$F,0),MATCH(N$2,英雄装备!$1:$1,0)-4),装备属性!$A:$C,3,0),VLOOKUP(INDEX(英雄装备!$F:$BZ,MATCH($H31,英雄装备!$F:$F,0),MATCH(N$2,英雄装备!$1:$1,0)-3),装备属性!$A:$C,3,0),VLOOKUP(INDEX(英雄装备!$F:$BZ,MATCH($H31,英雄装备!$F:$F,0),MATCH(N$2,英雄装备!$1:$1,0)-2),装备属性!$A:$C,3,0),VLOOKUP(INDEX(英雄装备!$F:$BZ,MATCH($H31,英雄装备!$F:$F,0),MATCH(N$2,英雄装备!$1:$1,0)-1),装备属性!$A:$C,3,0),VLOOKUP(INDEX(英雄装备!$F:$BZ,MATCH($H31,英雄装备!$F:$F,0),MATCH(N$2,英雄装备!$1:$1,0)),装备属性!$A:$C,3,0))</f>
        <v>53</v>
      </c>
      <c r="O31" s="51">
        <f>MAX(VLOOKUP(INDEX(英雄装备!$F:$BZ,MATCH($H31,英雄装备!$F:$F,0),MATCH(O$2,英雄装备!$1:$1,0)-5),装备属性!$A:$C,3,0),VLOOKUP(INDEX(英雄装备!$F:$BZ,MATCH($H31,英雄装备!$F:$F,0),MATCH(O$2,英雄装备!$1:$1,0)-4),装备属性!$A:$C,3,0),VLOOKUP(INDEX(英雄装备!$F:$BZ,MATCH($H31,英雄装备!$F:$F,0),MATCH(O$2,英雄装备!$1:$1,0)-3),装备属性!$A:$C,3,0),VLOOKUP(INDEX(英雄装备!$F:$BZ,MATCH($H31,英雄装备!$F:$F,0),MATCH(O$2,英雄装备!$1:$1,0)-2),装备属性!$A:$C,3,0),VLOOKUP(INDEX(英雄装备!$F:$BZ,MATCH($H31,英雄装备!$F:$F,0),MATCH(O$2,英雄装备!$1:$1,0)-1),装备属性!$A:$C,3,0),VLOOKUP(INDEX(英雄装备!$F:$BZ,MATCH($H31,英雄装备!$F:$F,0),MATCH(O$2,英雄装备!$1:$1,0)),装备属性!$A:$C,3,0))</f>
        <v>59</v>
      </c>
      <c r="P31" s="51">
        <f>MAX(VLOOKUP(INDEX(英雄装备!$F:$BZ,MATCH($H31,英雄装备!$F:$F,0),MATCH(P$2,英雄装备!$1:$1,0)-5),装备属性!$A:$C,3,0),VLOOKUP(INDEX(英雄装备!$F:$BZ,MATCH($H31,英雄装备!$F:$F,0),MATCH(P$2,英雄装备!$1:$1,0)-4),装备属性!$A:$C,3,0),VLOOKUP(INDEX(英雄装备!$F:$BZ,MATCH($H31,英雄装备!$F:$F,0),MATCH(P$2,英雄装备!$1:$1,0)-3),装备属性!$A:$C,3,0),VLOOKUP(INDEX(英雄装备!$F:$BZ,MATCH($H31,英雄装备!$F:$F,0),MATCH(P$2,英雄装备!$1:$1,0)-2),装备属性!$A:$C,3,0),VLOOKUP(INDEX(英雄装备!$F:$BZ,MATCH($H31,英雄装备!$F:$F,0),MATCH(P$2,英雄装备!$1:$1,0)-1),装备属性!$A:$C,3,0),VLOOKUP(INDEX(英雄装备!$F:$BZ,MATCH($H31,英雄装备!$F:$F,0),MATCH(P$2,英雄装备!$1:$1,0)),装备属性!$A:$C,3,0))</f>
        <v>70</v>
      </c>
      <c r="Q31" s="51">
        <f>MAX(VLOOKUP(INDEX(英雄装备!$F:$BZ,MATCH($H31,英雄装备!$F:$F,0),MATCH(Q$2,英雄装备!$1:$1,0)-5),装备属性!$A:$C,3,0),VLOOKUP(INDEX(英雄装备!$F:$BZ,MATCH($H31,英雄装备!$F:$F,0),MATCH(Q$2,英雄装备!$1:$1,0)-4),装备属性!$A:$C,3,0),VLOOKUP(INDEX(英雄装备!$F:$BZ,MATCH($H31,英雄装备!$F:$F,0),MATCH(Q$2,英雄装备!$1:$1,0)-3),装备属性!$A:$C,3,0),VLOOKUP(INDEX(英雄装备!$F:$BZ,MATCH($H31,英雄装备!$F:$F,0),MATCH(Q$2,英雄装备!$1:$1,0)-2),装备属性!$A:$C,3,0),VLOOKUP(INDEX(英雄装备!$F:$BZ,MATCH($H31,英雄装备!$F:$F,0),MATCH(Q$2,英雄装备!$1:$1,0)-1),装备属性!$A:$C,3,0),VLOOKUP(INDEX(英雄装备!$F:$BZ,MATCH($H31,英雄装备!$F:$F,0),MATCH(Q$2,英雄装备!$1:$1,0)),装备属性!$A:$C,3,0))</f>
        <v>78</v>
      </c>
      <c r="R31" s="51">
        <f>MAX(VLOOKUP(INDEX(英雄装备!$F:$BZ,MATCH($H31,英雄装备!$F:$F,0),MATCH(R$2,英雄装备!$1:$1,0)-5),装备属性!$A:$C,3,0),VLOOKUP(INDEX(英雄装备!$F:$BZ,MATCH($H31,英雄装备!$F:$F,0),MATCH(R$2,英雄装备!$1:$1,0)-4),装备属性!$A:$C,3,0),VLOOKUP(INDEX(英雄装备!$F:$BZ,MATCH($H31,英雄装备!$F:$F,0),MATCH(R$2,英雄装备!$1:$1,0)-3),装备属性!$A:$C,3,0),VLOOKUP(INDEX(英雄装备!$F:$BZ,MATCH($H31,英雄装备!$F:$F,0),MATCH(R$2,英雄装备!$1:$1,0)-2),装备属性!$A:$C,3,0),VLOOKUP(INDEX(英雄装备!$F:$BZ,MATCH($H31,英雄装备!$F:$F,0),MATCH(R$2,英雄装备!$1:$1,0)-1),装备属性!$A:$C,3,0),VLOOKUP(INDEX(英雄装备!$F:$BZ,MATCH($H31,英雄装备!$F:$F,0),MATCH(R$2,英雄装备!$1:$1,0)),装备属性!$A:$C,3,0))</f>
        <v>80</v>
      </c>
      <c r="S31" s="51">
        <f>MAX(VLOOKUP(INDEX(英雄装备!$F:$BZ,MATCH($H31,英雄装备!$F:$F,0),MATCH(S$2,英雄装备!$1:$1,0)-5),装备属性!$A:$C,3,0),VLOOKUP(INDEX(英雄装备!$F:$BZ,MATCH($H31,英雄装备!$F:$F,0),MATCH(S$2,英雄装备!$1:$1,0)-4),装备属性!$A:$C,3,0),VLOOKUP(INDEX(英雄装备!$F:$BZ,MATCH($H31,英雄装备!$F:$F,0),MATCH(S$2,英雄装备!$1:$1,0)-3),装备属性!$A:$C,3,0),VLOOKUP(INDEX(英雄装备!$F:$BZ,MATCH($H31,英雄装备!$F:$F,0),MATCH(S$2,英雄装备!$1:$1,0)-2),装备属性!$A:$C,3,0),VLOOKUP(INDEX(英雄装备!$F:$BZ,MATCH($H31,英雄装备!$F:$F,0),MATCH(S$2,英雄装备!$1:$1,0)-1),装备属性!$A:$C,3,0),VLOOKUP(INDEX(英雄装备!$F:$BZ,MATCH($H31,英雄装备!$F:$F,0),MATCH(S$2,英雄装备!$1:$1,0)),装备属性!$A:$C,3,0))</f>
        <v>85</v>
      </c>
      <c r="T31" s="51">
        <f>MAX(VLOOKUP(INDEX(英雄装备!$F:$BZ,MATCH($H31,英雄装备!$F:$F,0),MATCH(T$2,英雄装备!$1:$1,0)-5),装备属性!$A:$C,3,0),VLOOKUP(INDEX(英雄装备!$F:$BZ,MATCH($H31,英雄装备!$F:$F,0),MATCH(T$2,英雄装备!$1:$1,0)-4),装备属性!$A:$C,3,0),VLOOKUP(INDEX(英雄装备!$F:$BZ,MATCH($H31,英雄装备!$F:$F,0),MATCH(T$2,英雄装备!$1:$1,0)-3),装备属性!$A:$C,3,0),VLOOKUP(INDEX(英雄装备!$F:$BZ,MATCH($H31,英雄装备!$F:$F,0),MATCH(T$2,英雄装备!$1:$1,0)-2),装备属性!$A:$C,3,0),VLOOKUP(INDEX(英雄装备!$F:$BZ,MATCH($H31,英雄装备!$F:$F,0),MATCH(T$2,英雄装备!$1:$1,0)-1),装备属性!$A:$C,3,0))</f>
        <v>87</v>
      </c>
      <c r="X31" s="49" t="b">
        <f t="shared" ref="X31:AC31" si="8">AND($W18,X18)</f>
        <v>1</v>
      </c>
      <c r="Y31" s="49" t="b">
        <f t="shared" si="8"/>
        <v>1</v>
      </c>
      <c r="Z31" s="49" t="b">
        <f t="shared" si="8"/>
        <v>1</v>
      </c>
      <c r="AA31" s="49" t="b">
        <f t="shared" si="8"/>
        <v>1</v>
      </c>
      <c r="AB31" s="49" t="b">
        <f t="shared" si="8"/>
        <v>1</v>
      </c>
      <c r="AC31" s="49" t="b">
        <f t="shared" si="8"/>
        <v>1</v>
      </c>
      <c r="AF31" s="49">
        <v>2</v>
      </c>
      <c r="AG31" s="49" t="str">
        <f>Z2</f>
        <v>敏捷系带</v>
      </c>
      <c r="AH31" s="49">
        <f>VLOOKUP($AG31,装备属性!$A:$Y,5,0)</f>
        <v>3</v>
      </c>
      <c r="AI31" s="49">
        <f>VLOOKUP($AG31,装备属性!$A:$Y,6,0)</f>
        <v>6</v>
      </c>
      <c r="AJ31" s="49">
        <f>VLOOKUP($AG31,装备属性!$A:$Y,7,0)</f>
        <v>3</v>
      </c>
      <c r="AK31" s="49">
        <f>VLOOKUP($AG31,装备属性!$A:$Y,8,0)</f>
        <v>0</v>
      </c>
      <c r="AL31" s="49">
        <f>VLOOKUP($AG31,装备属性!$A:$Y,9,0)</f>
        <v>3</v>
      </c>
      <c r="AM31" s="49">
        <f>VLOOKUP($AG31,装备属性!$A:$Y,10,0)</f>
        <v>0</v>
      </c>
      <c r="AN31" s="49">
        <f>VLOOKUP($AG31,装备属性!$A:$Y,11,0)</f>
        <v>0</v>
      </c>
      <c r="AO31" s="49">
        <f>VLOOKUP($AG31,装备属性!$A:$Y,12,0)</f>
        <v>0</v>
      </c>
      <c r="AP31" s="49">
        <f>VLOOKUP($AG31,装备属性!$A:$Y,13,0)</f>
        <v>0</v>
      </c>
      <c r="AQ31" s="49">
        <f>VLOOKUP($AG31,装备属性!$A:$Y,14,0)</f>
        <v>0</v>
      </c>
      <c r="AR31" s="49">
        <f>VLOOKUP($AG31,装备属性!$A:$Y,15,0)</f>
        <v>0</v>
      </c>
      <c r="AS31" s="49">
        <f>VLOOKUP($AG31,装备属性!$A:$Y,16,0)</f>
        <v>0</v>
      </c>
      <c r="AT31" s="49">
        <f>VLOOKUP($AG31,装备属性!$A:$Y,17,0)</f>
        <v>0</v>
      </c>
      <c r="AU31" s="49">
        <f>VLOOKUP($AG31,装备属性!$A:$Y,18,0)</f>
        <v>0</v>
      </c>
      <c r="AV31" s="49">
        <f>VLOOKUP($AG31,装备属性!$A:$Y,19,0)</f>
        <v>0</v>
      </c>
      <c r="AW31" s="49">
        <f>VLOOKUP($AG31,装备属性!$A:$Y,20,0)</f>
        <v>0</v>
      </c>
      <c r="AX31" s="49">
        <f>VLOOKUP($AG31,装备属性!$A:$Y,21,0)</f>
        <v>0</v>
      </c>
      <c r="AY31" s="49">
        <f>VLOOKUP($AG31,装备属性!$A:$Y,22,0)</f>
        <v>0</v>
      </c>
      <c r="AZ31" s="138">
        <f>VLOOKUP($AG31,装备属性!$A:$Y,23,0)</f>
        <v>0</v>
      </c>
      <c r="BA31" s="138">
        <f>VLOOKUP($AG31,装备属性!$A:$Y,24,0)</f>
        <v>0</v>
      </c>
      <c r="BB31" s="138">
        <f>VLOOKUP($AG31,装备属性!$A:$Y,25,0)</f>
        <v>0</v>
      </c>
    </row>
    <row r="32" spans="2:54">
      <c r="B32" s="49" t="str">
        <f>英雄初始!A33</f>
        <v>风行</v>
      </c>
      <c r="H32" s="54" t="s">
        <v>185</v>
      </c>
      <c r="I32" s="51">
        <f>MAX(VLOOKUP(INDEX(英雄装备!$F:$BZ,MATCH($H32,英雄装备!$F:$F,0),MATCH(I$2,英雄装备!$1:$1,0)-5),装备属性!$A:$C,3,0),VLOOKUP(INDEX(英雄装备!$F:$BZ,MATCH($H32,英雄装备!$F:$F,0),MATCH(I$2,英雄装备!$1:$1,0)-4),装备属性!$A:$C,3,0),VLOOKUP(INDEX(英雄装备!$F:$BZ,MATCH($H32,英雄装备!$F:$F,0),MATCH(I$2,英雄装备!$1:$1,0)-3),装备属性!$A:$C,3,0),VLOOKUP(INDEX(英雄装备!$F:$BZ,MATCH($H32,英雄装备!$F:$F,0),MATCH(I$2,英雄装备!$1:$1,0)-2),装备属性!$A:$C,3,0),VLOOKUP(INDEX(英雄装备!$F:$BZ,MATCH($H32,英雄装备!$F:$F,0),MATCH(I$2,英雄装备!$1:$1,0)-1),装备属性!$A:$C,3,0),VLOOKUP(INDEX(英雄装备!$F:$BZ,MATCH($H32,英雄装备!$F:$F,0),MATCH(I$2,英雄装备!$1:$1,0)),装备属性!$A:$C,3,0))</f>
        <v>2</v>
      </c>
      <c r="J32" s="51">
        <f>MAX(VLOOKUP(INDEX(英雄装备!$F:$BZ,MATCH($H32,英雄装备!$F:$F,0),MATCH(J$2,英雄装备!$1:$1,0)-5),装备属性!$A:$C,3,0),VLOOKUP(INDEX(英雄装备!$F:$BZ,MATCH($H32,英雄装备!$F:$F,0),MATCH(J$2,英雄装备!$1:$1,0)-4),装备属性!$A:$C,3,0),VLOOKUP(INDEX(英雄装备!$F:$BZ,MATCH($H32,英雄装备!$F:$F,0),MATCH(J$2,英雄装备!$1:$1,0)-3),装备属性!$A:$C,3,0),VLOOKUP(INDEX(英雄装备!$F:$BZ,MATCH($H32,英雄装备!$F:$F,0),MATCH(J$2,英雄装备!$1:$1,0)-2),装备属性!$A:$C,3,0),VLOOKUP(INDEX(英雄装备!$F:$BZ,MATCH($H32,英雄装备!$F:$F,0),MATCH(J$2,英雄装备!$1:$1,0)-1),装备属性!$A:$C,3,0),VLOOKUP(INDEX(英雄装备!$F:$BZ,MATCH($H32,英雄装备!$F:$F,0),MATCH(J$2,英雄装备!$1:$1,0)),装备属性!$A:$C,3,0))</f>
        <v>10</v>
      </c>
      <c r="K32" s="51">
        <f>MAX(VLOOKUP(INDEX(英雄装备!$F:$BZ,MATCH($H32,英雄装备!$F:$F,0),MATCH(K$2,英雄装备!$1:$1,0)-5),装备属性!$A:$C,3,0),VLOOKUP(INDEX(英雄装备!$F:$BZ,MATCH($H32,英雄装备!$F:$F,0),MATCH(K$2,英雄装备!$1:$1,0)-4),装备属性!$A:$C,3,0),VLOOKUP(INDEX(英雄装备!$F:$BZ,MATCH($H32,英雄装备!$F:$F,0),MATCH(K$2,英雄装备!$1:$1,0)-3),装备属性!$A:$C,3,0),VLOOKUP(INDEX(英雄装备!$F:$BZ,MATCH($H32,英雄装备!$F:$F,0),MATCH(K$2,英雄装备!$1:$1,0)-2),装备属性!$A:$C,3,0),VLOOKUP(INDEX(英雄装备!$F:$BZ,MATCH($H32,英雄装备!$F:$F,0),MATCH(K$2,英雄装备!$1:$1,0)-1),装备属性!$A:$C,3,0),VLOOKUP(INDEX(英雄装备!$F:$BZ,MATCH($H32,英雄装备!$F:$F,0),MATCH(K$2,英雄装备!$1:$1,0)),装备属性!$A:$C,3,0))</f>
        <v>20</v>
      </c>
      <c r="L32" s="51">
        <f>MAX(VLOOKUP(INDEX(英雄装备!$F:$BZ,MATCH($H32,英雄装备!$F:$F,0),MATCH(L$2,英雄装备!$1:$1,0)-5),装备属性!$A:$C,3,0),VLOOKUP(INDEX(英雄装备!$F:$BZ,MATCH($H32,英雄装备!$F:$F,0),MATCH(L$2,英雄装备!$1:$1,0)-4),装备属性!$A:$C,3,0),VLOOKUP(INDEX(英雄装备!$F:$BZ,MATCH($H32,英雄装备!$F:$F,0),MATCH(L$2,英雄装备!$1:$1,0)-3),装备属性!$A:$C,3,0),VLOOKUP(INDEX(英雄装备!$F:$BZ,MATCH($H32,英雄装备!$F:$F,0),MATCH(L$2,英雄装备!$1:$1,0)-2),装备属性!$A:$C,3,0),VLOOKUP(INDEX(英雄装备!$F:$BZ,MATCH($H32,英雄装备!$F:$F,0),MATCH(L$2,英雄装备!$1:$1,0)-1),装备属性!$A:$C,3,0),VLOOKUP(INDEX(英雄装备!$F:$BZ,MATCH($H32,英雄装备!$F:$F,0),MATCH(L$2,英雄装备!$1:$1,0)),装备属性!$A:$C,3,0))</f>
        <v>33</v>
      </c>
      <c r="M32" s="51">
        <f>MAX(VLOOKUP(INDEX(英雄装备!$F:$BZ,MATCH($H32,英雄装备!$F:$F,0),MATCH(M$2,英雄装备!$1:$1,0)-5),装备属性!$A:$C,3,0),VLOOKUP(INDEX(英雄装备!$F:$BZ,MATCH($H32,英雄装备!$F:$F,0),MATCH(M$2,英雄装备!$1:$1,0)-4),装备属性!$A:$C,3,0),VLOOKUP(INDEX(英雄装备!$F:$BZ,MATCH($H32,英雄装备!$F:$F,0),MATCH(M$2,英雄装备!$1:$1,0)-3),装备属性!$A:$C,3,0),VLOOKUP(INDEX(英雄装备!$F:$BZ,MATCH($H32,英雄装备!$F:$F,0),MATCH(M$2,英雄装备!$1:$1,0)-2),装备属性!$A:$C,3,0),VLOOKUP(INDEX(英雄装备!$F:$BZ,MATCH($H32,英雄装备!$F:$F,0),MATCH(M$2,英雄装备!$1:$1,0)-1),装备属性!$A:$C,3,0),VLOOKUP(INDEX(英雄装备!$F:$BZ,MATCH($H32,英雄装备!$F:$F,0),MATCH(M$2,英雄装备!$1:$1,0)),装备属性!$A:$C,3,0))</f>
        <v>42</v>
      </c>
      <c r="N32" s="51">
        <f>MAX(VLOOKUP(INDEX(英雄装备!$F:$BZ,MATCH($H32,英雄装备!$F:$F,0),MATCH(N$2,英雄装备!$1:$1,0)-5),装备属性!$A:$C,3,0),VLOOKUP(INDEX(英雄装备!$F:$BZ,MATCH($H32,英雄装备!$F:$F,0),MATCH(N$2,英雄装备!$1:$1,0)-4),装备属性!$A:$C,3,0),VLOOKUP(INDEX(英雄装备!$F:$BZ,MATCH($H32,英雄装备!$F:$F,0),MATCH(N$2,英雄装备!$1:$1,0)-3),装备属性!$A:$C,3,0),VLOOKUP(INDEX(英雄装备!$F:$BZ,MATCH($H32,英雄装备!$F:$F,0),MATCH(N$2,英雄装备!$1:$1,0)-2),装备属性!$A:$C,3,0),VLOOKUP(INDEX(英雄装备!$F:$BZ,MATCH($H32,英雄装备!$F:$F,0),MATCH(N$2,英雄装备!$1:$1,0)-1),装备属性!$A:$C,3,0),VLOOKUP(INDEX(英雄装备!$F:$BZ,MATCH($H32,英雄装备!$F:$F,0),MATCH(N$2,英雄装备!$1:$1,0)),装备属性!$A:$C,3,0))</f>
        <v>51</v>
      </c>
      <c r="O32" s="51">
        <f>MAX(VLOOKUP(INDEX(英雄装备!$F:$BZ,MATCH($H32,英雄装备!$F:$F,0),MATCH(O$2,英雄装备!$1:$1,0)-5),装备属性!$A:$C,3,0),VLOOKUP(INDEX(英雄装备!$F:$BZ,MATCH($H32,英雄装备!$F:$F,0),MATCH(O$2,英雄装备!$1:$1,0)-4),装备属性!$A:$C,3,0),VLOOKUP(INDEX(英雄装备!$F:$BZ,MATCH($H32,英雄装备!$F:$F,0),MATCH(O$2,英雄装备!$1:$1,0)-3),装备属性!$A:$C,3,0),VLOOKUP(INDEX(英雄装备!$F:$BZ,MATCH($H32,英雄装备!$F:$F,0),MATCH(O$2,英雄装备!$1:$1,0)-2),装备属性!$A:$C,3,0),VLOOKUP(INDEX(英雄装备!$F:$BZ,MATCH($H32,英雄装备!$F:$F,0),MATCH(O$2,英雄装备!$1:$1,0)-1),装备属性!$A:$C,3,0),VLOOKUP(INDEX(英雄装备!$F:$BZ,MATCH($H32,英雄装备!$F:$F,0),MATCH(O$2,英雄装备!$1:$1,0)),装备属性!$A:$C,3,0))</f>
        <v>60</v>
      </c>
      <c r="P32" s="51">
        <f>MAX(VLOOKUP(INDEX(英雄装备!$F:$BZ,MATCH($H32,英雄装备!$F:$F,0),MATCH(P$2,英雄装备!$1:$1,0)-5),装备属性!$A:$C,3,0),VLOOKUP(INDEX(英雄装备!$F:$BZ,MATCH($H32,英雄装备!$F:$F,0),MATCH(P$2,英雄装备!$1:$1,0)-4),装备属性!$A:$C,3,0),VLOOKUP(INDEX(英雄装备!$F:$BZ,MATCH($H32,英雄装备!$F:$F,0),MATCH(P$2,英雄装备!$1:$1,0)-3),装备属性!$A:$C,3,0),VLOOKUP(INDEX(英雄装备!$F:$BZ,MATCH($H32,英雄装备!$F:$F,0),MATCH(P$2,英雄装备!$1:$1,0)-2),装备属性!$A:$C,3,0),VLOOKUP(INDEX(英雄装备!$F:$BZ,MATCH($H32,英雄装备!$F:$F,0),MATCH(P$2,英雄装备!$1:$1,0)-1),装备属性!$A:$C,3,0),VLOOKUP(INDEX(英雄装备!$F:$BZ,MATCH($H32,英雄装备!$F:$F,0),MATCH(P$2,英雄装备!$1:$1,0)),装备属性!$A:$C,3,0))</f>
        <v>70</v>
      </c>
      <c r="Q32" s="51">
        <f>MAX(VLOOKUP(INDEX(英雄装备!$F:$BZ,MATCH($H32,英雄装备!$F:$F,0),MATCH(Q$2,英雄装备!$1:$1,0)-5),装备属性!$A:$C,3,0),VLOOKUP(INDEX(英雄装备!$F:$BZ,MATCH($H32,英雄装备!$F:$F,0),MATCH(Q$2,英雄装备!$1:$1,0)-4),装备属性!$A:$C,3,0),VLOOKUP(INDEX(英雄装备!$F:$BZ,MATCH($H32,英雄装备!$F:$F,0),MATCH(Q$2,英雄装备!$1:$1,0)-3),装备属性!$A:$C,3,0),VLOOKUP(INDEX(英雄装备!$F:$BZ,MATCH($H32,英雄装备!$F:$F,0),MATCH(Q$2,英雄装备!$1:$1,0)-2),装备属性!$A:$C,3,0),VLOOKUP(INDEX(英雄装备!$F:$BZ,MATCH($H32,英雄装备!$F:$F,0),MATCH(Q$2,英雄装备!$1:$1,0)-1),装备属性!$A:$C,3,0),VLOOKUP(INDEX(英雄装备!$F:$BZ,MATCH($H32,英雄装备!$F:$F,0),MATCH(Q$2,英雄装备!$1:$1,0)),装备属性!$A:$C,3,0))</f>
        <v>78</v>
      </c>
      <c r="R32" s="51">
        <f>MAX(VLOOKUP(INDEX(英雄装备!$F:$BZ,MATCH($H32,英雄装备!$F:$F,0),MATCH(R$2,英雄装备!$1:$1,0)-5),装备属性!$A:$C,3,0),VLOOKUP(INDEX(英雄装备!$F:$BZ,MATCH($H32,英雄装备!$F:$F,0),MATCH(R$2,英雄装备!$1:$1,0)-4),装备属性!$A:$C,3,0),VLOOKUP(INDEX(英雄装备!$F:$BZ,MATCH($H32,英雄装备!$F:$F,0),MATCH(R$2,英雄装备!$1:$1,0)-3),装备属性!$A:$C,3,0),VLOOKUP(INDEX(英雄装备!$F:$BZ,MATCH($H32,英雄装备!$F:$F,0),MATCH(R$2,英雄装备!$1:$1,0)-2),装备属性!$A:$C,3,0),VLOOKUP(INDEX(英雄装备!$F:$BZ,MATCH($H32,英雄装备!$F:$F,0),MATCH(R$2,英雄装备!$1:$1,0)-1),装备属性!$A:$C,3,0),VLOOKUP(INDEX(英雄装备!$F:$BZ,MATCH($H32,英雄装备!$F:$F,0),MATCH(R$2,英雄装备!$1:$1,0)),装备属性!$A:$C,3,0))</f>
        <v>80</v>
      </c>
      <c r="S32" s="51">
        <f>MAX(VLOOKUP(INDEX(英雄装备!$F:$BZ,MATCH($H32,英雄装备!$F:$F,0),MATCH(S$2,英雄装备!$1:$1,0)-5),装备属性!$A:$C,3,0),VLOOKUP(INDEX(英雄装备!$F:$BZ,MATCH($H32,英雄装备!$F:$F,0),MATCH(S$2,英雄装备!$1:$1,0)-4),装备属性!$A:$C,3,0),VLOOKUP(INDEX(英雄装备!$F:$BZ,MATCH($H32,英雄装备!$F:$F,0),MATCH(S$2,英雄装备!$1:$1,0)-3),装备属性!$A:$C,3,0),VLOOKUP(INDEX(英雄装备!$F:$BZ,MATCH($H32,英雄装备!$F:$F,0),MATCH(S$2,英雄装备!$1:$1,0)-2),装备属性!$A:$C,3,0),VLOOKUP(INDEX(英雄装备!$F:$BZ,MATCH($H32,英雄装备!$F:$F,0),MATCH(S$2,英雄装备!$1:$1,0)-1),装备属性!$A:$C,3,0),VLOOKUP(INDEX(英雄装备!$F:$BZ,MATCH($H32,英雄装备!$F:$F,0),MATCH(S$2,英雄装备!$1:$1,0)),装备属性!$A:$C,3,0))</f>
        <v>85</v>
      </c>
      <c r="T32" s="51">
        <f>MAX(VLOOKUP(INDEX(英雄装备!$F:$BZ,MATCH($H32,英雄装备!$F:$F,0),MATCH(T$2,英雄装备!$1:$1,0)-5),装备属性!$A:$C,3,0),VLOOKUP(INDEX(英雄装备!$F:$BZ,MATCH($H32,英雄装备!$F:$F,0),MATCH(T$2,英雄装备!$1:$1,0)-4),装备属性!$A:$C,3,0),VLOOKUP(INDEX(英雄装备!$F:$BZ,MATCH($H32,英雄装备!$F:$F,0),MATCH(T$2,英雄装备!$1:$1,0)-3),装备属性!$A:$C,3,0),VLOOKUP(INDEX(英雄装备!$F:$BZ,MATCH($H32,英雄装备!$F:$F,0),MATCH(T$2,英雄装备!$1:$1,0)-2),装备属性!$A:$C,3,0),VLOOKUP(INDEX(英雄装备!$F:$BZ,MATCH($H32,英雄装备!$F:$F,0),MATCH(T$2,英雄装备!$1:$1,0)-1),装备属性!$A:$C,3,0))</f>
        <v>88</v>
      </c>
      <c r="X32" s="49" t="b">
        <f t="shared" ref="X32:AC32" si="9">AND($W19,X19)</f>
        <v>1</v>
      </c>
      <c r="Y32" s="49" t="b">
        <f t="shared" si="9"/>
        <v>1</v>
      </c>
      <c r="Z32" s="49" t="b">
        <f t="shared" si="9"/>
        <v>1</v>
      </c>
      <c r="AA32" s="49" t="b">
        <f t="shared" si="9"/>
        <v>1</v>
      </c>
      <c r="AB32" s="49" t="b">
        <f t="shared" si="9"/>
        <v>1</v>
      </c>
      <c r="AC32" s="49" t="b">
        <f t="shared" si="9"/>
        <v>1</v>
      </c>
      <c r="AF32" s="49">
        <v>2</v>
      </c>
      <c r="AG32" s="49" t="str">
        <f>AA2</f>
        <v>圣殿指环</v>
      </c>
      <c r="AH32" s="49">
        <f>VLOOKUP($AG32,装备属性!$A:$Y,5,0)</f>
        <v>0</v>
      </c>
      <c r="AI32" s="49">
        <f>VLOOKUP($AG32,装备属性!$A:$Y,6,0)</f>
        <v>0</v>
      </c>
      <c r="AJ32" s="49">
        <f>VLOOKUP($AG32,装备属性!$A:$Y,7,0)</f>
        <v>0</v>
      </c>
      <c r="AK32" s="49">
        <f>VLOOKUP($AG32,装备属性!$A:$Y,8,0)</f>
        <v>0</v>
      </c>
      <c r="AL32" s="49">
        <f>VLOOKUP($AG32,装备属性!$A:$Y,9,0)</f>
        <v>0</v>
      </c>
      <c r="AM32" s="49">
        <f>VLOOKUP($AG32,装备属性!$A:$Y,10,0)</f>
        <v>0</v>
      </c>
      <c r="AN32" s="49">
        <f>VLOOKUP($AG32,装备属性!$A:$Y,11,0)</f>
        <v>2</v>
      </c>
      <c r="AO32" s="49">
        <f>VLOOKUP($AG32,装备属性!$A:$Y,12,0)</f>
        <v>0</v>
      </c>
      <c r="AP32" s="49">
        <f>VLOOKUP($AG32,装备属性!$A:$Y,13,0)</f>
        <v>0</v>
      </c>
      <c r="AQ32" s="49">
        <f>VLOOKUP($AG32,装备属性!$A:$Y,14,0)</f>
        <v>0</v>
      </c>
      <c r="AR32" s="49">
        <f>VLOOKUP($AG32,装备属性!$A:$Y,15,0)</f>
        <v>0</v>
      </c>
      <c r="AS32" s="49">
        <f>VLOOKUP($AG32,装备属性!$A:$Y,16,0)</f>
        <v>0</v>
      </c>
      <c r="AT32" s="49">
        <f>VLOOKUP($AG32,装备属性!$A:$Y,17,0)</f>
        <v>0</v>
      </c>
      <c r="AU32" s="49">
        <f>VLOOKUP($AG32,装备属性!$A:$Y,18,0)</f>
        <v>0</v>
      </c>
      <c r="AV32" s="49">
        <f>VLOOKUP($AG32,装备属性!$A:$Y,19,0)</f>
        <v>0</v>
      </c>
      <c r="AW32" s="49">
        <f>VLOOKUP($AG32,装备属性!$A:$Y,20,0)</f>
        <v>0</v>
      </c>
      <c r="AX32" s="49">
        <f>VLOOKUP($AG32,装备属性!$A:$Y,21,0)</f>
        <v>30</v>
      </c>
      <c r="AY32" s="49">
        <f>VLOOKUP($AG32,装备属性!$A:$Y,22,0)</f>
        <v>0</v>
      </c>
      <c r="AZ32" s="138">
        <f>VLOOKUP($AG32,装备属性!$A:$Y,23,0)</f>
        <v>0</v>
      </c>
      <c r="BA32" s="138">
        <f>VLOOKUP($AG32,装备属性!$A:$Y,24,0)</f>
        <v>0</v>
      </c>
      <c r="BB32" s="138">
        <f>VLOOKUP($AG32,装备属性!$A:$Y,25,0)</f>
        <v>0</v>
      </c>
    </row>
    <row r="33" spans="2:54">
      <c r="B33" s="49" t="str">
        <f>英雄初始!A34</f>
        <v>骨法</v>
      </c>
      <c r="H33" s="54" t="s">
        <v>186</v>
      </c>
      <c r="I33" s="51">
        <f>MAX(VLOOKUP(INDEX(英雄装备!$F:$BZ,MATCH($H33,英雄装备!$F:$F,0),MATCH(I$2,英雄装备!$1:$1,0)-5),装备属性!$A:$C,3,0),VLOOKUP(INDEX(英雄装备!$F:$BZ,MATCH($H33,英雄装备!$F:$F,0),MATCH(I$2,英雄装备!$1:$1,0)-4),装备属性!$A:$C,3,0),VLOOKUP(INDEX(英雄装备!$F:$BZ,MATCH($H33,英雄装备!$F:$F,0),MATCH(I$2,英雄装备!$1:$1,0)-3),装备属性!$A:$C,3,0),VLOOKUP(INDEX(英雄装备!$F:$BZ,MATCH($H33,英雄装备!$F:$F,0),MATCH(I$2,英雄装备!$1:$1,0)-2),装备属性!$A:$C,3,0),VLOOKUP(INDEX(英雄装备!$F:$BZ,MATCH($H33,英雄装备!$F:$F,0),MATCH(I$2,英雄装备!$1:$1,0)-1),装备属性!$A:$C,3,0),VLOOKUP(INDEX(英雄装备!$F:$BZ,MATCH($H33,英雄装备!$F:$F,0),MATCH(I$2,英雄装备!$1:$1,0)),装备属性!$A:$C,3,0))</f>
        <v>2</v>
      </c>
      <c r="J33" s="51">
        <f>MAX(VLOOKUP(INDEX(英雄装备!$F:$BZ,MATCH($H33,英雄装备!$F:$F,0),MATCH(J$2,英雄装备!$1:$1,0)-5),装备属性!$A:$C,3,0),VLOOKUP(INDEX(英雄装备!$F:$BZ,MATCH($H33,英雄装备!$F:$F,0),MATCH(J$2,英雄装备!$1:$1,0)-4),装备属性!$A:$C,3,0),VLOOKUP(INDEX(英雄装备!$F:$BZ,MATCH($H33,英雄装备!$F:$F,0),MATCH(J$2,英雄装备!$1:$1,0)-3),装备属性!$A:$C,3,0),VLOOKUP(INDEX(英雄装备!$F:$BZ,MATCH($H33,英雄装备!$F:$F,0),MATCH(J$2,英雄装备!$1:$1,0)-2),装备属性!$A:$C,3,0),VLOOKUP(INDEX(英雄装备!$F:$BZ,MATCH($H33,英雄装备!$F:$F,0),MATCH(J$2,英雄装备!$1:$1,0)-1),装备属性!$A:$C,3,0),VLOOKUP(INDEX(英雄装备!$F:$BZ,MATCH($H33,英雄装备!$F:$F,0),MATCH(J$2,英雄装备!$1:$1,0)),装备属性!$A:$C,3,0))</f>
        <v>10</v>
      </c>
      <c r="K33" s="51">
        <f>MAX(VLOOKUP(INDEX(英雄装备!$F:$BZ,MATCH($H33,英雄装备!$F:$F,0),MATCH(K$2,英雄装备!$1:$1,0)-5),装备属性!$A:$C,3,0),VLOOKUP(INDEX(英雄装备!$F:$BZ,MATCH($H33,英雄装备!$F:$F,0),MATCH(K$2,英雄装备!$1:$1,0)-4),装备属性!$A:$C,3,0),VLOOKUP(INDEX(英雄装备!$F:$BZ,MATCH($H33,英雄装备!$F:$F,0),MATCH(K$2,英雄装备!$1:$1,0)-3),装备属性!$A:$C,3,0),VLOOKUP(INDEX(英雄装备!$F:$BZ,MATCH($H33,英雄装备!$F:$F,0),MATCH(K$2,英雄装备!$1:$1,0)-2),装备属性!$A:$C,3,0),VLOOKUP(INDEX(英雄装备!$F:$BZ,MATCH($H33,英雄装备!$F:$F,0),MATCH(K$2,英雄装备!$1:$1,0)-1),装备属性!$A:$C,3,0),VLOOKUP(INDEX(英雄装备!$F:$BZ,MATCH($H33,英雄装备!$F:$F,0),MATCH(K$2,英雄装备!$1:$1,0)),装备属性!$A:$C,3,0))</f>
        <v>20</v>
      </c>
      <c r="L33" s="51">
        <f>MAX(VLOOKUP(INDEX(英雄装备!$F:$BZ,MATCH($H33,英雄装备!$F:$F,0),MATCH(L$2,英雄装备!$1:$1,0)-5),装备属性!$A:$C,3,0),VLOOKUP(INDEX(英雄装备!$F:$BZ,MATCH($H33,英雄装备!$F:$F,0),MATCH(L$2,英雄装备!$1:$1,0)-4),装备属性!$A:$C,3,0),VLOOKUP(INDEX(英雄装备!$F:$BZ,MATCH($H33,英雄装备!$F:$F,0),MATCH(L$2,英雄装备!$1:$1,0)-3),装备属性!$A:$C,3,0),VLOOKUP(INDEX(英雄装备!$F:$BZ,MATCH($H33,英雄装备!$F:$F,0),MATCH(L$2,英雄装备!$1:$1,0)-2),装备属性!$A:$C,3,0),VLOOKUP(INDEX(英雄装备!$F:$BZ,MATCH($H33,英雄装备!$F:$F,0),MATCH(L$2,英雄装备!$1:$1,0)-1),装备属性!$A:$C,3,0),VLOOKUP(INDEX(英雄装备!$F:$BZ,MATCH($H33,英雄装备!$F:$F,0),MATCH(L$2,英雄装备!$1:$1,0)),装备属性!$A:$C,3,0))</f>
        <v>33</v>
      </c>
      <c r="M33" s="51">
        <f>MAX(VLOOKUP(INDEX(英雄装备!$F:$BZ,MATCH($H33,英雄装备!$F:$F,0),MATCH(M$2,英雄装备!$1:$1,0)-5),装备属性!$A:$C,3,0),VLOOKUP(INDEX(英雄装备!$F:$BZ,MATCH($H33,英雄装备!$F:$F,0),MATCH(M$2,英雄装备!$1:$1,0)-4),装备属性!$A:$C,3,0),VLOOKUP(INDEX(英雄装备!$F:$BZ,MATCH($H33,英雄装备!$F:$F,0),MATCH(M$2,英雄装备!$1:$1,0)-3),装备属性!$A:$C,3,0),VLOOKUP(INDEX(英雄装备!$F:$BZ,MATCH($H33,英雄装备!$F:$F,0),MATCH(M$2,英雄装备!$1:$1,0)-2),装备属性!$A:$C,3,0),VLOOKUP(INDEX(英雄装备!$F:$BZ,MATCH($H33,英雄装备!$F:$F,0),MATCH(M$2,英雄装备!$1:$1,0)-1),装备属性!$A:$C,3,0),VLOOKUP(INDEX(英雄装备!$F:$BZ,MATCH($H33,英雄装备!$F:$F,0),MATCH(M$2,英雄装备!$1:$1,0)),装备属性!$A:$C,3,0))</f>
        <v>42</v>
      </c>
      <c r="N33" s="51">
        <f>MAX(VLOOKUP(INDEX(英雄装备!$F:$BZ,MATCH($H33,英雄装备!$F:$F,0),MATCH(N$2,英雄装备!$1:$1,0)-5),装备属性!$A:$C,3,0),VLOOKUP(INDEX(英雄装备!$F:$BZ,MATCH($H33,英雄装备!$F:$F,0),MATCH(N$2,英雄装备!$1:$1,0)-4),装备属性!$A:$C,3,0),VLOOKUP(INDEX(英雄装备!$F:$BZ,MATCH($H33,英雄装备!$F:$F,0),MATCH(N$2,英雄装备!$1:$1,0)-3),装备属性!$A:$C,3,0),VLOOKUP(INDEX(英雄装备!$F:$BZ,MATCH($H33,英雄装备!$F:$F,0),MATCH(N$2,英雄装备!$1:$1,0)-2),装备属性!$A:$C,3,0),VLOOKUP(INDEX(英雄装备!$F:$BZ,MATCH($H33,英雄装备!$F:$F,0),MATCH(N$2,英雄装备!$1:$1,0)-1),装备属性!$A:$C,3,0),VLOOKUP(INDEX(英雄装备!$F:$BZ,MATCH($H33,英雄装备!$F:$F,0),MATCH(N$2,英雄装备!$1:$1,0)),装备属性!$A:$C,3,0))</f>
        <v>51</v>
      </c>
      <c r="O33" s="51">
        <f>MAX(VLOOKUP(INDEX(英雄装备!$F:$BZ,MATCH($H33,英雄装备!$F:$F,0),MATCH(O$2,英雄装备!$1:$1,0)-5),装备属性!$A:$C,3,0),VLOOKUP(INDEX(英雄装备!$F:$BZ,MATCH($H33,英雄装备!$F:$F,0),MATCH(O$2,英雄装备!$1:$1,0)-4),装备属性!$A:$C,3,0),VLOOKUP(INDEX(英雄装备!$F:$BZ,MATCH($H33,英雄装备!$F:$F,0),MATCH(O$2,英雄装备!$1:$1,0)-3),装备属性!$A:$C,3,0),VLOOKUP(INDEX(英雄装备!$F:$BZ,MATCH($H33,英雄装备!$F:$F,0),MATCH(O$2,英雄装备!$1:$1,0)-2),装备属性!$A:$C,3,0),VLOOKUP(INDEX(英雄装备!$F:$BZ,MATCH($H33,英雄装备!$F:$F,0),MATCH(O$2,英雄装备!$1:$1,0)-1),装备属性!$A:$C,3,0),VLOOKUP(INDEX(英雄装备!$F:$BZ,MATCH($H33,英雄装备!$F:$F,0),MATCH(O$2,英雄装备!$1:$1,0)),装备属性!$A:$C,3,0))</f>
        <v>63</v>
      </c>
      <c r="P33" s="51">
        <f>MAX(VLOOKUP(INDEX(英雄装备!$F:$BZ,MATCH($H33,英雄装备!$F:$F,0),MATCH(P$2,英雄装备!$1:$1,0)-5),装备属性!$A:$C,3,0),VLOOKUP(INDEX(英雄装备!$F:$BZ,MATCH($H33,英雄装备!$F:$F,0),MATCH(P$2,英雄装备!$1:$1,0)-4),装备属性!$A:$C,3,0),VLOOKUP(INDEX(英雄装备!$F:$BZ,MATCH($H33,英雄装备!$F:$F,0),MATCH(P$2,英雄装备!$1:$1,0)-3),装备属性!$A:$C,3,0),VLOOKUP(INDEX(英雄装备!$F:$BZ,MATCH($H33,英雄装备!$F:$F,0),MATCH(P$2,英雄装备!$1:$1,0)-2),装备属性!$A:$C,3,0),VLOOKUP(INDEX(英雄装备!$F:$BZ,MATCH($H33,英雄装备!$F:$F,0),MATCH(P$2,英雄装备!$1:$1,0)-1),装备属性!$A:$C,3,0),VLOOKUP(INDEX(英雄装备!$F:$BZ,MATCH($H33,英雄装备!$F:$F,0),MATCH(P$2,英雄装备!$1:$1,0)),装备属性!$A:$C,3,0))</f>
        <v>70</v>
      </c>
      <c r="Q33" s="51">
        <f>MAX(VLOOKUP(INDEX(英雄装备!$F:$BZ,MATCH($H33,英雄装备!$F:$F,0),MATCH(Q$2,英雄装备!$1:$1,0)-5),装备属性!$A:$C,3,0),VLOOKUP(INDEX(英雄装备!$F:$BZ,MATCH($H33,英雄装备!$F:$F,0),MATCH(Q$2,英雄装备!$1:$1,0)-4),装备属性!$A:$C,3,0),VLOOKUP(INDEX(英雄装备!$F:$BZ,MATCH($H33,英雄装备!$F:$F,0),MATCH(Q$2,英雄装备!$1:$1,0)-3),装备属性!$A:$C,3,0),VLOOKUP(INDEX(英雄装备!$F:$BZ,MATCH($H33,英雄装备!$F:$F,0),MATCH(Q$2,英雄装备!$1:$1,0)-2),装备属性!$A:$C,3,0),VLOOKUP(INDEX(英雄装备!$F:$BZ,MATCH($H33,英雄装备!$F:$F,0),MATCH(Q$2,英雄装备!$1:$1,0)-1),装备属性!$A:$C,3,0),VLOOKUP(INDEX(英雄装备!$F:$BZ,MATCH($H33,英雄装备!$F:$F,0),MATCH(Q$2,英雄装备!$1:$1,0)),装备属性!$A:$C,3,0))</f>
        <v>80</v>
      </c>
      <c r="R33" s="51">
        <f>MAX(VLOOKUP(INDEX(英雄装备!$F:$BZ,MATCH($H33,英雄装备!$F:$F,0),MATCH(R$2,英雄装备!$1:$1,0)-5),装备属性!$A:$C,3,0),VLOOKUP(INDEX(英雄装备!$F:$BZ,MATCH($H33,英雄装备!$F:$F,0),MATCH(R$2,英雄装备!$1:$1,0)-4),装备属性!$A:$C,3,0),VLOOKUP(INDEX(英雄装备!$F:$BZ,MATCH($H33,英雄装备!$F:$F,0),MATCH(R$2,英雄装备!$1:$1,0)-3),装备属性!$A:$C,3,0),VLOOKUP(INDEX(英雄装备!$F:$BZ,MATCH($H33,英雄装备!$F:$F,0),MATCH(R$2,英雄装备!$1:$1,0)-2),装备属性!$A:$C,3,0),VLOOKUP(INDEX(英雄装备!$F:$BZ,MATCH($H33,英雄装备!$F:$F,0),MATCH(R$2,英雄装备!$1:$1,0)-1),装备属性!$A:$C,3,0),VLOOKUP(INDEX(英雄装备!$F:$BZ,MATCH($H33,英雄装备!$F:$F,0),MATCH(R$2,英雄装备!$1:$1,0)),装备属性!$A:$C,3,0))</f>
        <v>80</v>
      </c>
      <c r="S33" s="51">
        <f>MAX(VLOOKUP(INDEX(英雄装备!$F:$BZ,MATCH($H33,英雄装备!$F:$F,0),MATCH(S$2,英雄装备!$1:$1,0)-5),装备属性!$A:$C,3,0),VLOOKUP(INDEX(英雄装备!$F:$BZ,MATCH($H33,英雄装备!$F:$F,0),MATCH(S$2,英雄装备!$1:$1,0)-4),装备属性!$A:$C,3,0),VLOOKUP(INDEX(英雄装备!$F:$BZ,MATCH($H33,英雄装备!$F:$F,0),MATCH(S$2,英雄装备!$1:$1,0)-3),装备属性!$A:$C,3,0),VLOOKUP(INDEX(英雄装备!$F:$BZ,MATCH($H33,英雄装备!$F:$F,0),MATCH(S$2,英雄装备!$1:$1,0)-2),装备属性!$A:$C,3,0),VLOOKUP(INDEX(英雄装备!$F:$BZ,MATCH($H33,英雄装备!$F:$F,0),MATCH(S$2,英雄装备!$1:$1,0)-1),装备属性!$A:$C,3,0),VLOOKUP(INDEX(英雄装备!$F:$BZ,MATCH($H33,英雄装备!$F:$F,0),MATCH(S$2,英雄装备!$1:$1,0)),装备属性!$A:$C,3,0))</f>
        <v>85</v>
      </c>
      <c r="T33" s="51">
        <f>MAX(VLOOKUP(INDEX(英雄装备!$F:$BZ,MATCH($H33,英雄装备!$F:$F,0),MATCH(T$2,英雄装备!$1:$1,0)-5),装备属性!$A:$C,3,0),VLOOKUP(INDEX(英雄装备!$F:$BZ,MATCH($H33,英雄装备!$F:$F,0),MATCH(T$2,英雄装备!$1:$1,0)-4),装备属性!$A:$C,3,0),VLOOKUP(INDEX(英雄装备!$F:$BZ,MATCH($H33,英雄装备!$F:$F,0),MATCH(T$2,英雄装备!$1:$1,0)-3),装备属性!$A:$C,3,0),VLOOKUP(INDEX(英雄装备!$F:$BZ,MATCH($H33,英雄装备!$F:$F,0),MATCH(T$2,英雄装备!$1:$1,0)-2),装备属性!$A:$C,3,0),VLOOKUP(INDEX(英雄装备!$F:$BZ,MATCH($H33,英雄装备!$F:$F,0),MATCH(T$2,英雄装备!$1:$1,0)-1),装备属性!$A:$C,3,0))</f>
        <v>87</v>
      </c>
      <c r="X33" s="49" t="b">
        <f t="shared" ref="X33:AC33" si="10">AND($W20,X20)</f>
        <v>1</v>
      </c>
      <c r="Y33" s="49" t="b">
        <f t="shared" si="10"/>
        <v>1</v>
      </c>
      <c r="Z33" s="49" t="b">
        <f t="shared" si="10"/>
        <v>1</v>
      </c>
      <c r="AA33" s="49" t="b">
        <f t="shared" si="10"/>
        <v>1</v>
      </c>
      <c r="AB33" s="49" t="b">
        <f t="shared" si="10"/>
        <v>1</v>
      </c>
      <c r="AC33" s="49" t="b">
        <f t="shared" si="10"/>
        <v>1</v>
      </c>
      <c r="AF33" s="49">
        <v>2</v>
      </c>
      <c r="AG33" s="49" t="str">
        <f>AB2</f>
        <v>小魔棒</v>
      </c>
      <c r="AH33" s="49">
        <f>VLOOKUP($AG33,装备属性!$A:$Y,5,0)</f>
        <v>0</v>
      </c>
      <c r="AI33" s="49">
        <f>VLOOKUP($AG33,装备属性!$A:$Y,6,0)</f>
        <v>0</v>
      </c>
      <c r="AJ33" s="49">
        <f>VLOOKUP($AG33,装备属性!$A:$Y,7,0)</f>
        <v>0</v>
      </c>
      <c r="AK33" s="49">
        <f>VLOOKUP($AG33,装备属性!$A:$Y,8,0)</f>
        <v>0</v>
      </c>
      <c r="AL33" s="49">
        <f>VLOOKUP($AG33,装备属性!$A:$Y,9,0)</f>
        <v>0</v>
      </c>
      <c r="AM33" s="49">
        <f>VLOOKUP($AG33,装备属性!$A:$Y,10,0)</f>
        <v>0</v>
      </c>
      <c r="AN33" s="49">
        <f>VLOOKUP($AG33,装备属性!$A:$Y,11,0)</f>
        <v>0</v>
      </c>
      <c r="AO33" s="49">
        <f>VLOOKUP($AG33,装备属性!$A:$Y,12,0)</f>
        <v>0</v>
      </c>
      <c r="AP33" s="49">
        <f>VLOOKUP($AG33,装备属性!$A:$Y,13,0)</f>
        <v>0</v>
      </c>
      <c r="AQ33" s="49">
        <f>VLOOKUP($AG33,装备属性!$A:$Y,14,0)</f>
        <v>0</v>
      </c>
      <c r="AR33" s="49">
        <f>VLOOKUP($AG33,装备属性!$A:$Y,15,0)</f>
        <v>0</v>
      </c>
      <c r="AS33" s="49">
        <f>VLOOKUP($AG33,装备属性!$A:$Y,16,0)</f>
        <v>0</v>
      </c>
      <c r="AT33" s="49">
        <f>VLOOKUP($AG33,装备属性!$A:$Y,17,0)</f>
        <v>0</v>
      </c>
      <c r="AU33" s="49">
        <f>VLOOKUP($AG33,装备属性!$A:$Y,18,0)</f>
        <v>0</v>
      </c>
      <c r="AV33" s="49">
        <f>VLOOKUP($AG33,装备属性!$A:$Y,19,0)</f>
        <v>0</v>
      </c>
      <c r="AW33" s="49">
        <f>VLOOKUP($AG33,装备属性!$A:$Y,20,0)</f>
        <v>15</v>
      </c>
      <c r="AX33" s="49">
        <f>VLOOKUP($AG33,装备属性!$A:$Y,21,0)</f>
        <v>15</v>
      </c>
      <c r="AY33" s="49">
        <f>VLOOKUP($AG33,装备属性!$A:$Y,22,0)</f>
        <v>0</v>
      </c>
      <c r="AZ33" s="138">
        <f>VLOOKUP($AG33,装备属性!$A:$Y,23,0)</f>
        <v>0</v>
      </c>
      <c r="BA33" s="138">
        <f>VLOOKUP($AG33,装备属性!$A:$Y,24,0)</f>
        <v>0</v>
      </c>
      <c r="BB33" s="138">
        <f>VLOOKUP($AG33,装备属性!$A:$Y,25,0)</f>
        <v>0</v>
      </c>
    </row>
    <row r="34" spans="2:54">
      <c r="B34" s="49" t="str">
        <f>英雄初始!A35</f>
        <v>光法</v>
      </c>
      <c r="H34" s="54" t="s">
        <v>187</v>
      </c>
      <c r="I34" s="51">
        <f>MAX(VLOOKUP(INDEX(英雄装备!$F:$BZ,MATCH($H34,英雄装备!$F:$F,0),MATCH(I$2,英雄装备!$1:$1,0)-5),装备属性!$A:$C,3,0),VLOOKUP(INDEX(英雄装备!$F:$BZ,MATCH($H34,英雄装备!$F:$F,0),MATCH(I$2,英雄装备!$1:$1,0)-4),装备属性!$A:$C,3,0),VLOOKUP(INDEX(英雄装备!$F:$BZ,MATCH($H34,英雄装备!$F:$F,0),MATCH(I$2,英雄装备!$1:$1,0)-3),装备属性!$A:$C,3,0),VLOOKUP(INDEX(英雄装备!$F:$BZ,MATCH($H34,英雄装备!$F:$F,0),MATCH(I$2,英雄装备!$1:$1,0)-2),装备属性!$A:$C,3,0),VLOOKUP(INDEX(英雄装备!$F:$BZ,MATCH($H34,英雄装备!$F:$F,0),MATCH(I$2,英雄装备!$1:$1,0)-1),装备属性!$A:$C,3,0),VLOOKUP(INDEX(英雄装备!$F:$BZ,MATCH($H34,英雄装备!$F:$F,0),MATCH(I$2,英雄装备!$1:$1,0)),装备属性!$A:$C,3,0))</f>
        <v>2</v>
      </c>
      <c r="J34" s="51">
        <f>MAX(VLOOKUP(INDEX(英雄装备!$F:$BZ,MATCH($H34,英雄装备!$F:$F,0),MATCH(J$2,英雄装备!$1:$1,0)-5),装备属性!$A:$C,3,0),VLOOKUP(INDEX(英雄装备!$F:$BZ,MATCH($H34,英雄装备!$F:$F,0),MATCH(J$2,英雄装备!$1:$1,0)-4),装备属性!$A:$C,3,0),VLOOKUP(INDEX(英雄装备!$F:$BZ,MATCH($H34,英雄装备!$F:$F,0),MATCH(J$2,英雄装备!$1:$1,0)-3),装备属性!$A:$C,3,0),VLOOKUP(INDEX(英雄装备!$F:$BZ,MATCH($H34,英雄装备!$F:$F,0),MATCH(J$2,英雄装备!$1:$1,0)-2),装备属性!$A:$C,3,0),VLOOKUP(INDEX(英雄装备!$F:$BZ,MATCH($H34,英雄装备!$F:$F,0),MATCH(J$2,英雄装备!$1:$1,0)-1),装备属性!$A:$C,3,0),VLOOKUP(INDEX(英雄装备!$F:$BZ,MATCH($H34,英雄装备!$F:$F,0),MATCH(J$2,英雄装备!$1:$1,0)),装备属性!$A:$C,3,0))</f>
        <v>10</v>
      </c>
      <c r="K34" s="51">
        <f>MAX(VLOOKUP(INDEX(英雄装备!$F:$BZ,MATCH($H34,英雄装备!$F:$F,0),MATCH(K$2,英雄装备!$1:$1,0)-5),装备属性!$A:$C,3,0),VLOOKUP(INDEX(英雄装备!$F:$BZ,MATCH($H34,英雄装备!$F:$F,0),MATCH(K$2,英雄装备!$1:$1,0)-4),装备属性!$A:$C,3,0),VLOOKUP(INDEX(英雄装备!$F:$BZ,MATCH($H34,英雄装备!$F:$F,0),MATCH(K$2,英雄装备!$1:$1,0)-3),装备属性!$A:$C,3,0),VLOOKUP(INDEX(英雄装备!$F:$BZ,MATCH($H34,英雄装备!$F:$F,0),MATCH(K$2,英雄装备!$1:$1,0)-2),装备属性!$A:$C,3,0),VLOOKUP(INDEX(英雄装备!$F:$BZ,MATCH($H34,英雄装备!$F:$F,0),MATCH(K$2,英雄装备!$1:$1,0)-1),装备属性!$A:$C,3,0),VLOOKUP(INDEX(英雄装备!$F:$BZ,MATCH($H34,英雄装备!$F:$F,0),MATCH(K$2,英雄装备!$1:$1,0)),装备属性!$A:$C,3,0))</f>
        <v>24</v>
      </c>
      <c r="L34" s="51">
        <f>MAX(VLOOKUP(INDEX(英雄装备!$F:$BZ,MATCH($H34,英雄装备!$F:$F,0),MATCH(L$2,英雄装备!$1:$1,0)-5),装备属性!$A:$C,3,0),VLOOKUP(INDEX(英雄装备!$F:$BZ,MATCH($H34,英雄装备!$F:$F,0),MATCH(L$2,英雄装备!$1:$1,0)-4),装备属性!$A:$C,3,0),VLOOKUP(INDEX(英雄装备!$F:$BZ,MATCH($H34,英雄装备!$F:$F,0),MATCH(L$2,英雄装备!$1:$1,0)-3),装备属性!$A:$C,3,0),VLOOKUP(INDEX(英雄装备!$F:$BZ,MATCH($H34,英雄装备!$F:$F,0),MATCH(L$2,英雄装备!$1:$1,0)-2),装备属性!$A:$C,3,0),VLOOKUP(INDEX(英雄装备!$F:$BZ,MATCH($H34,英雄装备!$F:$F,0),MATCH(L$2,英雄装备!$1:$1,0)-1),装备属性!$A:$C,3,0),VLOOKUP(INDEX(英雄装备!$F:$BZ,MATCH($H34,英雄装备!$F:$F,0),MATCH(L$2,英雄装备!$1:$1,0)),装备属性!$A:$C,3,0))</f>
        <v>24</v>
      </c>
      <c r="M34" s="51">
        <f>MAX(VLOOKUP(INDEX(英雄装备!$F:$BZ,MATCH($H34,英雄装备!$F:$F,0),MATCH(M$2,英雄装备!$1:$1,0)-5),装备属性!$A:$C,3,0),VLOOKUP(INDEX(英雄装备!$F:$BZ,MATCH($H34,英雄装备!$F:$F,0),MATCH(M$2,英雄装备!$1:$1,0)-4),装备属性!$A:$C,3,0),VLOOKUP(INDEX(英雄装备!$F:$BZ,MATCH($H34,英雄装备!$F:$F,0),MATCH(M$2,英雄装备!$1:$1,0)-3),装备属性!$A:$C,3,0),VLOOKUP(INDEX(英雄装备!$F:$BZ,MATCH($H34,英雄装备!$F:$F,0),MATCH(M$2,英雄装备!$1:$1,0)-2),装备属性!$A:$C,3,0),VLOOKUP(INDEX(英雄装备!$F:$BZ,MATCH($H34,英雄装备!$F:$F,0),MATCH(M$2,英雄装备!$1:$1,0)-1),装备属性!$A:$C,3,0),VLOOKUP(INDEX(英雄装备!$F:$BZ,MATCH($H34,英雄装备!$F:$F,0),MATCH(M$2,英雄装备!$1:$1,0)),装备属性!$A:$C,3,0))</f>
        <v>42</v>
      </c>
      <c r="N34" s="51">
        <f>MAX(VLOOKUP(INDEX(英雄装备!$F:$BZ,MATCH($H34,英雄装备!$F:$F,0),MATCH(N$2,英雄装备!$1:$1,0)-5),装备属性!$A:$C,3,0),VLOOKUP(INDEX(英雄装备!$F:$BZ,MATCH($H34,英雄装备!$F:$F,0),MATCH(N$2,英雄装备!$1:$1,0)-4),装备属性!$A:$C,3,0),VLOOKUP(INDEX(英雄装备!$F:$BZ,MATCH($H34,英雄装备!$F:$F,0),MATCH(N$2,英雄装备!$1:$1,0)-3),装备属性!$A:$C,3,0),VLOOKUP(INDEX(英雄装备!$F:$BZ,MATCH($H34,英雄装备!$F:$F,0),MATCH(N$2,英雄装备!$1:$1,0)-2),装备属性!$A:$C,3,0),VLOOKUP(INDEX(英雄装备!$F:$BZ,MATCH($H34,英雄装备!$F:$F,0),MATCH(N$2,英雄装备!$1:$1,0)-1),装备属性!$A:$C,3,0),VLOOKUP(INDEX(英雄装备!$F:$BZ,MATCH($H34,英雄装备!$F:$F,0),MATCH(N$2,英雄装备!$1:$1,0)),装备属性!$A:$C,3,0))</f>
        <v>51</v>
      </c>
      <c r="O34" s="51">
        <f>MAX(VLOOKUP(INDEX(英雄装备!$F:$BZ,MATCH($H34,英雄装备!$F:$F,0),MATCH(O$2,英雄装备!$1:$1,0)-5),装备属性!$A:$C,3,0),VLOOKUP(INDEX(英雄装备!$F:$BZ,MATCH($H34,英雄装备!$F:$F,0),MATCH(O$2,英雄装备!$1:$1,0)-4),装备属性!$A:$C,3,0),VLOOKUP(INDEX(英雄装备!$F:$BZ,MATCH($H34,英雄装备!$F:$F,0),MATCH(O$2,英雄装备!$1:$1,0)-3),装备属性!$A:$C,3,0),VLOOKUP(INDEX(英雄装备!$F:$BZ,MATCH($H34,英雄装备!$F:$F,0),MATCH(O$2,英雄装备!$1:$1,0)-2),装备属性!$A:$C,3,0),VLOOKUP(INDEX(英雄装备!$F:$BZ,MATCH($H34,英雄装备!$F:$F,0),MATCH(O$2,英雄装备!$1:$1,0)-1),装备属性!$A:$C,3,0),VLOOKUP(INDEX(英雄装备!$F:$BZ,MATCH($H34,英雄装备!$F:$F,0),MATCH(O$2,英雄装备!$1:$1,0)),装备属性!$A:$C,3,0))</f>
        <v>59</v>
      </c>
      <c r="P34" s="51">
        <f>MAX(VLOOKUP(INDEX(英雄装备!$F:$BZ,MATCH($H34,英雄装备!$F:$F,0),MATCH(P$2,英雄装备!$1:$1,0)-5),装备属性!$A:$C,3,0),VLOOKUP(INDEX(英雄装备!$F:$BZ,MATCH($H34,英雄装备!$F:$F,0),MATCH(P$2,英雄装备!$1:$1,0)-4),装备属性!$A:$C,3,0),VLOOKUP(INDEX(英雄装备!$F:$BZ,MATCH($H34,英雄装备!$F:$F,0),MATCH(P$2,英雄装备!$1:$1,0)-3),装备属性!$A:$C,3,0),VLOOKUP(INDEX(英雄装备!$F:$BZ,MATCH($H34,英雄装备!$F:$F,0),MATCH(P$2,英雄装备!$1:$1,0)-2),装备属性!$A:$C,3,0),VLOOKUP(INDEX(英雄装备!$F:$BZ,MATCH($H34,英雄装备!$F:$F,0),MATCH(P$2,英雄装备!$1:$1,0)-1),装备属性!$A:$C,3,0),VLOOKUP(INDEX(英雄装备!$F:$BZ,MATCH($H34,英雄装备!$F:$F,0),MATCH(P$2,英雄装备!$1:$1,0)),装备属性!$A:$C,3,0))</f>
        <v>70</v>
      </c>
      <c r="Q34" s="51">
        <f>MAX(VLOOKUP(INDEX(英雄装备!$F:$BZ,MATCH($H34,英雄装备!$F:$F,0),MATCH(Q$2,英雄装备!$1:$1,0)-5),装备属性!$A:$C,3,0),VLOOKUP(INDEX(英雄装备!$F:$BZ,MATCH($H34,英雄装备!$F:$F,0),MATCH(Q$2,英雄装备!$1:$1,0)-4),装备属性!$A:$C,3,0),VLOOKUP(INDEX(英雄装备!$F:$BZ,MATCH($H34,英雄装备!$F:$F,0),MATCH(Q$2,英雄装备!$1:$1,0)-3),装备属性!$A:$C,3,0),VLOOKUP(INDEX(英雄装备!$F:$BZ,MATCH($H34,英雄装备!$F:$F,0),MATCH(Q$2,英雄装备!$1:$1,0)-2),装备属性!$A:$C,3,0),VLOOKUP(INDEX(英雄装备!$F:$BZ,MATCH($H34,英雄装备!$F:$F,0),MATCH(Q$2,英雄装备!$1:$1,0)-1),装备属性!$A:$C,3,0),VLOOKUP(INDEX(英雄装备!$F:$BZ,MATCH($H34,英雄装备!$F:$F,0),MATCH(Q$2,英雄装备!$1:$1,0)),装备属性!$A:$C,3,0))</f>
        <v>78</v>
      </c>
      <c r="R34" s="51">
        <f>MAX(VLOOKUP(INDEX(英雄装备!$F:$BZ,MATCH($H34,英雄装备!$F:$F,0),MATCH(R$2,英雄装备!$1:$1,0)-5),装备属性!$A:$C,3,0),VLOOKUP(INDEX(英雄装备!$F:$BZ,MATCH($H34,英雄装备!$F:$F,0),MATCH(R$2,英雄装备!$1:$1,0)-4),装备属性!$A:$C,3,0),VLOOKUP(INDEX(英雄装备!$F:$BZ,MATCH($H34,英雄装备!$F:$F,0),MATCH(R$2,英雄装备!$1:$1,0)-3),装备属性!$A:$C,3,0),VLOOKUP(INDEX(英雄装备!$F:$BZ,MATCH($H34,英雄装备!$F:$F,0),MATCH(R$2,英雄装备!$1:$1,0)-2),装备属性!$A:$C,3,0),VLOOKUP(INDEX(英雄装备!$F:$BZ,MATCH($H34,英雄装备!$F:$F,0),MATCH(R$2,英雄装备!$1:$1,0)-1),装备属性!$A:$C,3,0),VLOOKUP(INDEX(英雄装备!$F:$BZ,MATCH($H34,英雄装备!$F:$F,0),MATCH(R$2,英雄装备!$1:$1,0)),装备属性!$A:$C,3,0))</f>
        <v>79</v>
      </c>
      <c r="S34" s="51">
        <f>MAX(VLOOKUP(INDEX(英雄装备!$F:$BZ,MATCH($H34,英雄装备!$F:$F,0),MATCH(S$2,英雄装备!$1:$1,0)-5),装备属性!$A:$C,3,0),VLOOKUP(INDEX(英雄装备!$F:$BZ,MATCH($H34,英雄装备!$F:$F,0),MATCH(S$2,英雄装备!$1:$1,0)-4),装备属性!$A:$C,3,0),VLOOKUP(INDEX(英雄装备!$F:$BZ,MATCH($H34,英雄装备!$F:$F,0),MATCH(S$2,英雄装备!$1:$1,0)-3),装备属性!$A:$C,3,0),VLOOKUP(INDEX(英雄装备!$F:$BZ,MATCH($H34,英雄装备!$F:$F,0),MATCH(S$2,英雄装备!$1:$1,0)-2),装备属性!$A:$C,3,0),VLOOKUP(INDEX(英雄装备!$F:$BZ,MATCH($H34,英雄装备!$F:$F,0),MATCH(S$2,英雄装备!$1:$1,0)-1),装备属性!$A:$C,3,0),VLOOKUP(INDEX(英雄装备!$F:$BZ,MATCH($H34,英雄装备!$F:$F,0),MATCH(S$2,英雄装备!$1:$1,0)),装备属性!$A:$C,3,0))</f>
        <v>85</v>
      </c>
      <c r="T34" s="51">
        <f>MAX(VLOOKUP(INDEX(英雄装备!$F:$BZ,MATCH($H34,英雄装备!$F:$F,0),MATCH(T$2,英雄装备!$1:$1,0)-5),装备属性!$A:$C,3,0),VLOOKUP(INDEX(英雄装备!$F:$BZ,MATCH($H34,英雄装备!$F:$F,0),MATCH(T$2,英雄装备!$1:$1,0)-4),装备属性!$A:$C,3,0),VLOOKUP(INDEX(英雄装备!$F:$BZ,MATCH($H34,英雄装备!$F:$F,0),MATCH(T$2,英雄装备!$1:$1,0)-3),装备属性!$A:$C,3,0),VLOOKUP(INDEX(英雄装备!$F:$BZ,MATCH($H34,英雄装备!$F:$F,0),MATCH(T$2,英雄装备!$1:$1,0)-2),装备属性!$A:$C,3,0),VLOOKUP(INDEX(英雄装备!$F:$BZ,MATCH($H34,英雄装备!$F:$F,0),MATCH(T$2,英雄装备!$1:$1,0)-1),装备属性!$A:$C,3,0))</f>
        <v>89</v>
      </c>
      <c r="X34" s="49" t="b">
        <f t="shared" ref="X34:AC34" si="11">AND($W21,X21)</f>
        <v>1</v>
      </c>
      <c r="Y34" s="49" t="b">
        <f t="shared" si="11"/>
        <v>1</v>
      </c>
      <c r="Z34" s="49" t="b">
        <f t="shared" si="11"/>
        <v>1</v>
      </c>
      <c r="AA34" s="49" t="b">
        <f t="shared" si="11"/>
        <v>1</v>
      </c>
      <c r="AB34" s="49" t="b">
        <f t="shared" si="11"/>
        <v>1</v>
      </c>
      <c r="AC34" s="49" t="b">
        <f t="shared" si="11"/>
        <v>1</v>
      </c>
      <c r="AF34" s="49">
        <v>2</v>
      </c>
      <c r="AG34" s="49" t="str">
        <f>AC2</f>
        <v>鞋</v>
      </c>
      <c r="AH34" s="49">
        <f>VLOOKUP($AG34,装备属性!$A:$Y,5,0)</f>
        <v>5</v>
      </c>
      <c r="AI34" s="49">
        <f>VLOOKUP($AG34,装备属性!$A:$Y,6,0)</f>
        <v>5</v>
      </c>
      <c r="AJ34" s="49">
        <f>VLOOKUP($AG34,装备属性!$A:$Y,7,0)</f>
        <v>5</v>
      </c>
      <c r="AK34" s="49">
        <f>VLOOKUP($AG34,装备属性!$A:$Y,8,0)</f>
        <v>0</v>
      </c>
      <c r="AL34" s="49">
        <f>VLOOKUP($AG34,装备属性!$A:$Y,9,0)</f>
        <v>0</v>
      </c>
      <c r="AM34" s="49">
        <f>VLOOKUP($AG34,装备属性!$A:$Y,10,0)</f>
        <v>0</v>
      </c>
      <c r="AN34" s="49">
        <f>VLOOKUP($AG34,装备属性!$A:$Y,11,0)</f>
        <v>0</v>
      </c>
      <c r="AO34" s="49">
        <f>VLOOKUP($AG34,装备属性!$A:$Y,12,0)</f>
        <v>0</v>
      </c>
      <c r="AP34" s="49">
        <f>VLOOKUP($AG34,装备属性!$A:$Y,13,0)</f>
        <v>0</v>
      </c>
      <c r="AQ34" s="49">
        <f>VLOOKUP($AG34,装备属性!$A:$Y,14,0)</f>
        <v>0</v>
      </c>
      <c r="AR34" s="49">
        <f>VLOOKUP($AG34,装备属性!$A:$Y,15,0)</f>
        <v>0</v>
      </c>
      <c r="AS34" s="49">
        <f>VLOOKUP($AG34,装备属性!$A:$Y,16,0)</f>
        <v>0</v>
      </c>
      <c r="AT34" s="49">
        <f>VLOOKUP($AG34,装备属性!$A:$Y,17,0)</f>
        <v>0</v>
      </c>
      <c r="AU34" s="49">
        <f>VLOOKUP($AG34,装备属性!$A:$Y,18,0)</f>
        <v>0</v>
      </c>
      <c r="AV34" s="49">
        <f>VLOOKUP($AG34,装备属性!$A:$Y,19,0)</f>
        <v>0</v>
      </c>
      <c r="AW34" s="49">
        <f>VLOOKUP($AG34,装备属性!$A:$Y,20,0)</f>
        <v>0</v>
      </c>
      <c r="AX34" s="49">
        <f>VLOOKUP($AG34,装备属性!$A:$Y,21,0)</f>
        <v>0</v>
      </c>
      <c r="AY34" s="49">
        <f>VLOOKUP($AG34,装备属性!$A:$Y,22,0)</f>
        <v>0</v>
      </c>
      <c r="AZ34" s="138">
        <f>VLOOKUP($AG34,装备属性!$A:$Y,23,0)</f>
        <v>0</v>
      </c>
      <c r="BA34" s="138">
        <f>VLOOKUP($AG34,装备属性!$A:$Y,24,0)</f>
        <v>0</v>
      </c>
      <c r="BB34" s="138">
        <f>VLOOKUP($AG34,装备属性!$A:$Y,25,0)</f>
        <v>0</v>
      </c>
    </row>
    <row r="35" spans="2:54">
      <c r="B35" s="49" t="str">
        <f>英雄初始!A36</f>
        <v>黑鸟</v>
      </c>
      <c r="H35" s="54" t="s">
        <v>188</v>
      </c>
      <c r="I35" s="51">
        <f>MAX(VLOOKUP(INDEX(英雄装备!$F:$BZ,MATCH($H35,英雄装备!$F:$F,0),MATCH(I$2,英雄装备!$1:$1,0)-5),装备属性!$A:$C,3,0),VLOOKUP(INDEX(英雄装备!$F:$BZ,MATCH($H35,英雄装备!$F:$F,0),MATCH(I$2,英雄装备!$1:$1,0)-4),装备属性!$A:$C,3,0),VLOOKUP(INDEX(英雄装备!$F:$BZ,MATCH($H35,英雄装备!$F:$F,0),MATCH(I$2,英雄装备!$1:$1,0)-3),装备属性!$A:$C,3,0),VLOOKUP(INDEX(英雄装备!$F:$BZ,MATCH($H35,英雄装备!$F:$F,0),MATCH(I$2,英雄装备!$1:$1,0)-2),装备属性!$A:$C,3,0),VLOOKUP(INDEX(英雄装备!$F:$BZ,MATCH($H35,英雄装备!$F:$F,0),MATCH(I$2,英雄装备!$1:$1,0)-1),装备属性!$A:$C,3,0),VLOOKUP(INDEX(英雄装备!$F:$BZ,MATCH($H35,英雄装备!$F:$F,0),MATCH(I$2,英雄装备!$1:$1,0)),装备属性!$A:$C,3,0))</f>
        <v>2</v>
      </c>
      <c r="J35" s="51">
        <f>MAX(VLOOKUP(INDEX(英雄装备!$F:$BZ,MATCH($H35,英雄装备!$F:$F,0),MATCH(J$2,英雄装备!$1:$1,0)-5),装备属性!$A:$C,3,0),VLOOKUP(INDEX(英雄装备!$F:$BZ,MATCH($H35,英雄装备!$F:$F,0),MATCH(J$2,英雄装备!$1:$1,0)-4),装备属性!$A:$C,3,0),VLOOKUP(INDEX(英雄装备!$F:$BZ,MATCH($H35,英雄装备!$F:$F,0),MATCH(J$2,英雄装备!$1:$1,0)-3),装备属性!$A:$C,3,0),VLOOKUP(INDEX(英雄装备!$F:$BZ,MATCH($H35,英雄装备!$F:$F,0),MATCH(J$2,英雄装备!$1:$1,0)-2),装备属性!$A:$C,3,0),VLOOKUP(INDEX(英雄装备!$F:$BZ,MATCH($H35,英雄装备!$F:$F,0),MATCH(J$2,英雄装备!$1:$1,0)-1),装备属性!$A:$C,3,0),VLOOKUP(INDEX(英雄装备!$F:$BZ,MATCH($H35,英雄装备!$F:$F,0),MATCH(J$2,英雄装备!$1:$1,0)),装备属性!$A:$C,3,0))</f>
        <v>10</v>
      </c>
      <c r="K35" s="51">
        <f>MAX(VLOOKUP(INDEX(英雄装备!$F:$BZ,MATCH($H35,英雄装备!$F:$F,0),MATCH(K$2,英雄装备!$1:$1,0)-5),装备属性!$A:$C,3,0),VLOOKUP(INDEX(英雄装备!$F:$BZ,MATCH($H35,英雄装备!$F:$F,0),MATCH(K$2,英雄装备!$1:$1,0)-4),装备属性!$A:$C,3,0),VLOOKUP(INDEX(英雄装备!$F:$BZ,MATCH($H35,英雄装备!$F:$F,0),MATCH(K$2,英雄装备!$1:$1,0)-3),装备属性!$A:$C,3,0),VLOOKUP(INDEX(英雄装备!$F:$BZ,MATCH($H35,英雄装备!$F:$F,0),MATCH(K$2,英雄装备!$1:$1,0)-2),装备属性!$A:$C,3,0),VLOOKUP(INDEX(英雄装备!$F:$BZ,MATCH($H35,英雄装备!$F:$F,0),MATCH(K$2,英雄装备!$1:$1,0)-1),装备属性!$A:$C,3,0),VLOOKUP(INDEX(英雄装备!$F:$BZ,MATCH($H35,英雄装备!$F:$F,0),MATCH(K$2,英雄装备!$1:$1,0)),装备属性!$A:$C,3,0))</f>
        <v>24</v>
      </c>
      <c r="L35" s="51">
        <f>MAX(VLOOKUP(INDEX(英雄装备!$F:$BZ,MATCH($H35,英雄装备!$F:$F,0),MATCH(L$2,英雄装备!$1:$1,0)-5),装备属性!$A:$C,3,0),VLOOKUP(INDEX(英雄装备!$F:$BZ,MATCH($H35,英雄装备!$F:$F,0),MATCH(L$2,英雄装备!$1:$1,0)-4),装备属性!$A:$C,3,0),VLOOKUP(INDEX(英雄装备!$F:$BZ,MATCH($H35,英雄装备!$F:$F,0),MATCH(L$2,英雄装备!$1:$1,0)-3),装备属性!$A:$C,3,0),VLOOKUP(INDEX(英雄装备!$F:$BZ,MATCH($H35,英雄装备!$F:$F,0),MATCH(L$2,英雄装备!$1:$1,0)-2),装备属性!$A:$C,3,0),VLOOKUP(INDEX(英雄装备!$F:$BZ,MATCH($H35,英雄装备!$F:$F,0),MATCH(L$2,英雄装备!$1:$1,0)-1),装备属性!$A:$C,3,0),VLOOKUP(INDEX(英雄装备!$F:$BZ,MATCH($H35,英雄装备!$F:$F,0),MATCH(L$2,英雄装备!$1:$1,0)),装备属性!$A:$C,3,0))</f>
        <v>33</v>
      </c>
      <c r="M35" s="51">
        <f>MAX(VLOOKUP(INDEX(英雄装备!$F:$BZ,MATCH($H35,英雄装备!$F:$F,0),MATCH(M$2,英雄装备!$1:$1,0)-5),装备属性!$A:$C,3,0),VLOOKUP(INDEX(英雄装备!$F:$BZ,MATCH($H35,英雄装备!$F:$F,0),MATCH(M$2,英雄装备!$1:$1,0)-4),装备属性!$A:$C,3,0),VLOOKUP(INDEX(英雄装备!$F:$BZ,MATCH($H35,英雄装备!$F:$F,0),MATCH(M$2,英雄装备!$1:$1,0)-3),装备属性!$A:$C,3,0),VLOOKUP(INDEX(英雄装备!$F:$BZ,MATCH($H35,英雄装备!$F:$F,0),MATCH(M$2,英雄装备!$1:$1,0)-2),装备属性!$A:$C,3,0),VLOOKUP(INDEX(英雄装备!$F:$BZ,MATCH($H35,英雄装备!$F:$F,0),MATCH(M$2,英雄装备!$1:$1,0)-1),装备属性!$A:$C,3,0),VLOOKUP(INDEX(英雄装备!$F:$BZ,MATCH($H35,英雄装备!$F:$F,0),MATCH(M$2,英雄装备!$1:$1,0)),装备属性!$A:$C,3,0))</f>
        <v>43</v>
      </c>
      <c r="N35" s="51">
        <f>MAX(VLOOKUP(INDEX(英雄装备!$F:$BZ,MATCH($H35,英雄装备!$F:$F,0),MATCH(N$2,英雄装备!$1:$1,0)-5),装备属性!$A:$C,3,0),VLOOKUP(INDEX(英雄装备!$F:$BZ,MATCH($H35,英雄装备!$F:$F,0),MATCH(N$2,英雄装备!$1:$1,0)-4),装备属性!$A:$C,3,0),VLOOKUP(INDEX(英雄装备!$F:$BZ,MATCH($H35,英雄装备!$F:$F,0),MATCH(N$2,英雄装备!$1:$1,0)-3),装备属性!$A:$C,3,0),VLOOKUP(INDEX(英雄装备!$F:$BZ,MATCH($H35,英雄装备!$F:$F,0),MATCH(N$2,英雄装备!$1:$1,0)-2),装备属性!$A:$C,3,0),VLOOKUP(INDEX(英雄装备!$F:$BZ,MATCH($H35,英雄装备!$F:$F,0),MATCH(N$2,英雄装备!$1:$1,0)-1),装备属性!$A:$C,3,0),VLOOKUP(INDEX(英雄装备!$F:$BZ,MATCH($H35,英雄装备!$F:$F,0),MATCH(N$2,英雄装备!$1:$1,0)),装备属性!$A:$C,3,0))</f>
        <v>53</v>
      </c>
      <c r="O35" s="51">
        <f>MAX(VLOOKUP(INDEX(英雄装备!$F:$BZ,MATCH($H35,英雄装备!$F:$F,0),MATCH(O$2,英雄装备!$1:$1,0)-5),装备属性!$A:$C,3,0),VLOOKUP(INDEX(英雄装备!$F:$BZ,MATCH($H35,英雄装备!$F:$F,0),MATCH(O$2,英雄装备!$1:$1,0)-4),装备属性!$A:$C,3,0),VLOOKUP(INDEX(英雄装备!$F:$BZ,MATCH($H35,英雄装备!$F:$F,0),MATCH(O$2,英雄装备!$1:$1,0)-3),装备属性!$A:$C,3,0),VLOOKUP(INDEX(英雄装备!$F:$BZ,MATCH($H35,英雄装备!$F:$F,0),MATCH(O$2,英雄装备!$1:$1,0)-2),装备属性!$A:$C,3,0),VLOOKUP(INDEX(英雄装备!$F:$BZ,MATCH($H35,英雄装备!$F:$F,0),MATCH(O$2,英雄装备!$1:$1,0)-1),装备属性!$A:$C,3,0),VLOOKUP(INDEX(英雄装备!$F:$BZ,MATCH($H35,英雄装备!$F:$F,0),MATCH(O$2,英雄装备!$1:$1,0)),装备属性!$A:$C,3,0))</f>
        <v>63</v>
      </c>
      <c r="P35" s="51">
        <f>MAX(VLOOKUP(INDEX(英雄装备!$F:$BZ,MATCH($H35,英雄装备!$F:$F,0),MATCH(P$2,英雄装备!$1:$1,0)-5),装备属性!$A:$C,3,0),VLOOKUP(INDEX(英雄装备!$F:$BZ,MATCH($H35,英雄装备!$F:$F,0),MATCH(P$2,英雄装备!$1:$1,0)-4),装备属性!$A:$C,3,0),VLOOKUP(INDEX(英雄装备!$F:$BZ,MATCH($H35,英雄装备!$F:$F,0),MATCH(P$2,英雄装备!$1:$1,0)-3),装备属性!$A:$C,3,0),VLOOKUP(INDEX(英雄装备!$F:$BZ,MATCH($H35,英雄装备!$F:$F,0),MATCH(P$2,英雄装备!$1:$1,0)-2),装备属性!$A:$C,3,0),VLOOKUP(INDEX(英雄装备!$F:$BZ,MATCH($H35,英雄装备!$F:$F,0),MATCH(P$2,英雄装备!$1:$1,0)-1),装备属性!$A:$C,3,0),VLOOKUP(INDEX(英雄装备!$F:$BZ,MATCH($H35,英雄装备!$F:$F,0),MATCH(P$2,英雄装备!$1:$1,0)),装备属性!$A:$C,3,0))</f>
        <v>74</v>
      </c>
      <c r="Q35" s="51">
        <f>MAX(VLOOKUP(INDEX(英雄装备!$F:$BZ,MATCH($H35,英雄装备!$F:$F,0),MATCH(Q$2,英雄装备!$1:$1,0)-5),装备属性!$A:$C,3,0),VLOOKUP(INDEX(英雄装备!$F:$BZ,MATCH($H35,英雄装备!$F:$F,0),MATCH(Q$2,英雄装备!$1:$1,0)-4),装备属性!$A:$C,3,0),VLOOKUP(INDEX(英雄装备!$F:$BZ,MATCH($H35,英雄装备!$F:$F,0),MATCH(Q$2,英雄装备!$1:$1,0)-3),装备属性!$A:$C,3,0),VLOOKUP(INDEX(英雄装备!$F:$BZ,MATCH($H35,英雄装备!$F:$F,0),MATCH(Q$2,英雄装备!$1:$1,0)-2),装备属性!$A:$C,3,0),VLOOKUP(INDEX(英雄装备!$F:$BZ,MATCH($H35,英雄装备!$F:$F,0),MATCH(Q$2,英雄装备!$1:$1,0)-1),装备属性!$A:$C,3,0),VLOOKUP(INDEX(英雄装备!$F:$BZ,MATCH($H35,英雄装备!$F:$F,0),MATCH(Q$2,英雄装备!$1:$1,0)),装备属性!$A:$C,3,0))</f>
        <v>80</v>
      </c>
      <c r="R35" s="51">
        <f>MAX(VLOOKUP(INDEX(英雄装备!$F:$BZ,MATCH($H35,英雄装备!$F:$F,0),MATCH(R$2,英雄装备!$1:$1,0)-5),装备属性!$A:$C,3,0),VLOOKUP(INDEX(英雄装备!$F:$BZ,MATCH($H35,英雄装备!$F:$F,0),MATCH(R$2,英雄装备!$1:$1,0)-4),装备属性!$A:$C,3,0),VLOOKUP(INDEX(英雄装备!$F:$BZ,MATCH($H35,英雄装备!$F:$F,0),MATCH(R$2,英雄装备!$1:$1,0)-3),装备属性!$A:$C,3,0),VLOOKUP(INDEX(英雄装备!$F:$BZ,MATCH($H35,英雄装备!$F:$F,0),MATCH(R$2,英雄装备!$1:$1,0)-2),装备属性!$A:$C,3,0),VLOOKUP(INDEX(英雄装备!$F:$BZ,MATCH($H35,英雄装备!$F:$F,0),MATCH(R$2,英雄装备!$1:$1,0)-1),装备属性!$A:$C,3,0),VLOOKUP(INDEX(英雄装备!$F:$BZ,MATCH($H35,英雄装备!$F:$F,0),MATCH(R$2,英雄装备!$1:$1,0)),装备属性!$A:$C,3,0))</f>
        <v>80</v>
      </c>
      <c r="S35" s="51">
        <f>MAX(VLOOKUP(INDEX(英雄装备!$F:$BZ,MATCH($H35,英雄装备!$F:$F,0),MATCH(S$2,英雄装备!$1:$1,0)-5),装备属性!$A:$C,3,0),VLOOKUP(INDEX(英雄装备!$F:$BZ,MATCH($H35,英雄装备!$F:$F,0),MATCH(S$2,英雄装备!$1:$1,0)-4),装备属性!$A:$C,3,0),VLOOKUP(INDEX(英雄装备!$F:$BZ,MATCH($H35,英雄装备!$F:$F,0),MATCH(S$2,英雄装备!$1:$1,0)-3),装备属性!$A:$C,3,0),VLOOKUP(INDEX(英雄装备!$F:$BZ,MATCH($H35,英雄装备!$F:$F,0),MATCH(S$2,英雄装备!$1:$1,0)-2),装备属性!$A:$C,3,0),VLOOKUP(INDEX(英雄装备!$F:$BZ,MATCH($H35,英雄装备!$F:$F,0),MATCH(S$2,英雄装备!$1:$1,0)-1),装备属性!$A:$C,3,0),VLOOKUP(INDEX(英雄装备!$F:$BZ,MATCH($H35,英雄装备!$F:$F,0),MATCH(S$2,英雄装备!$1:$1,0)),装备属性!$A:$C,3,0))</f>
        <v>85</v>
      </c>
      <c r="T35" s="51">
        <f>MAX(VLOOKUP(INDEX(英雄装备!$F:$BZ,MATCH($H35,英雄装备!$F:$F,0),MATCH(T$2,英雄装备!$1:$1,0)-5),装备属性!$A:$C,3,0),VLOOKUP(INDEX(英雄装备!$F:$BZ,MATCH($H35,英雄装备!$F:$F,0),MATCH(T$2,英雄装备!$1:$1,0)-4),装备属性!$A:$C,3,0),VLOOKUP(INDEX(英雄装备!$F:$BZ,MATCH($H35,英雄装备!$F:$F,0),MATCH(T$2,英雄装备!$1:$1,0)-3),装备属性!$A:$C,3,0),VLOOKUP(INDEX(英雄装备!$F:$BZ,MATCH($H35,英雄装备!$F:$F,0),MATCH(T$2,英雄装备!$1:$1,0)-2),装备属性!$A:$C,3,0),VLOOKUP(INDEX(英雄装备!$F:$BZ,MATCH($H35,英雄装备!$F:$F,0),MATCH(T$2,英雄装备!$1:$1,0)-1),装备属性!$A:$C,3,0))</f>
        <v>88</v>
      </c>
      <c r="X35" s="49" t="b">
        <f t="shared" ref="X35:AC35" si="12">AND($W22,X22)</f>
        <v>1</v>
      </c>
      <c r="Y35" s="49" t="b">
        <f t="shared" si="12"/>
        <v>1</v>
      </c>
      <c r="Z35" s="49" t="b">
        <f t="shared" si="12"/>
        <v>1</v>
      </c>
      <c r="AA35" s="49" t="b">
        <f t="shared" si="12"/>
        <v>1</v>
      </c>
      <c r="AB35" s="49" t="b">
        <f t="shared" si="12"/>
        <v>1</v>
      </c>
      <c r="AC35" s="49" t="b">
        <f t="shared" si="12"/>
        <v>1</v>
      </c>
      <c r="AF35" s="49">
        <v>3</v>
      </c>
      <c r="AG35" s="49" t="str">
        <f>X3</f>
        <v>敏捷之刃</v>
      </c>
      <c r="AH35" s="49">
        <f>VLOOKUP($AG35,装备属性!$A:$Y,5,0)</f>
        <v>0</v>
      </c>
      <c r="AI35" s="49">
        <f>VLOOKUP($AG35,装备属性!$A:$Y,6,0)</f>
        <v>10</v>
      </c>
      <c r="AJ35" s="49">
        <f>VLOOKUP($AG35,装备属性!$A:$Y,7,0)</f>
        <v>0</v>
      </c>
      <c r="AK35" s="49">
        <f>VLOOKUP($AG35,装备属性!$A:$Y,8,0)</f>
        <v>0</v>
      </c>
      <c r="AL35" s="49">
        <f>VLOOKUP($AG35,装备属性!$A:$Y,9,0)</f>
        <v>0</v>
      </c>
      <c r="AM35" s="49">
        <f>VLOOKUP($AG35,装备属性!$A:$Y,10,0)</f>
        <v>0</v>
      </c>
      <c r="AN35" s="49">
        <f>VLOOKUP($AG35,装备属性!$A:$Y,11,0)</f>
        <v>0</v>
      </c>
      <c r="AO35" s="49">
        <f>VLOOKUP($AG35,装备属性!$A:$Y,12,0)</f>
        <v>0</v>
      </c>
      <c r="AP35" s="49">
        <f>VLOOKUP($AG35,装备属性!$A:$Y,13,0)</f>
        <v>0</v>
      </c>
      <c r="AQ35" s="49">
        <f>VLOOKUP($AG35,装备属性!$A:$Y,14,0)</f>
        <v>0</v>
      </c>
      <c r="AR35" s="49">
        <f>VLOOKUP($AG35,装备属性!$A:$Y,15,0)</f>
        <v>0</v>
      </c>
      <c r="AS35" s="49">
        <f>VLOOKUP($AG35,装备属性!$A:$Y,16,0)</f>
        <v>0</v>
      </c>
      <c r="AT35" s="49">
        <f>VLOOKUP($AG35,装备属性!$A:$Y,17,0)</f>
        <v>0</v>
      </c>
      <c r="AU35" s="49">
        <f>VLOOKUP($AG35,装备属性!$A:$Y,18,0)</f>
        <v>0</v>
      </c>
      <c r="AV35" s="49">
        <f>VLOOKUP($AG35,装备属性!$A:$Y,19,0)</f>
        <v>0</v>
      </c>
      <c r="AW35" s="49">
        <f>VLOOKUP($AG35,装备属性!$A:$Y,20,0)</f>
        <v>0</v>
      </c>
      <c r="AX35" s="49">
        <f>VLOOKUP($AG35,装备属性!$A:$Y,21,0)</f>
        <v>0</v>
      </c>
      <c r="AY35" s="49">
        <f>VLOOKUP($AG35,装备属性!$A:$Y,22,0)</f>
        <v>0</v>
      </c>
      <c r="AZ35" s="138">
        <f>VLOOKUP($AG35,装备属性!$A:$Y,23,0)</f>
        <v>0</v>
      </c>
      <c r="BA35" s="138">
        <f>VLOOKUP($AG35,装备属性!$A:$Y,24,0)</f>
        <v>0</v>
      </c>
      <c r="BB35" s="138">
        <f>VLOOKUP($AG35,装备属性!$A:$Y,25,0)</f>
        <v>0</v>
      </c>
    </row>
    <row r="36" spans="2:54">
      <c r="B36" s="49" t="str">
        <f>英雄初始!A37</f>
        <v>火女</v>
      </c>
      <c r="H36" s="54" t="s">
        <v>189</v>
      </c>
      <c r="I36" s="51">
        <f>MAX(VLOOKUP(INDEX(英雄装备!$F:$BZ,MATCH($H36,英雄装备!$F:$F,0),MATCH(I$2,英雄装备!$1:$1,0)-5),装备属性!$A:$C,3,0),VLOOKUP(INDEX(英雄装备!$F:$BZ,MATCH($H36,英雄装备!$F:$F,0),MATCH(I$2,英雄装备!$1:$1,0)-4),装备属性!$A:$C,3,0),VLOOKUP(INDEX(英雄装备!$F:$BZ,MATCH($H36,英雄装备!$F:$F,0),MATCH(I$2,英雄装备!$1:$1,0)-3),装备属性!$A:$C,3,0),VLOOKUP(INDEX(英雄装备!$F:$BZ,MATCH($H36,英雄装备!$F:$F,0),MATCH(I$2,英雄装备!$1:$1,0)-2),装备属性!$A:$C,3,0),VLOOKUP(INDEX(英雄装备!$F:$BZ,MATCH($H36,英雄装备!$F:$F,0),MATCH(I$2,英雄装备!$1:$1,0)-1),装备属性!$A:$C,3,0),VLOOKUP(INDEX(英雄装备!$F:$BZ,MATCH($H36,英雄装备!$F:$F,0),MATCH(I$2,英雄装备!$1:$1,0)),装备属性!$A:$C,3,0))</f>
        <v>2</v>
      </c>
      <c r="J36" s="51">
        <f>MAX(VLOOKUP(INDEX(英雄装备!$F:$BZ,MATCH($H36,英雄装备!$F:$F,0),MATCH(J$2,英雄装备!$1:$1,0)-5),装备属性!$A:$C,3,0),VLOOKUP(INDEX(英雄装备!$F:$BZ,MATCH($H36,英雄装备!$F:$F,0),MATCH(J$2,英雄装备!$1:$1,0)-4),装备属性!$A:$C,3,0),VLOOKUP(INDEX(英雄装备!$F:$BZ,MATCH($H36,英雄装备!$F:$F,0),MATCH(J$2,英雄装备!$1:$1,0)-3),装备属性!$A:$C,3,0),VLOOKUP(INDEX(英雄装备!$F:$BZ,MATCH($H36,英雄装备!$F:$F,0),MATCH(J$2,英雄装备!$1:$1,0)-2),装备属性!$A:$C,3,0),VLOOKUP(INDEX(英雄装备!$F:$BZ,MATCH($H36,英雄装备!$F:$F,0),MATCH(J$2,英雄装备!$1:$1,0)-1),装备属性!$A:$C,3,0),VLOOKUP(INDEX(英雄装备!$F:$BZ,MATCH($H36,英雄装备!$F:$F,0),MATCH(J$2,英雄装备!$1:$1,0)),装备属性!$A:$C,3,0))</f>
        <v>10</v>
      </c>
      <c r="K36" s="51">
        <f>MAX(VLOOKUP(INDEX(英雄装备!$F:$BZ,MATCH($H36,英雄装备!$F:$F,0),MATCH(K$2,英雄装备!$1:$1,0)-5),装备属性!$A:$C,3,0),VLOOKUP(INDEX(英雄装备!$F:$BZ,MATCH($H36,英雄装备!$F:$F,0),MATCH(K$2,英雄装备!$1:$1,0)-4),装备属性!$A:$C,3,0),VLOOKUP(INDEX(英雄装备!$F:$BZ,MATCH($H36,英雄装备!$F:$F,0),MATCH(K$2,英雄装备!$1:$1,0)-3),装备属性!$A:$C,3,0),VLOOKUP(INDEX(英雄装备!$F:$BZ,MATCH($H36,英雄装备!$F:$F,0),MATCH(K$2,英雄装备!$1:$1,0)-2),装备属性!$A:$C,3,0),VLOOKUP(INDEX(英雄装备!$F:$BZ,MATCH($H36,英雄装备!$F:$F,0),MATCH(K$2,英雄装备!$1:$1,0)-1),装备属性!$A:$C,3,0),VLOOKUP(INDEX(英雄装备!$F:$BZ,MATCH($H36,英雄装备!$F:$F,0),MATCH(K$2,英雄装备!$1:$1,0)),装备属性!$A:$C,3,0))</f>
        <v>20</v>
      </c>
      <c r="L36" s="51">
        <f>MAX(VLOOKUP(INDEX(英雄装备!$F:$BZ,MATCH($H36,英雄装备!$F:$F,0),MATCH(L$2,英雄装备!$1:$1,0)-5),装备属性!$A:$C,3,0),VLOOKUP(INDEX(英雄装备!$F:$BZ,MATCH($H36,英雄装备!$F:$F,0),MATCH(L$2,英雄装备!$1:$1,0)-4),装备属性!$A:$C,3,0),VLOOKUP(INDEX(英雄装备!$F:$BZ,MATCH($H36,英雄装备!$F:$F,0),MATCH(L$2,英雄装备!$1:$1,0)-3),装备属性!$A:$C,3,0),VLOOKUP(INDEX(英雄装备!$F:$BZ,MATCH($H36,英雄装备!$F:$F,0),MATCH(L$2,英雄装备!$1:$1,0)-2),装备属性!$A:$C,3,0),VLOOKUP(INDEX(英雄装备!$F:$BZ,MATCH($H36,英雄装备!$F:$F,0),MATCH(L$2,英雄装备!$1:$1,0)-1),装备属性!$A:$C,3,0),VLOOKUP(INDEX(英雄装备!$F:$BZ,MATCH($H36,英雄装备!$F:$F,0),MATCH(L$2,英雄装备!$1:$1,0)),装备属性!$A:$C,3,0))</f>
        <v>34</v>
      </c>
      <c r="M36" s="51">
        <f>MAX(VLOOKUP(INDEX(英雄装备!$F:$BZ,MATCH($H36,英雄装备!$F:$F,0),MATCH(M$2,英雄装备!$1:$1,0)-5),装备属性!$A:$C,3,0),VLOOKUP(INDEX(英雄装备!$F:$BZ,MATCH($H36,英雄装备!$F:$F,0),MATCH(M$2,英雄装备!$1:$1,0)-4),装备属性!$A:$C,3,0),VLOOKUP(INDEX(英雄装备!$F:$BZ,MATCH($H36,英雄装备!$F:$F,0),MATCH(M$2,英雄装备!$1:$1,0)-3),装备属性!$A:$C,3,0),VLOOKUP(INDEX(英雄装备!$F:$BZ,MATCH($H36,英雄装备!$F:$F,0),MATCH(M$2,英雄装备!$1:$1,0)-2),装备属性!$A:$C,3,0),VLOOKUP(INDEX(英雄装备!$F:$BZ,MATCH($H36,英雄装备!$F:$F,0),MATCH(M$2,英雄装备!$1:$1,0)-1),装备属性!$A:$C,3,0),VLOOKUP(INDEX(英雄装备!$F:$BZ,MATCH($H36,英雄装备!$F:$F,0),MATCH(M$2,英雄装备!$1:$1,0)),装备属性!$A:$C,3,0))</f>
        <v>43</v>
      </c>
      <c r="N36" s="51">
        <f>MAX(VLOOKUP(INDEX(英雄装备!$F:$BZ,MATCH($H36,英雄装备!$F:$F,0),MATCH(N$2,英雄装备!$1:$1,0)-5),装备属性!$A:$C,3,0),VLOOKUP(INDEX(英雄装备!$F:$BZ,MATCH($H36,英雄装备!$F:$F,0),MATCH(N$2,英雄装备!$1:$1,0)-4),装备属性!$A:$C,3,0),VLOOKUP(INDEX(英雄装备!$F:$BZ,MATCH($H36,英雄装备!$F:$F,0),MATCH(N$2,英雄装备!$1:$1,0)-3),装备属性!$A:$C,3,0),VLOOKUP(INDEX(英雄装备!$F:$BZ,MATCH($H36,英雄装备!$F:$F,0),MATCH(N$2,英雄装备!$1:$1,0)-2),装备属性!$A:$C,3,0),VLOOKUP(INDEX(英雄装备!$F:$BZ,MATCH($H36,英雄装备!$F:$F,0),MATCH(N$2,英雄装备!$1:$1,0)-1),装备属性!$A:$C,3,0),VLOOKUP(INDEX(英雄装备!$F:$BZ,MATCH($H36,英雄装备!$F:$F,0),MATCH(N$2,英雄装备!$1:$1,0)),装备属性!$A:$C,3,0))</f>
        <v>51</v>
      </c>
      <c r="O36" s="51">
        <f>MAX(VLOOKUP(INDEX(英雄装备!$F:$BZ,MATCH($H36,英雄装备!$F:$F,0),MATCH(O$2,英雄装备!$1:$1,0)-5),装备属性!$A:$C,3,0),VLOOKUP(INDEX(英雄装备!$F:$BZ,MATCH($H36,英雄装备!$F:$F,0),MATCH(O$2,英雄装备!$1:$1,0)-4),装备属性!$A:$C,3,0),VLOOKUP(INDEX(英雄装备!$F:$BZ,MATCH($H36,英雄装备!$F:$F,0),MATCH(O$2,英雄装备!$1:$1,0)-3),装备属性!$A:$C,3,0),VLOOKUP(INDEX(英雄装备!$F:$BZ,MATCH($H36,英雄装备!$F:$F,0),MATCH(O$2,英雄装备!$1:$1,0)-2),装备属性!$A:$C,3,0),VLOOKUP(INDEX(英雄装备!$F:$BZ,MATCH($H36,英雄装备!$F:$F,0),MATCH(O$2,英雄装备!$1:$1,0)-1),装备属性!$A:$C,3,0),VLOOKUP(INDEX(英雄装备!$F:$BZ,MATCH($H36,英雄装备!$F:$F,0),MATCH(O$2,英雄装备!$1:$1,0)),装备属性!$A:$C,3,0))</f>
        <v>65</v>
      </c>
      <c r="P36" s="51">
        <f>MAX(VLOOKUP(INDEX(英雄装备!$F:$BZ,MATCH($H36,英雄装备!$F:$F,0),MATCH(P$2,英雄装备!$1:$1,0)-5),装备属性!$A:$C,3,0),VLOOKUP(INDEX(英雄装备!$F:$BZ,MATCH($H36,英雄装备!$F:$F,0),MATCH(P$2,英雄装备!$1:$1,0)-4),装备属性!$A:$C,3,0),VLOOKUP(INDEX(英雄装备!$F:$BZ,MATCH($H36,英雄装备!$F:$F,0),MATCH(P$2,英雄装备!$1:$1,0)-3),装备属性!$A:$C,3,0),VLOOKUP(INDEX(英雄装备!$F:$BZ,MATCH($H36,英雄装备!$F:$F,0),MATCH(P$2,英雄装备!$1:$1,0)-2),装备属性!$A:$C,3,0),VLOOKUP(INDEX(英雄装备!$F:$BZ,MATCH($H36,英雄装备!$F:$F,0),MATCH(P$2,英雄装备!$1:$1,0)-1),装备属性!$A:$C,3,0),VLOOKUP(INDEX(英雄装备!$F:$BZ,MATCH($H36,英雄装备!$F:$F,0),MATCH(P$2,英雄装备!$1:$1,0)),装备属性!$A:$C,3,0))</f>
        <v>70</v>
      </c>
      <c r="Q36" s="51">
        <f>MAX(VLOOKUP(INDEX(英雄装备!$F:$BZ,MATCH($H36,英雄装备!$F:$F,0),MATCH(Q$2,英雄装备!$1:$1,0)-5),装备属性!$A:$C,3,0),VLOOKUP(INDEX(英雄装备!$F:$BZ,MATCH($H36,英雄装备!$F:$F,0),MATCH(Q$2,英雄装备!$1:$1,0)-4),装备属性!$A:$C,3,0),VLOOKUP(INDEX(英雄装备!$F:$BZ,MATCH($H36,英雄装备!$F:$F,0),MATCH(Q$2,英雄装备!$1:$1,0)-3),装备属性!$A:$C,3,0),VLOOKUP(INDEX(英雄装备!$F:$BZ,MATCH($H36,英雄装备!$F:$F,0),MATCH(Q$2,英雄装备!$1:$1,0)-2),装备属性!$A:$C,3,0),VLOOKUP(INDEX(英雄装备!$F:$BZ,MATCH($H36,英雄装备!$F:$F,0),MATCH(Q$2,英雄装备!$1:$1,0)-1),装备属性!$A:$C,3,0),VLOOKUP(INDEX(英雄装备!$F:$BZ,MATCH($H36,英雄装备!$F:$F,0),MATCH(Q$2,英雄装备!$1:$1,0)),装备属性!$A:$C,3,0))</f>
        <v>78</v>
      </c>
      <c r="R36" s="51">
        <f>MAX(VLOOKUP(INDEX(英雄装备!$F:$BZ,MATCH($H36,英雄装备!$F:$F,0),MATCH(R$2,英雄装备!$1:$1,0)-5),装备属性!$A:$C,3,0),VLOOKUP(INDEX(英雄装备!$F:$BZ,MATCH($H36,英雄装备!$F:$F,0),MATCH(R$2,英雄装备!$1:$1,0)-4),装备属性!$A:$C,3,0),VLOOKUP(INDEX(英雄装备!$F:$BZ,MATCH($H36,英雄装备!$F:$F,0),MATCH(R$2,英雄装备!$1:$1,0)-3),装备属性!$A:$C,3,0),VLOOKUP(INDEX(英雄装备!$F:$BZ,MATCH($H36,英雄装备!$F:$F,0),MATCH(R$2,英雄装备!$1:$1,0)-2),装备属性!$A:$C,3,0),VLOOKUP(INDEX(英雄装备!$F:$BZ,MATCH($H36,英雄装备!$F:$F,0),MATCH(R$2,英雄装备!$1:$1,0)-1),装备属性!$A:$C,3,0),VLOOKUP(INDEX(英雄装备!$F:$BZ,MATCH($H36,英雄装备!$F:$F,0),MATCH(R$2,英雄装备!$1:$1,0)),装备属性!$A:$C,3,0))</f>
        <v>80</v>
      </c>
      <c r="S36" s="51">
        <f>MAX(VLOOKUP(INDEX(英雄装备!$F:$BZ,MATCH($H36,英雄装备!$F:$F,0),MATCH(S$2,英雄装备!$1:$1,0)-5),装备属性!$A:$C,3,0),VLOOKUP(INDEX(英雄装备!$F:$BZ,MATCH($H36,英雄装备!$F:$F,0),MATCH(S$2,英雄装备!$1:$1,0)-4),装备属性!$A:$C,3,0),VLOOKUP(INDEX(英雄装备!$F:$BZ,MATCH($H36,英雄装备!$F:$F,0),MATCH(S$2,英雄装备!$1:$1,0)-3),装备属性!$A:$C,3,0),VLOOKUP(INDEX(英雄装备!$F:$BZ,MATCH($H36,英雄装备!$F:$F,0),MATCH(S$2,英雄装备!$1:$1,0)-2),装备属性!$A:$C,3,0),VLOOKUP(INDEX(英雄装备!$F:$BZ,MATCH($H36,英雄装备!$F:$F,0),MATCH(S$2,英雄装备!$1:$1,0)-1),装备属性!$A:$C,3,0),VLOOKUP(INDEX(英雄装备!$F:$BZ,MATCH($H36,英雄装备!$F:$F,0),MATCH(S$2,英雄装备!$1:$1,0)),装备属性!$A:$C,3,0))</f>
        <v>85</v>
      </c>
      <c r="T36" s="51">
        <f>MAX(VLOOKUP(INDEX(英雄装备!$F:$BZ,MATCH($H36,英雄装备!$F:$F,0),MATCH(T$2,英雄装备!$1:$1,0)-5),装备属性!$A:$C,3,0),VLOOKUP(INDEX(英雄装备!$F:$BZ,MATCH($H36,英雄装备!$F:$F,0),MATCH(T$2,英雄装备!$1:$1,0)-4),装备属性!$A:$C,3,0),VLOOKUP(INDEX(英雄装备!$F:$BZ,MATCH($H36,英雄装备!$F:$F,0),MATCH(T$2,英雄装备!$1:$1,0)-3),装备属性!$A:$C,3,0),VLOOKUP(INDEX(英雄装备!$F:$BZ,MATCH($H36,英雄装备!$F:$F,0),MATCH(T$2,英雄装备!$1:$1,0)-2),装备属性!$A:$C,3,0),VLOOKUP(INDEX(英雄装备!$F:$BZ,MATCH($H36,英雄装备!$F:$F,0),MATCH(T$2,英雄装备!$1:$1,0)-1),装备属性!$A:$C,3,0))</f>
        <v>87</v>
      </c>
      <c r="X36" s="49" t="b">
        <f t="shared" ref="X36:AC36" si="13">AND($W23,X23)</f>
        <v>1</v>
      </c>
      <c r="Y36" s="49" t="b">
        <f t="shared" si="13"/>
        <v>1</v>
      </c>
      <c r="Z36" s="49" t="b">
        <f t="shared" si="13"/>
        <v>1</v>
      </c>
      <c r="AA36" s="49" t="b">
        <f t="shared" si="13"/>
        <v>1</v>
      </c>
      <c r="AB36" s="49" t="b">
        <f t="shared" si="13"/>
        <v>1</v>
      </c>
      <c r="AC36" s="49" t="b">
        <f t="shared" si="13"/>
        <v>1</v>
      </c>
      <c r="AF36" s="49">
        <v>3</v>
      </c>
      <c r="AG36" s="49" t="str">
        <f>Y3</f>
        <v>大魔杖</v>
      </c>
      <c r="AH36" s="49">
        <f>VLOOKUP($AG36,装备属性!$A:$Y,5,0)</f>
        <v>3</v>
      </c>
      <c r="AI36" s="49">
        <f>VLOOKUP($AG36,装备属性!$A:$Y,6,0)</f>
        <v>3</v>
      </c>
      <c r="AJ36" s="49">
        <f>VLOOKUP($AG36,装备属性!$A:$Y,7,0)</f>
        <v>3</v>
      </c>
      <c r="AK36" s="49">
        <f>VLOOKUP($AG36,装备属性!$A:$Y,8,0)</f>
        <v>0</v>
      </c>
      <c r="AL36" s="49">
        <f>VLOOKUP($AG36,装备属性!$A:$Y,9,0)</f>
        <v>0</v>
      </c>
      <c r="AM36" s="49">
        <f>VLOOKUP($AG36,装备属性!$A:$Y,10,0)</f>
        <v>0</v>
      </c>
      <c r="AN36" s="49">
        <f>VLOOKUP($AG36,装备属性!$A:$Y,11,0)</f>
        <v>0</v>
      </c>
      <c r="AO36" s="49">
        <f>VLOOKUP($AG36,装备属性!$A:$Y,12,0)</f>
        <v>0</v>
      </c>
      <c r="AP36" s="49">
        <f>VLOOKUP($AG36,装备属性!$A:$Y,13,0)</f>
        <v>0</v>
      </c>
      <c r="AQ36" s="49">
        <f>VLOOKUP($AG36,装备属性!$A:$Y,14,0)</f>
        <v>0</v>
      </c>
      <c r="AR36" s="49">
        <f>VLOOKUP($AG36,装备属性!$A:$Y,15,0)</f>
        <v>0</v>
      </c>
      <c r="AS36" s="49">
        <f>VLOOKUP($AG36,装备属性!$A:$Y,16,0)</f>
        <v>0</v>
      </c>
      <c r="AT36" s="49">
        <f>VLOOKUP($AG36,装备属性!$A:$Y,17,0)</f>
        <v>0</v>
      </c>
      <c r="AU36" s="49">
        <f>VLOOKUP($AG36,装备属性!$A:$Y,18,0)</f>
        <v>0</v>
      </c>
      <c r="AV36" s="49">
        <f>VLOOKUP($AG36,装备属性!$A:$Y,19,0)</f>
        <v>0</v>
      </c>
      <c r="AW36" s="49">
        <f>VLOOKUP($AG36,装备属性!$A:$Y,20,0)</f>
        <v>15</v>
      </c>
      <c r="AX36" s="49">
        <f>VLOOKUP($AG36,装备属性!$A:$Y,21,0)</f>
        <v>15</v>
      </c>
      <c r="AY36" s="49">
        <f>VLOOKUP($AG36,装备属性!$A:$Y,22,0)</f>
        <v>0</v>
      </c>
      <c r="AZ36" s="138">
        <f>VLOOKUP($AG36,装备属性!$A:$Y,23,0)</f>
        <v>0</v>
      </c>
      <c r="BA36" s="138">
        <f>VLOOKUP($AG36,装备属性!$A:$Y,24,0)</f>
        <v>0</v>
      </c>
      <c r="BB36" s="138">
        <f>VLOOKUP($AG36,装备属性!$A:$Y,25,0)</f>
        <v>0</v>
      </c>
    </row>
    <row r="37" spans="2:54">
      <c r="B37" s="49" t="str">
        <f>英雄初始!A38</f>
        <v>蓝胖</v>
      </c>
      <c r="H37" s="54" t="s">
        <v>190</v>
      </c>
      <c r="I37" s="51">
        <f>MAX(VLOOKUP(INDEX(英雄装备!$F:$BZ,MATCH($H37,英雄装备!$F:$F,0),MATCH(I$2,英雄装备!$1:$1,0)-5),装备属性!$A:$C,3,0),VLOOKUP(INDEX(英雄装备!$F:$BZ,MATCH($H37,英雄装备!$F:$F,0),MATCH(I$2,英雄装备!$1:$1,0)-4),装备属性!$A:$C,3,0),VLOOKUP(INDEX(英雄装备!$F:$BZ,MATCH($H37,英雄装备!$F:$F,0),MATCH(I$2,英雄装备!$1:$1,0)-3),装备属性!$A:$C,3,0),VLOOKUP(INDEX(英雄装备!$F:$BZ,MATCH($H37,英雄装备!$F:$F,0),MATCH(I$2,英雄装备!$1:$1,0)-2),装备属性!$A:$C,3,0),VLOOKUP(INDEX(英雄装备!$F:$BZ,MATCH($H37,英雄装备!$F:$F,0),MATCH(I$2,英雄装备!$1:$1,0)-1),装备属性!$A:$C,3,0),VLOOKUP(INDEX(英雄装备!$F:$BZ,MATCH($H37,英雄装备!$F:$F,0),MATCH(I$2,英雄装备!$1:$1,0)),装备属性!$A:$C,3,0))</f>
        <v>2</v>
      </c>
      <c r="J37" s="51">
        <f>MAX(VLOOKUP(INDEX(英雄装备!$F:$BZ,MATCH($H37,英雄装备!$F:$F,0),MATCH(J$2,英雄装备!$1:$1,0)-5),装备属性!$A:$C,3,0),VLOOKUP(INDEX(英雄装备!$F:$BZ,MATCH($H37,英雄装备!$F:$F,0),MATCH(J$2,英雄装备!$1:$1,0)-4),装备属性!$A:$C,3,0),VLOOKUP(INDEX(英雄装备!$F:$BZ,MATCH($H37,英雄装备!$F:$F,0),MATCH(J$2,英雄装备!$1:$1,0)-3),装备属性!$A:$C,3,0),VLOOKUP(INDEX(英雄装备!$F:$BZ,MATCH($H37,英雄装备!$F:$F,0),MATCH(J$2,英雄装备!$1:$1,0)-2),装备属性!$A:$C,3,0),VLOOKUP(INDEX(英雄装备!$F:$BZ,MATCH($H37,英雄装备!$F:$F,0),MATCH(J$2,英雄装备!$1:$1,0)-1),装备属性!$A:$C,3,0),VLOOKUP(INDEX(英雄装备!$F:$BZ,MATCH($H37,英雄装备!$F:$F,0),MATCH(J$2,英雄装备!$1:$1,0)),装备属性!$A:$C,3,0))</f>
        <v>10</v>
      </c>
      <c r="K37" s="51">
        <f>MAX(VLOOKUP(INDEX(英雄装备!$F:$BZ,MATCH($H37,英雄装备!$F:$F,0),MATCH(K$2,英雄装备!$1:$1,0)-5),装备属性!$A:$C,3,0),VLOOKUP(INDEX(英雄装备!$F:$BZ,MATCH($H37,英雄装备!$F:$F,0),MATCH(K$2,英雄装备!$1:$1,0)-4),装备属性!$A:$C,3,0),VLOOKUP(INDEX(英雄装备!$F:$BZ,MATCH($H37,英雄装备!$F:$F,0),MATCH(K$2,英雄装备!$1:$1,0)-3),装备属性!$A:$C,3,0),VLOOKUP(INDEX(英雄装备!$F:$BZ,MATCH($H37,英雄装备!$F:$F,0),MATCH(K$2,英雄装备!$1:$1,0)-2),装备属性!$A:$C,3,0),VLOOKUP(INDEX(英雄装备!$F:$BZ,MATCH($H37,英雄装备!$F:$F,0),MATCH(K$2,英雄装备!$1:$1,0)-1),装备属性!$A:$C,3,0),VLOOKUP(INDEX(英雄装备!$F:$BZ,MATCH($H37,英雄装备!$F:$F,0),MATCH(K$2,英雄装备!$1:$1,0)),装备属性!$A:$C,3,0))</f>
        <v>21</v>
      </c>
      <c r="L37" s="51">
        <f>MAX(VLOOKUP(INDEX(英雄装备!$F:$BZ,MATCH($H37,英雄装备!$F:$F,0),MATCH(L$2,英雄装备!$1:$1,0)-5),装备属性!$A:$C,3,0),VLOOKUP(INDEX(英雄装备!$F:$BZ,MATCH($H37,英雄装备!$F:$F,0),MATCH(L$2,英雄装备!$1:$1,0)-4),装备属性!$A:$C,3,0),VLOOKUP(INDEX(英雄装备!$F:$BZ,MATCH($H37,英雄装备!$F:$F,0),MATCH(L$2,英雄装备!$1:$1,0)-3),装备属性!$A:$C,3,0),VLOOKUP(INDEX(英雄装备!$F:$BZ,MATCH($H37,英雄装备!$F:$F,0),MATCH(L$2,英雄装备!$1:$1,0)-2),装备属性!$A:$C,3,0),VLOOKUP(INDEX(英雄装备!$F:$BZ,MATCH($H37,英雄装备!$F:$F,0),MATCH(L$2,英雄装备!$1:$1,0)-1),装备属性!$A:$C,3,0),VLOOKUP(INDEX(英雄装备!$F:$BZ,MATCH($H37,英雄装备!$F:$F,0),MATCH(L$2,英雄装备!$1:$1,0)),装备属性!$A:$C,3,0))</f>
        <v>30</v>
      </c>
      <c r="M37" s="51">
        <f>MAX(VLOOKUP(INDEX(英雄装备!$F:$BZ,MATCH($H37,英雄装备!$F:$F,0),MATCH(M$2,英雄装备!$1:$1,0)-5),装备属性!$A:$C,3,0),VLOOKUP(INDEX(英雄装备!$F:$BZ,MATCH($H37,英雄装备!$F:$F,0),MATCH(M$2,英雄装备!$1:$1,0)-4),装备属性!$A:$C,3,0),VLOOKUP(INDEX(英雄装备!$F:$BZ,MATCH($H37,英雄装备!$F:$F,0),MATCH(M$2,英雄装备!$1:$1,0)-3),装备属性!$A:$C,3,0),VLOOKUP(INDEX(英雄装备!$F:$BZ,MATCH($H37,英雄装备!$F:$F,0),MATCH(M$2,英雄装备!$1:$1,0)-2),装备属性!$A:$C,3,0),VLOOKUP(INDEX(英雄装备!$F:$BZ,MATCH($H37,英雄装备!$F:$F,0),MATCH(M$2,英雄装备!$1:$1,0)-1),装备属性!$A:$C,3,0),VLOOKUP(INDEX(英雄装备!$F:$BZ,MATCH($H37,英雄装备!$F:$F,0),MATCH(M$2,英雄装备!$1:$1,0)),装备属性!$A:$C,3,0))</f>
        <v>42</v>
      </c>
      <c r="N37" s="51">
        <f>MAX(VLOOKUP(INDEX(英雄装备!$F:$BZ,MATCH($H37,英雄装备!$F:$F,0),MATCH(N$2,英雄装备!$1:$1,0)-5),装备属性!$A:$C,3,0),VLOOKUP(INDEX(英雄装备!$F:$BZ,MATCH($H37,英雄装备!$F:$F,0),MATCH(N$2,英雄装备!$1:$1,0)-4),装备属性!$A:$C,3,0),VLOOKUP(INDEX(英雄装备!$F:$BZ,MATCH($H37,英雄装备!$F:$F,0),MATCH(N$2,英雄装备!$1:$1,0)-3),装备属性!$A:$C,3,0),VLOOKUP(INDEX(英雄装备!$F:$BZ,MATCH($H37,英雄装备!$F:$F,0),MATCH(N$2,英雄装备!$1:$1,0)-2),装备属性!$A:$C,3,0),VLOOKUP(INDEX(英雄装备!$F:$BZ,MATCH($H37,英雄装备!$F:$F,0),MATCH(N$2,英雄装备!$1:$1,0)-1),装备属性!$A:$C,3,0),VLOOKUP(INDEX(英雄装备!$F:$BZ,MATCH($H37,英雄装备!$F:$F,0),MATCH(N$2,英雄装备!$1:$1,0)),装备属性!$A:$C,3,0))</f>
        <v>53</v>
      </c>
      <c r="O37" s="51">
        <f>MAX(VLOOKUP(INDEX(英雄装备!$F:$BZ,MATCH($H37,英雄装备!$F:$F,0),MATCH(O$2,英雄装备!$1:$1,0)-5),装备属性!$A:$C,3,0),VLOOKUP(INDEX(英雄装备!$F:$BZ,MATCH($H37,英雄装备!$F:$F,0),MATCH(O$2,英雄装备!$1:$1,0)-4),装备属性!$A:$C,3,0),VLOOKUP(INDEX(英雄装备!$F:$BZ,MATCH($H37,英雄装备!$F:$F,0),MATCH(O$2,英雄装备!$1:$1,0)-3),装备属性!$A:$C,3,0),VLOOKUP(INDEX(英雄装备!$F:$BZ,MATCH($H37,英雄装备!$F:$F,0),MATCH(O$2,英雄装备!$1:$1,0)-2),装备属性!$A:$C,3,0),VLOOKUP(INDEX(英雄装备!$F:$BZ,MATCH($H37,英雄装备!$F:$F,0),MATCH(O$2,英雄装备!$1:$1,0)-1),装备属性!$A:$C,3,0),VLOOKUP(INDEX(英雄装备!$F:$BZ,MATCH($H37,英雄装备!$F:$F,0),MATCH(O$2,英雄装备!$1:$1,0)),装备属性!$A:$C,3,0))</f>
        <v>59</v>
      </c>
      <c r="P37" s="51">
        <f>MAX(VLOOKUP(INDEX(英雄装备!$F:$BZ,MATCH($H37,英雄装备!$F:$F,0),MATCH(P$2,英雄装备!$1:$1,0)-5),装备属性!$A:$C,3,0),VLOOKUP(INDEX(英雄装备!$F:$BZ,MATCH($H37,英雄装备!$F:$F,0),MATCH(P$2,英雄装备!$1:$1,0)-4),装备属性!$A:$C,3,0),VLOOKUP(INDEX(英雄装备!$F:$BZ,MATCH($H37,英雄装备!$F:$F,0),MATCH(P$2,英雄装备!$1:$1,0)-3),装备属性!$A:$C,3,0),VLOOKUP(INDEX(英雄装备!$F:$BZ,MATCH($H37,英雄装备!$F:$F,0),MATCH(P$2,英雄装备!$1:$1,0)-2),装备属性!$A:$C,3,0),VLOOKUP(INDEX(英雄装备!$F:$BZ,MATCH($H37,英雄装备!$F:$F,0),MATCH(P$2,英雄装备!$1:$1,0)-1),装备属性!$A:$C,3,0),VLOOKUP(INDEX(英雄装备!$F:$BZ,MATCH($H37,英雄装备!$F:$F,0),MATCH(P$2,英雄装备!$1:$1,0)),装备属性!$A:$C,3,0))</f>
        <v>70</v>
      </c>
      <c r="Q37" s="51">
        <f>MAX(VLOOKUP(INDEX(英雄装备!$F:$BZ,MATCH($H37,英雄装备!$F:$F,0),MATCH(Q$2,英雄装备!$1:$1,0)-5),装备属性!$A:$C,3,0),VLOOKUP(INDEX(英雄装备!$F:$BZ,MATCH($H37,英雄装备!$F:$F,0),MATCH(Q$2,英雄装备!$1:$1,0)-4),装备属性!$A:$C,3,0),VLOOKUP(INDEX(英雄装备!$F:$BZ,MATCH($H37,英雄装备!$F:$F,0),MATCH(Q$2,英雄装备!$1:$1,0)-3),装备属性!$A:$C,3,0),VLOOKUP(INDEX(英雄装备!$F:$BZ,MATCH($H37,英雄装备!$F:$F,0),MATCH(Q$2,英雄装备!$1:$1,0)-2),装备属性!$A:$C,3,0),VLOOKUP(INDEX(英雄装备!$F:$BZ,MATCH($H37,英雄装备!$F:$F,0),MATCH(Q$2,英雄装备!$1:$1,0)-1),装备属性!$A:$C,3,0),VLOOKUP(INDEX(英雄装备!$F:$BZ,MATCH($H37,英雄装备!$F:$F,0),MATCH(Q$2,英雄装备!$1:$1,0)),装备属性!$A:$C,3,0))</f>
        <v>80</v>
      </c>
      <c r="R37" s="51">
        <f>MAX(VLOOKUP(INDEX(英雄装备!$F:$BZ,MATCH($H37,英雄装备!$F:$F,0),MATCH(R$2,英雄装备!$1:$1,0)-5),装备属性!$A:$C,3,0),VLOOKUP(INDEX(英雄装备!$F:$BZ,MATCH($H37,英雄装备!$F:$F,0),MATCH(R$2,英雄装备!$1:$1,0)-4),装备属性!$A:$C,3,0),VLOOKUP(INDEX(英雄装备!$F:$BZ,MATCH($H37,英雄装备!$F:$F,0),MATCH(R$2,英雄装备!$1:$1,0)-3),装备属性!$A:$C,3,0),VLOOKUP(INDEX(英雄装备!$F:$BZ,MATCH($H37,英雄装备!$F:$F,0),MATCH(R$2,英雄装备!$1:$1,0)-2),装备属性!$A:$C,3,0),VLOOKUP(INDEX(英雄装备!$F:$BZ,MATCH($H37,英雄装备!$F:$F,0),MATCH(R$2,英雄装备!$1:$1,0)-1),装备属性!$A:$C,3,0),VLOOKUP(INDEX(英雄装备!$F:$BZ,MATCH($H37,英雄装备!$F:$F,0),MATCH(R$2,英雄装备!$1:$1,0)),装备属性!$A:$C,3,0))</f>
        <v>72</v>
      </c>
      <c r="S37" s="51">
        <f>MAX(VLOOKUP(INDEX(英雄装备!$F:$BZ,MATCH($H37,英雄装备!$F:$F,0),MATCH(S$2,英雄装备!$1:$1,0)-5),装备属性!$A:$C,3,0),VLOOKUP(INDEX(英雄装备!$F:$BZ,MATCH($H37,英雄装备!$F:$F,0),MATCH(S$2,英雄装备!$1:$1,0)-4),装备属性!$A:$C,3,0),VLOOKUP(INDEX(英雄装备!$F:$BZ,MATCH($H37,英雄装备!$F:$F,0),MATCH(S$2,英雄装备!$1:$1,0)-3),装备属性!$A:$C,3,0),VLOOKUP(INDEX(英雄装备!$F:$BZ,MATCH($H37,英雄装备!$F:$F,0),MATCH(S$2,英雄装备!$1:$1,0)-2),装备属性!$A:$C,3,0),VLOOKUP(INDEX(英雄装备!$F:$BZ,MATCH($H37,英雄装备!$F:$F,0),MATCH(S$2,英雄装备!$1:$1,0)-1),装备属性!$A:$C,3,0),VLOOKUP(INDEX(英雄装备!$F:$BZ,MATCH($H37,英雄装备!$F:$F,0),MATCH(S$2,英雄装备!$1:$1,0)),装备属性!$A:$C,3,0))</f>
        <v>85</v>
      </c>
      <c r="T37" s="51">
        <f>MAX(VLOOKUP(INDEX(英雄装备!$F:$BZ,MATCH($H37,英雄装备!$F:$F,0),MATCH(T$2,英雄装备!$1:$1,0)-5),装备属性!$A:$C,3,0),VLOOKUP(INDEX(英雄装备!$F:$BZ,MATCH($H37,英雄装备!$F:$F,0),MATCH(T$2,英雄装备!$1:$1,0)-4),装备属性!$A:$C,3,0),VLOOKUP(INDEX(英雄装备!$F:$BZ,MATCH($H37,英雄装备!$F:$F,0),MATCH(T$2,英雄装备!$1:$1,0)-3),装备属性!$A:$C,3,0),VLOOKUP(INDEX(英雄装备!$F:$BZ,MATCH($H37,英雄装备!$F:$F,0),MATCH(T$2,英雄装备!$1:$1,0)-2),装备属性!$A:$C,3,0),VLOOKUP(INDEX(英雄装备!$F:$BZ,MATCH($H37,英雄装备!$F:$F,0),MATCH(T$2,英雄装备!$1:$1,0)-1),装备属性!$A:$C,3,0))</f>
        <v>88</v>
      </c>
      <c r="U37" s="112"/>
      <c r="V37" s="138"/>
      <c r="W37" s="138"/>
      <c r="X37" s="138" t="b">
        <f t="shared" ref="X37:AC38" si="14">AND($W24,X24)</f>
        <v>1</v>
      </c>
      <c r="Y37" s="138" t="b">
        <f t="shared" si="14"/>
        <v>1</v>
      </c>
      <c r="Z37" s="138" t="b">
        <f t="shared" si="14"/>
        <v>1</v>
      </c>
      <c r="AA37" s="138" t="b">
        <f t="shared" si="14"/>
        <v>1</v>
      </c>
      <c r="AB37" s="138" t="b">
        <f t="shared" si="14"/>
        <v>1</v>
      </c>
      <c r="AC37" s="138" t="b">
        <f t="shared" si="14"/>
        <v>1</v>
      </c>
      <c r="AF37" s="49">
        <v>3</v>
      </c>
      <c r="AG37" s="49" t="str">
        <f>Z3</f>
        <v>吸血面具</v>
      </c>
      <c r="AH37" s="49">
        <f>VLOOKUP($AG37,装备属性!$A:$Y,5,0)</f>
        <v>0</v>
      </c>
      <c r="AI37" s="49">
        <f>VLOOKUP($AG37,装备属性!$A:$Y,6,0)</f>
        <v>0</v>
      </c>
      <c r="AJ37" s="49">
        <f>VLOOKUP($AG37,装备属性!$A:$Y,7,0)</f>
        <v>0</v>
      </c>
      <c r="AK37" s="49">
        <f>VLOOKUP($AG37,装备属性!$A:$Y,8,0)</f>
        <v>0</v>
      </c>
      <c r="AL37" s="49">
        <f>VLOOKUP($AG37,装备属性!$A:$Y,9,0)</f>
        <v>0</v>
      </c>
      <c r="AM37" s="49">
        <f>VLOOKUP($AG37,装备属性!$A:$Y,10,0)</f>
        <v>0</v>
      </c>
      <c r="AN37" s="49">
        <f>VLOOKUP($AG37,装备属性!$A:$Y,11,0)</f>
        <v>0</v>
      </c>
      <c r="AO37" s="49">
        <f>VLOOKUP($AG37,装备属性!$A:$Y,12,0)</f>
        <v>0</v>
      </c>
      <c r="AP37" s="49">
        <f>VLOOKUP($AG37,装备属性!$A:$Y,13,0)</f>
        <v>0</v>
      </c>
      <c r="AQ37" s="49">
        <f>VLOOKUP($AG37,装备属性!$A:$Y,14,0)</f>
        <v>0</v>
      </c>
      <c r="AR37" s="49">
        <f>VLOOKUP($AG37,装备属性!$A:$Y,15,0)</f>
        <v>0</v>
      </c>
      <c r="AS37" s="49">
        <f>VLOOKUP($AG37,装备属性!$A:$Y,16,0)</f>
        <v>0</v>
      </c>
      <c r="AT37" s="49">
        <f>VLOOKUP($AG37,装备属性!$A:$Y,17,0)</f>
        <v>15</v>
      </c>
      <c r="AU37" s="49">
        <f>VLOOKUP($AG37,装备属性!$A:$Y,18,0)</f>
        <v>0</v>
      </c>
      <c r="AV37" s="49">
        <f>VLOOKUP($AG37,装备属性!$A:$Y,19,0)</f>
        <v>0</v>
      </c>
      <c r="AW37" s="49">
        <f>VLOOKUP($AG37,装备属性!$A:$Y,20,0)</f>
        <v>0</v>
      </c>
      <c r="AX37" s="49">
        <f>VLOOKUP($AG37,装备属性!$A:$Y,21,0)</f>
        <v>0</v>
      </c>
      <c r="AY37" s="49">
        <f>VLOOKUP($AG37,装备属性!$A:$Y,22,0)</f>
        <v>0</v>
      </c>
      <c r="AZ37" s="138">
        <f>VLOOKUP($AG37,装备属性!$A:$Y,23,0)</f>
        <v>0</v>
      </c>
      <c r="BA37" s="138">
        <f>VLOOKUP($AG37,装备属性!$A:$Y,24,0)</f>
        <v>0</v>
      </c>
      <c r="BB37" s="138">
        <f>VLOOKUP($AG37,装备属性!$A:$Y,25,0)</f>
        <v>0</v>
      </c>
    </row>
    <row r="38" spans="2:54">
      <c r="B38" s="49" t="str">
        <f>英雄初始!A39</f>
        <v>双头龙</v>
      </c>
      <c r="H38" s="54" t="s">
        <v>191</v>
      </c>
      <c r="I38" s="51">
        <f>MAX(VLOOKUP(INDEX(英雄装备!$F:$BZ,MATCH($H38,英雄装备!$F:$F,0),MATCH(I$2,英雄装备!$1:$1,0)-5),装备属性!$A:$C,3,0),VLOOKUP(INDEX(英雄装备!$F:$BZ,MATCH($H38,英雄装备!$F:$F,0),MATCH(I$2,英雄装备!$1:$1,0)-4),装备属性!$A:$C,3,0),VLOOKUP(INDEX(英雄装备!$F:$BZ,MATCH($H38,英雄装备!$F:$F,0),MATCH(I$2,英雄装备!$1:$1,0)-3),装备属性!$A:$C,3,0),VLOOKUP(INDEX(英雄装备!$F:$BZ,MATCH($H38,英雄装备!$F:$F,0),MATCH(I$2,英雄装备!$1:$1,0)-2),装备属性!$A:$C,3,0),VLOOKUP(INDEX(英雄装备!$F:$BZ,MATCH($H38,英雄装备!$F:$F,0),MATCH(I$2,英雄装备!$1:$1,0)-1),装备属性!$A:$C,3,0),VLOOKUP(INDEX(英雄装备!$F:$BZ,MATCH($H38,英雄装备!$F:$F,0),MATCH(I$2,英雄装备!$1:$1,0)),装备属性!$A:$C,3,0))</f>
        <v>2</v>
      </c>
      <c r="J38" s="51">
        <f>MAX(VLOOKUP(INDEX(英雄装备!$F:$BZ,MATCH($H38,英雄装备!$F:$F,0),MATCH(J$2,英雄装备!$1:$1,0)-5),装备属性!$A:$C,3,0),VLOOKUP(INDEX(英雄装备!$F:$BZ,MATCH($H38,英雄装备!$F:$F,0),MATCH(J$2,英雄装备!$1:$1,0)-4),装备属性!$A:$C,3,0),VLOOKUP(INDEX(英雄装备!$F:$BZ,MATCH($H38,英雄装备!$F:$F,0),MATCH(J$2,英雄装备!$1:$1,0)-3),装备属性!$A:$C,3,0),VLOOKUP(INDEX(英雄装备!$F:$BZ,MATCH($H38,英雄装备!$F:$F,0),MATCH(J$2,英雄装备!$1:$1,0)-2),装备属性!$A:$C,3,0),VLOOKUP(INDEX(英雄装备!$F:$BZ,MATCH($H38,英雄装备!$F:$F,0),MATCH(J$2,英雄装备!$1:$1,0)-1),装备属性!$A:$C,3,0),VLOOKUP(INDEX(英雄装备!$F:$BZ,MATCH($H38,英雄装备!$F:$F,0),MATCH(J$2,英雄装备!$1:$1,0)),装备属性!$A:$C,3,0))</f>
        <v>11</v>
      </c>
      <c r="K38" s="51">
        <f>MAX(VLOOKUP(INDEX(英雄装备!$F:$BZ,MATCH($H38,英雄装备!$F:$F,0),MATCH(K$2,英雄装备!$1:$1,0)-5),装备属性!$A:$C,3,0),VLOOKUP(INDEX(英雄装备!$F:$BZ,MATCH($H38,英雄装备!$F:$F,0),MATCH(K$2,英雄装备!$1:$1,0)-4),装备属性!$A:$C,3,0),VLOOKUP(INDEX(英雄装备!$F:$BZ,MATCH($H38,英雄装备!$F:$F,0),MATCH(K$2,英雄装备!$1:$1,0)-3),装备属性!$A:$C,3,0),VLOOKUP(INDEX(英雄装备!$F:$BZ,MATCH($H38,英雄装备!$F:$F,0),MATCH(K$2,英雄装备!$1:$1,0)-2),装备属性!$A:$C,3,0),VLOOKUP(INDEX(英雄装备!$F:$BZ,MATCH($H38,英雄装备!$F:$F,0),MATCH(K$2,英雄装备!$1:$1,0)-1),装备属性!$A:$C,3,0),VLOOKUP(INDEX(英雄装备!$F:$BZ,MATCH($H38,英雄装备!$F:$F,0),MATCH(K$2,英雄装备!$1:$1,0)),装备属性!$A:$C,3,0))</f>
        <v>24</v>
      </c>
      <c r="L38" s="51">
        <f>MAX(VLOOKUP(INDEX(英雄装备!$F:$BZ,MATCH($H38,英雄装备!$F:$F,0),MATCH(L$2,英雄装备!$1:$1,0)-5),装备属性!$A:$C,3,0),VLOOKUP(INDEX(英雄装备!$F:$BZ,MATCH($H38,英雄装备!$F:$F,0),MATCH(L$2,英雄装备!$1:$1,0)-4),装备属性!$A:$C,3,0),VLOOKUP(INDEX(英雄装备!$F:$BZ,MATCH($H38,英雄装备!$F:$F,0),MATCH(L$2,英雄装备!$1:$1,0)-3),装备属性!$A:$C,3,0),VLOOKUP(INDEX(英雄装备!$F:$BZ,MATCH($H38,英雄装备!$F:$F,0),MATCH(L$2,英雄装备!$1:$1,0)-2),装备属性!$A:$C,3,0),VLOOKUP(INDEX(英雄装备!$F:$BZ,MATCH($H38,英雄装备!$F:$F,0),MATCH(L$2,英雄装备!$1:$1,0)-1),装备属性!$A:$C,3,0),VLOOKUP(INDEX(英雄装备!$F:$BZ,MATCH($H38,英雄装备!$F:$F,0),MATCH(L$2,英雄装备!$1:$1,0)),装备属性!$A:$C,3,0))</f>
        <v>35</v>
      </c>
      <c r="M38" s="51">
        <f>MAX(VLOOKUP(INDEX(英雄装备!$F:$BZ,MATCH($H38,英雄装备!$F:$F,0),MATCH(M$2,英雄装备!$1:$1,0)-5),装备属性!$A:$C,3,0),VLOOKUP(INDEX(英雄装备!$F:$BZ,MATCH($H38,英雄装备!$F:$F,0),MATCH(M$2,英雄装备!$1:$1,0)-4),装备属性!$A:$C,3,0),VLOOKUP(INDEX(英雄装备!$F:$BZ,MATCH($H38,英雄装备!$F:$F,0),MATCH(M$2,英雄装备!$1:$1,0)-3),装备属性!$A:$C,3,0),VLOOKUP(INDEX(英雄装备!$F:$BZ,MATCH($H38,英雄装备!$F:$F,0),MATCH(M$2,英雄装备!$1:$1,0)-2),装备属性!$A:$C,3,0),VLOOKUP(INDEX(英雄装备!$F:$BZ,MATCH($H38,英雄装备!$F:$F,0),MATCH(M$2,英雄装备!$1:$1,0)-1),装备属性!$A:$C,3,0),VLOOKUP(INDEX(英雄装备!$F:$BZ,MATCH($H38,英雄装备!$F:$F,0),MATCH(M$2,英雄装备!$1:$1,0)),装备属性!$A:$C,3,0))</f>
        <v>42</v>
      </c>
      <c r="N38" s="51">
        <f>MAX(VLOOKUP(INDEX(英雄装备!$F:$BZ,MATCH($H38,英雄装备!$F:$F,0),MATCH(N$2,英雄装备!$1:$1,0)-5),装备属性!$A:$C,3,0),VLOOKUP(INDEX(英雄装备!$F:$BZ,MATCH($H38,英雄装备!$F:$F,0),MATCH(N$2,英雄装备!$1:$1,0)-4),装备属性!$A:$C,3,0),VLOOKUP(INDEX(英雄装备!$F:$BZ,MATCH($H38,英雄装备!$F:$F,0),MATCH(N$2,英雄装备!$1:$1,0)-3),装备属性!$A:$C,3,0),VLOOKUP(INDEX(英雄装备!$F:$BZ,MATCH($H38,英雄装备!$F:$F,0),MATCH(N$2,英雄装备!$1:$1,0)-2),装备属性!$A:$C,3,0),VLOOKUP(INDEX(英雄装备!$F:$BZ,MATCH($H38,英雄装备!$F:$F,0),MATCH(N$2,英雄装备!$1:$1,0)-1),装备属性!$A:$C,3,0),VLOOKUP(INDEX(英雄装备!$F:$BZ,MATCH($H38,英雄装备!$F:$F,0),MATCH(N$2,英雄装备!$1:$1,0)),装备属性!$A:$C,3,0))</f>
        <v>51</v>
      </c>
      <c r="O38" s="51">
        <f>MAX(VLOOKUP(INDEX(英雄装备!$F:$BZ,MATCH($H38,英雄装备!$F:$F,0),MATCH(O$2,英雄装备!$1:$1,0)-5),装备属性!$A:$C,3,0),VLOOKUP(INDEX(英雄装备!$F:$BZ,MATCH($H38,英雄装备!$F:$F,0),MATCH(O$2,英雄装备!$1:$1,0)-4),装备属性!$A:$C,3,0),VLOOKUP(INDEX(英雄装备!$F:$BZ,MATCH($H38,英雄装备!$F:$F,0),MATCH(O$2,英雄装备!$1:$1,0)-3),装备属性!$A:$C,3,0),VLOOKUP(INDEX(英雄装备!$F:$BZ,MATCH($H38,英雄装备!$F:$F,0),MATCH(O$2,英雄装备!$1:$1,0)-2),装备属性!$A:$C,3,0),VLOOKUP(INDEX(英雄装备!$F:$BZ,MATCH($H38,英雄装备!$F:$F,0),MATCH(O$2,英雄装备!$1:$1,0)-1),装备属性!$A:$C,3,0),VLOOKUP(INDEX(英雄装备!$F:$BZ,MATCH($H38,英雄装备!$F:$F,0),MATCH(O$2,英雄装备!$1:$1,0)),装备属性!$A:$C,3,0))</f>
        <v>60</v>
      </c>
      <c r="P38" s="51">
        <f>MAX(VLOOKUP(INDEX(英雄装备!$F:$BZ,MATCH($H38,英雄装备!$F:$F,0),MATCH(P$2,英雄装备!$1:$1,0)-5),装备属性!$A:$C,3,0),VLOOKUP(INDEX(英雄装备!$F:$BZ,MATCH($H38,英雄装备!$F:$F,0),MATCH(P$2,英雄装备!$1:$1,0)-4),装备属性!$A:$C,3,0),VLOOKUP(INDEX(英雄装备!$F:$BZ,MATCH($H38,英雄装备!$F:$F,0),MATCH(P$2,英雄装备!$1:$1,0)-3),装备属性!$A:$C,3,0),VLOOKUP(INDEX(英雄装备!$F:$BZ,MATCH($H38,英雄装备!$F:$F,0),MATCH(P$2,英雄装备!$1:$1,0)-2),装备属性!$A:$C,3,0),VLOOKUP(INDEX(英雄装备!$F:$BZ,MATCH($H38,英雄装备!$F:$F,0),MATCH(P$2,英雄装备!$1:$1,0)-1),装备属性!$A:$C,3,0),VLOOKUP(INDEX(英雄装备!$F:$BZ,MATCH($H38,英雄装备!$F:$F,0),MATCH(P$2,英雄装备!$1:$1,0)),装备属性!$A:$C,3,0))</f>
        <v>70</v>
      </c>
      <c r="Q38" s="51">
        <f>MAX(VLOOKUP(INDEX(英雄装备!$F:$BZ,MATCH($H38,英雄装备!$F:$F,0),MATCH(Q$2,英雄装备!$1:$1,0)-5),装备属性!$A:$C,3,0),VLOOKUP(INDEX(英雄装备!$F:$BZ,MATCH($H38,英雄装备!$F:$F,0),MATCH(Q$2,英雄装备!$1:$1,0)-4),装备属性!$A:$C,3,0),VLOOKUP(INDEX(英雄装备!$F:$BZ,MATCH($H38,英雄装备!$F:$F,0),MATCH(Q$2,英雄装备!$1:$1,0)-3),装备属性!$A:$C,3,0),VLOOKUP(INDEX(英雄装备!$F:$BZ,MATCH($H38,英雄装备!$F:$F,0),MATCH(Q$2,英雄装备!$1:$1,0)-2),装备属性!$A:$C,3,0),VLOOKUP(INDEX(英雄装备!$F:$BZ,MATCH($H38,英雄装备!$F:$F,0),MATCH(Q$2,英雄装备!$1:$1,0)-1),装备属性!$A:$C,3,0),VLOOKUP(INDEX(英雄装备!$F:$BZ,MATCH($H38,英雄装备!$F:$F,0),MATCH(Q$2,英雄装备!$1:$1,0)),装备属性!$A:$C,3,0))</f>
        <v>80</v>
      </c>
      <c r="R38" s="51">
        <f>MAX(VLOOKUP(INDEX(英雄装备!$F:$BZ,MATCH($H38,英雄装备!$F:$F,0),MATCH(R$2,英雄装备!$1:$1,0)-5),装备属性!$A:$C,3,0),VLOOKUP(INDEX(英雄装备!$F:$BZ,MATCH($H38,英雄装备!$F:$F,0),MATCH(R$2,英雄装备!$1:$1,0)-4),装备属性!$A:$C,3,0),VLOOKUP(INDEX(英雄装备!$F:$BZ,MATCH($H38,英雄装备!$F:$F,0),MATCH(R$2,英雄装备!$1:$1,0)-3),装备属性!$A:$C,3,0),VLOOKUP(INDEX(英雄装备!$F:$BZ,MATCH($H38,英雄装备!$F:$F,0),MATCH(R$2,英雄装备!$1:$1,0)-2),装备属性!$A:$C,3,0),VLOOKUP(INDEX(英雄装备!$F:$BZ,MATCH($H38,英雄装备!$F:$F,0),MATCH(R$2,英雄装备!$1:$1,0)-1),装备属性!$A:$C,3,0),VLOOKUP(INDEX(英雄装备!$F:$BZ,MATCH($H38,英雄装备!$F:$F,0),MATCH(R$2,英雄装备!$1:$1,0)),装备属性!$A:$C,3,0))</f>
        <v>80</v>
      </c>
      <c r="S38" s="51">
        <f>MAX(VLOOKUP(INDEX(英雄装备!$F:$BZ,MATCH($H38,英雄装备!$F:$F,0),MATCH(S$2,英雄装备!$1:$1,0)-5),装备属性!$A:$C,3,0),VLOOKUP(INDEX(英雄装备!$F:$BZ,MATCH($H38,英雄装备!$F:$F,0),MATCH(S$2,英雄装备!$1:$1,0)-4),装备属性!$A:$C,3,0),VLOOKUP(INDEX(英雄装备!$F:$BZ,MATCH($H38,英雄装备!$F:$F,0),MATCH(S$2,英雄装备!$1:$1,0)-3),装备属性!$A:$C,3,0),VLOOKUP(INDEX(英雄装备!$F:$BZ,MATCH($H38,英雄装备!$F:$F,0),MATCH(S$2,英雄装备!$1:$1,0)-2),装备属性!$A:$C,3,0),VLOOKUP(INDEX(英雄装备!$F:$BZ,MATCH($H38,英雄装备!$F:$F,0),MATCH(S$2,英雄装备!$1:$1,0)-1),装备属性!$A:$C,3,0),VLOOKUP(INDEX(英雄装备!$F:$BZ,MATCH($H38,英雄装备!$F:$F,0),MATCH(S$2,英雄装备!$1:$1,0)),装备属性!$A:$C,3,0))</f>
        <v>85</v>
      </c>
      <c r="T38" s="51">
        <f>MAX(VLOOKUP(INDEX(英雄装备!$F:$BZ,MATCH($H38,英雄装备!$F:$F,0),MATCH(T$2,英雄装备!$1:$1,0)-5),装备属性!$A:$C,3,0),VLOOKUP(INDEX(英雄装备!$F:$BZ,MATCH($H38,英雄装备!$F:$F,0),MATCH(T$2,英雄装备!$1:$1,0)-4),装备属性!$A:$C,3,0),VLOOKUP(INDEX(英雄装备!$F:$BZ,MATCH($H38,英雄装备!$F:$F,0),MATCH(T$2,英雄装备!$1:$1,0)-3),装备属性!$A:$C,3,0),VLOOKUP(INDEX(英雄装备!$F:$BZ,MATCH($H38,英雄装备!$F:$F,0),MATCH(T$2,英雄装备!$1:$1,0)-2),装备属性!$A:$C,3,0),VLOOKUP(INDEX(英雄装备!$F:$BZ,MATCH($H38,英雄装备!$F:$F,0),MATCH(T$2,英雄装备!$1:$1,0)-1),装备属性!$A:$C,3,0))</f>
        <v>87</v>
      </c>
      <c r="U38" s="112"/>
      <c r="V38" s="138"/>
      <c r="W38" s="138"/>
      <c r="X38" s="138" t="b">
        <f t="shared" ref="X38:AB38" si="15">AND($W25,X25)</f>
        <v>1</v>
      </c>
      <c r="Y38" s="138" t="b">
        <f t="shared" si="15"/>
        <v>1</v>
      </c>
      <c r="Z38" s="138" t="b">
        <f t="shared" si="15"/>
        <v>1</v>
      </c>
      <c r="AA38" s="138" t="b">
        <f t="shared" si="15"/>
        <v>1</v>
      </c>
      <c r="AB38" s="138" t="b">
        <f t="shared" si="15"/>
        <v>1</v>
      </c>
      <c r="AC38" s="138" t="b">
        <f t="shared" si="14"/>
        <v>1</v>
      </c>
      <c r="AF38" s="49">
        <v>3</v>
      </c>
      <c r="AG38" s="49" t="str">
        <f>AA3</f>
        <v>天鹰之戒</v>
      </c>
      <c r="AH38" s="49">
        <f>VLOOKUP($AG38,装备属性!$A:$Y,5,0)</f>
        <v>3</v>
      </c>
      <c r="AI38" s="49">
        <f>VLOOKUP($AG38,装备属性!$A:$Y,6,0)</f>
        <v>3</v>
      </c>
      <c r="AJ38" s="49">
        <f>VLOOKUP($AG38,装备属性!$A:$Y,7,0)</f>
        <v>3</v>
      </c>
      <c r="AK38" s="49">
        <f>VLOOKUP($AG38,装备属性!$A:$Y,8,0)</f>
        <v>0</v>
      </c>
      <c r="AL38" s="49">
        <f>VLOOKUP($AG38,装备属性!$A:$Y,9,0)</f>
        <v>0</v>
      </c>
      <c r="AM38" s="49">
        <f>VLOOKUP($AG38,装备属性!$A:$Y,10,0)</f>
        <v>0</v>
      </c>
      <c r="AN38" s="49">
        <f>VLOOKUP($AG38,装备属性!$A:$Y,11,0)</f>
        <v>3</v>
      </c>
      <c r="AO38" s="49">
        <f>VLOOKUP($AG38,装备属性!$A:$Y,12,0)</f>
        <v>0</v>
      </c>
      <c r="AP38" s="49">
        <f>VLOOKUP($AG38,装备属性!$A:$Y,13,0)</f>
        <v>0</v>
      </c>
      <c r="AQ38" s="49">
        <f>VLOOKUP($AG38,装备属性!$A:$Y,14,0)</f>
        <v>0</v>
      </c>
      <c r="AR38" s="49">
        <f>VLOOKUP($AG38,装备属性!$A:$Y,15,0)</f>
        <v>0</v>
      </c>
      <c r="AS38" s="49">
        <f>VLOOKUP($AG38,装备属性!$A:$Y,16,0)</f>
        <v>0</v>
      </c>
      <c r="AT38" s="49">
        <f>VLOOKUP($AG38,装备属性!$A:$Y,17,0)</f>
        <v>0</v>
      </c>
      <c r="AU38" s="49">
        <f>VLOOKUP($AG38,装备属性!$A:$Y,18,0)</f>
        <v>0</v>
      </c>
      <c r="AV38" s="49">
        <f>VLOOKUP($AG38,装备属性!$A:$Y,19,0)</f>
        <v>0</v>
      </c>
      <c r="AW38" s="49">
        <f>VLOOKUP($AG38,装备属性!$A:$Y,20,0)</f>
        <v>0</v>
      </c>
      <c r="AX38" s="49">
        <f>VLOOKUP($AG38,装备属性!$A:$Y,21,0)</f>
        <v>32</v>
      </c>
      <c r="AY38" s="49">
        <f>VLOOKUP($AG38,装备属性!$A:$Y,22,0)</f>
        <v>0</v>
      </c>
      <c r="AZ38" s="138">
        <f>VLOOKUP($AG38,装备属性!$A:$Y,23,0)</f>
        <v>0</v>
      </c>
      <c r="BA38" s="138">
        <f>VLOOKUP($AG38,装备属性!$A:$Y,24,0)</f>
        <v>0</v>
      </c>
      <c r="BB38" s="138">
        <f>VLOOKUP($AG38,装备属性!$A:$Y,25,0)</f>
        <v>0</v>
      </c>
    </row>
    <row r="39" spans="2:54">
      <c r="B39" s="49" t="str">
        <f>英雄初始!A40</f>
        <v>死灵法师</v>
      </c>
      <c r="H39" s="54" t="s">
        <v>192</v>
      </c>
      <c r="I39" s="51">
        <f>MAX(VLOOKUP(INDEX(英雄装备!$F:$BZ,MATCH($H39,英雄装备!$F:$F,0),MATCH(I$2,英雄装备!$1:$1,0)-5),装备属性!$A:$C,3,0),VLOOKUP(INDEX(英雄装备!$F:$BZ,MATCH($H39,英雄装备!$F:$F,0),MATCH(I$2,英雄装备!$1:$1,0)-4),装备属性!$A:$C,3,0),VLOOKUP(INDEX(英雄装备!$F:$BZ,MATCH($H39,英雄装备!$F:$F,0),MATCH(I$2,英雄装备!$1:$1,0)-3),装备属性!$A:$C,3,0),VLOOKUP(INDEX(英雄装备!$F:$BZ,MATCH($H39,英雄装备!$F:$F,0),MATCH(I$2,英雄装备!$1:$1,0)-2),装备属性!$A:$C,3,0),VLOOKUP(INDEX(英雄装备!$F:$BZ,MATCH($H39,英雄装备!$F:$F,0),MATCH(I$2,英雄装备!$1:$1,0)-1),装备属性!$A:$C,3,0),VLOOKUP(INDEX(英雄装备!$F:$BZ,MATCH($H39,英雄装备!$F:$F,0),MATCH(I$2,英雄装备!$1:$1,0)),装备属性!$A:$C,3,0))</f>
        <v>2</v>
      </c>
      <c r="J39" s="51">
        <f>MAX(VLOOKUP(INDEX(英雄装备!$F:$BZ,MATCH($H39,英雄装备!$F:$F,0),MATCH(J$2,英雄装备!$1:$1,0)-5),装备属性!$A:$C,3,0),VLOOKUP(INDEX(英雄装备!$F:$BZ,MATCH($H39,英雄装备!$F:$F,0),MATCH(J$2,英雄装备!$1:$1,0)-4),装备属性!$A:$C,3,0),VLOOKUP(INDEX(英雄装备!$F:$BZ,MATCH($H39,英雄装备!$F:$F,0),MATCH(J$2,英雄装备!$1:$1,0)-3),装备属性!$A:$C,3,0),VLOOKUP(INDEX(英雄装备!$F:$BZ,MATCH($H39,英雄装备!$F:$F,0),MATCH(J$2,英雄装备!$1:$1,0)-2),装备属性!$A:$C,3,0),VLOOKUP(INDEX(英雄装备!$F:$BZ,MATCH($H39,英雄装备!$F:$F,0),MATCH(J$2,英雄装备!$1:$1,0)-1),装备属性!$A:$C,3,0),VLOOKUP(INDEX(英雄装备!$F:$BZ,MATCH($H39,英雄装备!$F:$F,0),MATCH(J$2,英雄装备!$1:$1,0)),装备属性!$A:$C,3,0))</f>
        <v>10</v>
      </c>
      <c r="K39" s="51">
        <f>MAX(VLOOKUP(INDEX(英雄装备!$F:$BZ,MATCH($H39,英雄装备!$F:$F,0),MATCH(K$2,英雄装备!$1:$1,0)-5),装备属性!$A:$C,3,0),VLOOKUP(INDEX(英雄装备!$F:$BZ,MATCH($H39,英雄装备!$F:$F,0),MATCH(K$2,英雄装备!$1:$1,0)-4),装备属性!$A:$C,3,0),VLOOKUP(INDEX(英雄装备!$F:$BZ,MATCH($H39,英雄装备!$F:$F,0),MATCH(K$2,英雄装备!$1:$1,0)-3),装备属性!$A:$C,3,0),VLOOKUP(INDEX(英雄装备!$F:$BZ,MATCH($H39,英雄装备!$F:$F,0),MATCH(K$2,英雄装备!$1:$1,0)-2),装备属性!$A:$C,3,0),VLOOKUP(INDEX(英雄装备!$F:$BZ,MATCH($H39,英雄装备!$F:$F,0),MATCH(K$2,英雄装备!$1:$1,0)-1),装备属性!$A:$C,3,0),VLOOKUP(INDEX(英雄装备!$F:$BZ,MATCH($H39,英雄装备!$F:$F,0),MATCH(K$2,英雄装备!$1:$1,0)),装备属性!$A:$C,3,0))</f>
        <v>20</v>
      </c>
      <c r="L39" s="51">
        <f>MAX(VLOOKUP(INDEX(英雄装备!$F:$BZ,MATCH($H39,英雄装备!$F:$F,0),MATCH(L$2,英雄装备!$1:$1,0)-5),装备属性!$A:$C,3,0),VLOOKUP(INDEX(英雄装备!$F:$BZ,MATCH($H39,英雄装备!$F:$F,0),MATCH(L$2,英雄装备!$1:$1,0)-4),装备属性!$A:$C,3,0),VLOOKUP(INDEX(英雄装备!$F:$BZ,MATCH($H39,英雄装备!$F:$F,0),MATCH(L$2,英雄装备!$1:$1,0)-3),装备属性!$A:$C,3,0),VLOOKUP(INDEX(英雄装备!$F:$BZ,MATCH($H39,英雄装备!$F:$F,0),MATCH(L$2,英雄装备!$1:$1,0)-2),装备属性!$A:$C,3,0),VLOOKUP(INDEX(英雄装备!$F:$BZ,MATCH($H39,英雄装备!$F:$F,0),MATCH(L$2,英雄装备!$1:$1,0)-1),装备属性!$A:$C,3,0),VLOOKUP(INDEX(英雄装备!$F:$BZ,MATCH($H39,英雄装备!$F:$F,0),MATCH(L$2,英雄装备!$1:$1,0)),装备属性!$A:$C,3,0))</f>
        <v>35</v>
      </c>
      <c r="M39" s="51">
        <f>MAX(VLOOKUP(INDEX(英雄装备!$F:$BZ,MATCH($H39,英雄装备!$F:$F,0),MATCH(M$2,英雄装备!$1:$1,0)-5),装备属性!$A:$C,3,0),VLOOKUP(INDEX(英雄装备!$F:$BZ,MATCH($H39,英雄装备!$F:$F,0),MATCH(M$2,英雄装备!$1:$1,0)-4),装备属性!$A:$C,3,0),VLOOKUP(INDEX(英雄装备!$F:$BZ,MATCH($H39,英雄装备!$F:$F,0),MATCH(M$2,英雄装备!$1:$1,0)-3),装备属性!$A:$C,3,0),VLOOKUP(INDEX(英雄装备!$F:$BZ,MATCH($H39,英雄装备!$F:$F,0),MATCH(M$2,英雄装备!$1:$1,0)-2),装备属性!$A:$C,3,0),VLOOKUP(INDEX(英雄装备!$F:$BZ,MATCH($H39,英雄装备!$F:$F,0),MATCH(M$2,英雄装备!$1:$1,0)-1),装备属性!$A:$C,3,0),VLOOKUP(INDEX(英雄装备!$F:$BZ,MATCH($H39,英雄装备!$F:$F,0),MATCH(M$2,英雄装备!$1:$1,0)),装备属性!$A:$C,3,0))</f>
        <v>43</v>
      </c>
      <c r="N39" s="51">
        <f>MAX(VLOOKUP(INDEX(英雄装备!$F:$BZ,MATCH($H39,英雄装备!$F:$F,0),MATCH(N$2,英雄装备!$1:$1,0)-5),装备属性!$A:$C,3,0),VLOOKUP(INDEX(英雄装备!$F:$BZ,MATCH($H39,英雄装备!$F:$F,0),MATCH(N$2,英雄装备!$1:$1,0)-4),装备属性!$A:$C,3,0),VLOOKUP(INDEX(英雄装备!$F:$BZ,MATCH($H39,英雄装备!$F:$F,0),MATCH(N$2,英雄装备!$1:$1,0)-3),装备属性!$A:$C,3,0),VLOOKUP(INDEX(英雄装备!$F:$BZ,MATCH($H39,英雄装备!$F:$F,0),MATCH(N$2,英雄装备!$1:$1,0)-2),装备属性!$A:$C,3,0),VLOOKUP(INDEX(英雄装备!$F:$BZ,MATCH($H39,英雄装备!$F:$F,0),MATCH(N$2,英雄装备!$1:$1,0)-1),装备属性!$A:$C,3,0),VLOOKUP(INDEX(英雄装备!$F:$BZ,MATCH($H39,英雄装备!$F:$F,0),MATCH(N$2,英雄装备!$1:$1,0)),装备属性!$A:$C,3,0))</f>
        <v>53</v>
      </c>
      <c r="O39" s="51">
        <f>MAX(VLOOKUP(INDEX(英雄装备!$F:$BZ,MATCH($H39,英雄装备!$F:$F,0),MATCH(O$2,英雄装备!$1:$1,0)-5),装备属性!$A:$C,3,0),VLOOKUP(INDEX(英雄装备!$F:$BZ,MATCH($H39,英雄装备!$F:$F,0),MATCH(O$2,英雄装备!$1:$1,0)-4),装备属性!$A:$C,3,0),VLOOKUP(INDEX(英雄装备!$F:$BZ,MATCH($H39,英雄装备!$F:$F,0),MATCH(O$2,英雄装备!$1:$1,0)-3),装备属性!$A:$C,3,0),VLOOKUP(INDEX(英雄装备!$F:$BZ,MATCH($H39,英雄装备!$F:$F,0),MATCH(O$2,英雄装备!$1:$1,0)-2),装备属性!$A:$C,3,0),VLOOKUP(INDEX(英雄装备!$F:$BZ,MATCH($H39,英雄装备!$F:$F,0),MATCH(O$2,英雄装备!$1:$1,0)-1),装备属性!$A:$C,3,0),VLOOKUP(INDEX(英雄装备!$F:$BZ,MATCH($H39,英雄装备!$F:$F,0),MATCH(O$2,英雄装备!$1:$1,0)),装备属性!$A:$C,3,0))</f>
        <v>63</v>
      </c>
      <c r="P39" s="51">
        <f>MAX(VLOOKUP(INDEX(英雄装备!$F:$BZ,MATCH($H39,英雄装备!$F:$F,0),MATCH(P$2,英雄装备!$1:$1,0)-5),装备属性!$A:$C,3,0),VLOOKUP(INDEX(英雄装备!$F:$BZ,MATCH($H39,英雄装备!$F:$F,0),MATCH(P$2,英雄装备!$1:$1,0)-4),装备属性!$A:$C,3,0),VLOOKUP(INDEX(英雄装备!$F:$BZ,MATCH($H39,英雄装备!$F:$F,0),MATCH(P$2,英雄装备!$1:$1,0)-3),装备属性!$A:$C,3,0),VLOOKUP(INDEX(英雄装备!$F:$BZ,MATCH($H39,英雄装备!$F:$F,0),MATCH(P$2,英雄装备!$1:$1,0)-2),装备属性!$A:$C,3,0),VLOOKUP(INDEX(英雄装备!$F:$BZ,MATCH($H39,英雄装备!$F:$F,0),MATCH(P$2,英雄装备!$1:$1,0)-1),装备属性!$A:$C,3,0),VLOOKUP(INDEX(英雄装备!$F:$BZ,MATCH($H39,英雄装备!$F:$F,0),MATCH(P$2,英雄装备!$1:$1,0)),装备属性!$A:$C,3,0))</f>
        <v>74</v>
      </c>
      <c r="Q39" s="51">
        <f>MAX(VLOOKUP(INDEX(英雄装备!$F:$BZ,MATCH($H39,英雄装备!$F:$F,0),MATCH(Q$2,英雄装备!$1:$1,0)-5),装备属性!$A:$C,3,0),VLOOKUP(INDEX(英雄装备!$F:$BZ,MATCH($H39,英雄装备!$F:$F,0),MATCH(Q$2,英雄装备!$1:$1,0)-4),装备属性!$A:$C,3,0),VLOOKUP(INDEX(英雄装备!$F:$BZ,MATCH($H39,英雄装备!$F:$F,0),MATCH(Q$2,英雄装备!$1:$1,0)-3),装备属性!$A:$C,3,0),VLOOKUP(INDEX(英雄装备!$F:$BZ,MATCH($H39,英雄装备!$F:$F,0),MATCH(Q$2,英雄装备!$1:$1,0)-2),装备属性!$A:$C,3,0),VLOOKUP(INDEX(英雄装备!$F:$BZ,MATCH($H39,英雄装备!$F:$F,0),MATCH(Q$2,英雄装备!$1:$1,0)-1),装备属性!$A:$C,3,0),VLOOKUP(INDEX(英雄装备!$F:$BZ,MATCH($H39,英雄装备!$F:$F,0),MATCH(Q$2,英雄装备!$1:$1,0)),装备属性!$A:$C,3,0))</f>
        <v>78</v>
      </c>
      <c r="R39" s="51">
        <f>MAX(VLOOKUP(INDEX(英雄装备!$F:$BZ,MATCH($H39,英雄装备!$F:$F,0),MATCH(R$2,英雄装备!$1:$1,0)-5),装备属性!$A:$C,3,0),VLOOKUP(INDEX(英雄装备!$F:$BZ,MATCH($H39,英雄装备!$F:$F,0),MATCH(R$2,英雄装备!$1:$1,0)-4),装备属性!$A:$C,3,0),VLOOKUP(INDEX(英雄装备!$F:$BZ,MATCH($H39,英雄装备!$F:$F,0),MATCH(R$2,英雄装备!$1:$1,0)-3),装备属性!$A:$C,3,0),VLOOKUP(INDEX(英雄装备!$F:$BZ,MATCH($H39,英雄装备!$F:$F,0),MATCH(R$2,英雄装备!$1:$1,0)-2),装备属性!$A:$C,3,0),VLOOKUP(INDEX(英雄装备!$F:$BZ,MATCH($H39,英雄装备!$F:$F,0),MATCH(R$2,英雄装备!$1:$1,0)-1),装备属性!$A:$C,3,0),VLOOKUP(INDEX(英雄装备!$F:$BZ,MATCH($H39,英雄装备!$F:$F,0),MATCH(R$2,英雄装备!$1:$1,0)),装备属性!$A:$C,3,0))</f>
        <v>80</v>
      </c>
      <c r="S39" s="51">
        <f>MAX(VLOOKUP(INDEX(英雄装备!$F:$BZ,MATCH($H39,英雄装备!$F:$F,0),MATCH(S$2,英雄装备!$1:$1,0)-5),装备属性!$A:$C,3,0),VLOOKUP(INDEX(英雄装备!$F:$BZ,MATCH($H39,英雄装备!$F:$F,0),MATCH(S$2,英雄装备!$1:$1,0)-4),装备属性!$A:$C,3,0),VLOOKUP(INDEX(英雄装备!$F:$BZ,MATCH($H39,英雄装备!$F:$F,0),MATCH(S$2,英雄装备!$1:$1,0)-3),装备属性!$A:$C,3,0),VLOOKUP(INDEX(英雄装备!$F:$BZ,MATCH($H39,英雄装备!$F:$F,0),MATCH(S$2,英雄装备!$1:$1,0)-2),装备属性!$A:$C,3,0),VLOOKUP(INDEX(英雄装备!$F:$BZ,MATCH($H39,英雄装备!$F:$F,0),MATCH(S$2,英雄装备!$1:$1,0)-1),装备属性!$A:$C,3,0),VLOOKUP(INDEX(英雄装备!$F:$BZ,MATCH($H39,英雄装备!$F:$F,0),MATCH(S$2,英雄装备!$1:$1,0)),装备属性!$A:$C,3,0))</f>
        <v>85</v>
      </c>
      <c r="T39" s="51">
        <f>MAX(VLOOKUP(INDEX(英雄装备!$F:$BZ,MATCH($H39,英雄装备!$F:$F,0),MATCH(T$2,英雄装备!$1:$1,0)-5),装备属性!$A:$C,3,0),VLOOKUP(INDEX(英雄装备!$F:$BZ,MATCH($H39,英雄装备!$F:$F,0),MATCH(T$2,英雄装备!$1:$1,0)-4),装备属性!$A:$C,3,0),VLOOKUP(INDEX(英雄装备!$F:$BZ,MATCH($H39,英雄装备!$F:$F,0),MATCH(T$2,英雄装备!$1:$1,0)-3),装备属性!$A:$C,3,0),VLOOKUP(INDEX(英雄装备!$F:$BZ,MATCH($H39,英雄装备!$F:$F,0),MATCH(T$2,英雄装备!$1:$1,0)-2),装备属性!$A:$C,3,0),VLOOKUP(INDEX(英雄装备!$F:$BZ,MATCH($H39,英雄装备!$F:$F,0),MATCH(T$2,英雄装备!$1:$1,0)-1),装备属性!$A:$C,3,0))</f>
        <v>87</v>
      </c>
      <c r="V39" s="112"/>
      <c r="W39" s="112"/>
      <c r="X39" s="112"/>
      <c r="Y39" s="112"/>
      <c r="Z39" s="112"/>
      <c r="AA39" s="112"/>
      <c r="AB39" s="112"/>
      <c r="AC39" s="112"/>
      <c r="AF39" s="49">
        <v>3</v>
      </c>
      <c r="AG39" s="49" t="str">
        <f>AB3</f>
        <v>敏捷系带</v>
      </c>
      <c r="AH39" s="49">
        <f>VLOOKUP($AG39,装备属性!$A:$Y,5,0)</f>
        <v>3</v>
      </c>
      <c r="AI39" s="49">
        <f>VLOOKUP($AG39,装备属性!$A:$Y,6,0)</f>
        <v>6</v>
      </c>
      <c r="AJ39" s="49">
        <f>VLOOKUP($AG39,装备属性!$A:$Y,7,0)</f>
        <v>3</v>
      </c>
      <c r="AK39" s="49">
        <f>VLOOKUP($AG39,装备属性!$A:$Y,8,0)</f>
        <v>0</v>
      </c>
      <c r="AL39" s="49">
        <f>VLOOKUP($AG39,装备属性!$A:$Y,9,0)</f>
        <v>3</v>
      </c>
      <c r="AM39" s="49">
        <f>VLOOKUP($AG39,装备属性!$A:$Y,10,0)</f>
        <v>0</v>
      </c>
      <c r="AN39" s="49">
        <f>VLOOKUP($AG39,装备属性!$A:$Y,11,0)</f>
        <v>0</v>
      </c>
      <c r="AO39" s="49">
        <f>VLOOKUP($AG39,装备属性!$A:$Y,12,0)</f>
        <v>0</v>
      </c>
      <c r="AP39" s="49">
        <f>VLOOKUP($AG39,装备属性!$A:$Y,13,0)</f>
        <v>0</v>
      </c>
      <c r="AQ39" s="49">
        <f>VLOOKUP($AG39,装备属性!$A:$Y,14,0)</f>
        <v>0</v>
      </c>
      <c r="AR39" s="49">
        <f>VLOOKUP($AG39,装备属性!$A:$Y,15,0)</f>
        <v>0</v>
      </c>
      <c r="AS39" s="49">
        <f>VLOOKUP($AG39,装备属性!$A:$Y,16,0)</f>
        <v>0</v>
      </c>
      <c r="AT39" s="49">
        <f>VLOOKUP($AG39,装备属性!$A:$Y,17,0)</f>
        <v>0</v>
      </c>
      <c r="AU39" s="49">
        <f>VLOOKUP($AG39,装备属性!$A:$Y,18,0)</f>
        <v>0</v>
      </c>
      <c r="AV39" s="49">
        <f>VLOOKUP($AG39,装备属性!$A:$Y,19,0)</f>
        <v>0</v>
      </c>
      <c r="AW39" s="49">
        <f>VLOOKUP($AG39,装备属性!$A:$Y,20,0)</f>
        <v>0</v>
      </c>
      <c r="AX39" s="49">
        <f>VLOOKUP($AG39,装备属性!$A:$Y,21,0)</f>
        <v>0</v>
      </c>
      <c r="AY39" s="49">
        <f>VLOOKUP($AG39,装备属性!$A:$Y,22,0)</f>
        <v>0</v>
      </c>
      <c r="AZ39" s="138">
        <f>VLOOKUP($AG39,装备属性!$A:$Y,23,0)</f>
        <v>0</v>
      </c>
      <c r="BA39" s="138">
        <f>VLOOKUP($AG39,装备属性!$A:$Y,24,0)</f>
        <v>0</v>
      </c>
      <c r="BB39" s="138">
        <f>VLOOKUP($AG39,装备属性!$A:$Y,25,0)</f>
        <v>0</v>
      </c>
    </row>
    <row r="40" spans="2:54">
      <c r="B40" s="49" t="str">
        <f>英雄初始!A41</f>
        <v>术士</v>
      </c>
      <c r="H40" s="54" t="s">
        <v>193</v>
      </c>
      <c r="I40" s="51">
        <f>MAX(VLOOKUP(INDEX(英雄装备!$F:$BZ,MATCH($H40,英雄装备!$F:$F,0),MATCH(I$2,英雄装备!$1:$1,0)-5),装备属性!$A:$C,3,0),VLOOKUP(INDEX(英雄装备!$F:$BZ,MATCH($H40,英雄装备!$F:$F,0),MATCH(I$2,英雄装备!$1:$1,0)-4),装备属性!$A:$C,3,0),VLOOKUP(INDEX(英雄装备!$F:$BZ,MATCH($H40,英雄装备!$F:$F,0),MATCH(I$2,英雄装备!$1:$1,0)-3),装备属性!$A:$C,3,0),VLOOKUP(INDEX(英雄装备!$F:$BZ,MATCH($H40,英雄装备!$F:$F,0),MATCH(I$2,英雄装备!$1:$1,0)-2),装备属性!$A:$C,3,0),VLOOKUP(INDEX(英雄装备!$F:$BZ,MATCH($H40,英雄装备!$F:$F,0),MATCH(I$2,英雄装备!$1:$1,0)-1),装备属性!$A:$C,3,0),VLOOKUP(INDEX(英雄装备!$F:$BZ,MATCH($H40,英雄装备!$F:$F,0),MATCH(I$2,英雄装备!$1:$1,0)),装备属性!$A:$C,3,0))</f>
        <v>2</v>
      </c>
      <c r="J40" s="51">
        <f>MAX(VLOOKUP(INDEX(英雄装备!$F:$BZ,MATCH($H40,英雄装备!$F:$F,0),MATCH(J$2,英雄装备!$1:$1,0)-5),装备属性!$A:$C,3,0),VLOOKUP(INDEX(英雄装备!$F:$BZ,MATCH($H40,英雄装备!$F:$F,0),MATCH(J$2,英雄装备!$1:$1,0)-4),装备属性!$A:$C,3,0),VLOOKUP(INDEX(英雄装备!$F:$BZ,MATCH($H40,英雄装备!$F:$F,0),MATCH(J$2,英雄装备!$1:$1,0)-3),装备属性!$A:$C,3,0),VLOOKUP(INDEX(英雄装备!$F:$BZ,MATCH($H40,英雄装备!$F:$F,0),MATCH(J$2,英雄装备!$1:$1,0)-2),装备属性!$A:$C,3,0),VLOOKUP(INDEX(英雄装备!$F:$BZ,MATCH($H40,英雄装备!$F:$F,0),MATCH(J$2,英雄装备!$1:$1,0)-1),装备属性!$A:$C,3,0),VLOOKUP(INDEX(英雄装备!$F:$BZ,MATCH($H40,英雄装备!$F:$F,0),MATCH(J$2,英雄装备!$1:$1,0)),装备属性!$A:$C,3,0))</f>
        <v>10</v>
      </c>
      <c r="K40" s="51">
        <f>MAX(VLOOKUP(INDEX(英雄装备!$F:$BZ,MATCH($H40,英雄装备!$F:$F,0),MATCH(K$2,英雄装备!$1:$1,0)-5),装备属性!$A:$C,3,0),VLOOKUP(INDEX(英雄装备!$F:$BZ,MATCH($H40,英雄装备!$F:$F,0),MATCH(K$2,英雄装备!$1:$1,0)-4),装备属性!$A:$C,3,0),VLOOKUP(INDEX(英雄装备!$F:$BZ,MATCH($H40,英雄装备!$F:$F,0),MATCH(K$2,英雄装备!$1:$1,0)-3),装备属性!$A:$C,3,0),VLOOKUP(INDEX(英雄装备!$F:$BZ,MATCH($H40,英雄装备!$F:$F,0),MATCH(K$2,英雄装备!$1:$1,0)-2),装备属性!$A:$C,3,0),VLOOKUP(INDEX(英雄装备!$F:$BZ,MATCH($H40,英雄装备!$F:$F,0),MATCH(K$2,英雄装备!$1:$1,0)-1),装备属性!$A:$C,3,0),VLOOKUP(INDEX(英雄装备!$F:$BZ,MATCH($H40,英雄装备!$F:$F,0),MATCH(K$2,英雄装备!$1:$1,0)),装备属性!$A:$C,3,0))</f>
        <v>20</v>
      </c>
      <c r="L40" s="51">
        <f>MAX(VLOOKUP(INDEX(英雄装备!$F:$BZ,MATCH($H40,英雄装备!$F:$F,0),MATCH(L$2,英雄装备!$1:$1,0)-5),装备属性!$A:$C,3,0),VLOOKUP(INDEX(英雄装备!$F:$BZ,MATCH($H40,英雄装备!$F:$F,0),MATCH(L$2,英雄装备!$1:$1,0)-4),装备属性!$A:$C,3,0),VLOOKUP(INDEX(英雄装备!$F:$BZ,MATCH($H40,英雄装备!$F:$F,0),MATCH(L$2,英雄装备!$1:$1,0)-3),装备属性!$A:$C,3,0),VLOOKUP(INDEX(英雄装备!$F:$BZ,MATCH($H40,英雄装备!$F:$F,0),MATCH(L$2,英雄装备!$1:$1,0)-2),装备属性!$A:$C,3,0),VLOOKUP(INDEX(英雄装备!$F:$BZ,MATCH($H40,英雄装备!$F:$F,0),MATCH(L$2,英雄装备!$1:$1,0)-1),装备属性!$A:$C,3,0),VLOOKUP(INDEX(英雄装备!$F:$BZ,MATCH($H40,英雄装备!$F:$F,0),MATCH(L$2,英雄装备!$1:$1,0)),装备属性!$A:$C,3,0))</f>
        <v>34</v>
      </c>
      <c r="M40" s="51">
        <f>MAX(VLOOKUP(INDEX(英雄装备!$F:$BZ,MATCH($H40,英雄装备!$F:$F,0),MATCH(M$2,英雄装备!$1:$1,0)-5),装备属性!$A:$C,3,0),VLOOKUP(INDEX(英雄装备!$F:$BZ,MATCH($H40,英雄装备!$F:$F,0),MATCH(M$2,英雄装备!$1:$1,0)-4),装备属性!$A:$C,3,0),VLOOKUP(INDEX(英雄装备!$F:$BZ,MATCH($H40,英雄装备!$F:$F,0),MATCH(M$2,英雄装备!$1:$1,0)-3),装备属性!$A:$C,3,0),VLOOKUP(INDEX(英雄装备!$F:$BZ,MATCH($H40,英雄装备!$F:$F,0),MATCH(M$2,英雄装备!$1:$1,0)-2),装备属性!$A:$C,3,0),VLOOKUP(INDEX(英雄装备!$F:$BZ,MATCH($H40,英雄装备!$F:$F,0),MATCH(M$2,英雄装备!$1:$1,0)-1),装备属性!$A:$C,3,0),VLOOKUP(INDEX(英雄装备!$F:$BZ,MATCH($H40,英雄装备!$F:$F,0),MATCH(M$2,英雄装备!$1:$1,0)),装备属性!$A:$C,3,0))</f>
        <v>43</v>
      </c>
      <c r="N40" s="51">
        <f>MAX(VLOOKUP(INDEX(英雄装备!$F:$BZ,MATCH($H40,英雄装备!$F:$F,0),MATCH(N$2,英雄装备!$1:$1,0)-5),装备属性!$A:$C,3,0),VLOOKUP(INDEX(英雄装备!$F:$BZ,MATCH($H40,英雄装备!$F:$F,0),MATCH(N$2,英雄装备!$1:$1,0)-4),装备属性!$A:$C,3,0),VLOOKUP(INDEX(英雄装备!$F:$BZ,MATCH($H40,英雄装备!$F:$F,0),MATCH(N$2,英雄装备!$1:$1,0)-3),装备属性!$A:$C,3,0),VLOOKUP(INDEX(英雄装备!$F:$BZ,MATCH($H40,英雄装备!$F:$F,0),MATCH(N$2,英雄装备!$1:$1,0)-2),装备属性!$A:$C,3,0),VLOOKUP(INDEX(英雄装备!$F:$BZ,MATCH($H40,英雄装备!$F:$F,0),MATCH(N$2,英雄装备!$1:$1,0)-1),装备属性!$A:$C,3,0),VLOOKUP(INDEX(英雄装备!$F:$BZ,MATCH($H40,英雄装备!$F:$F,0),MATCH(N$2,英雄装备!$1:$1,0)),装备属性!$A:$C,3,0))</f>
        <v>53</v>
      </c>
      <c r="O40" s="51">
        <f>MAX(VLOOKUP(INDEX(英雄装备!$F:$BZ,MATCH($H40,英雄装备!$F:$F,0),MATCH(O$2,英雄装备!$1:$1,0)-5),装备属性!$A:$C,3,0),VLOOKUP(INDEX(英雄装备!$F:$BZ,MATCH($H40,英雄装备!$F:$F,0),MATCH(O$2,英雄装备!$1:$1,0)-4),装备属性!$A:$C,3,0),VLOOKUP(INDEX(英雄装备!$F:$BZ,MATCH($H40,英雄装备!$F:$F,0),MATCH(O$2,英雄装备!$1:$1,0)-3),装备属性!$A:$C,3,0),VLOOKUP(INDEX(英雄装备!$F:$BZ,MATCH($H40,英雄装备!$F:$F,0),MATCH(O$2,英雄装备!$1:$1,0)-2),装备属性!$A:$C,3,0),VLOOKUP(INDEX(英雄装备!$F:$BZ,MATCH($H40,英雄装备!$F:$F,0),MATCH(O$2,英雄装备!$1:$1,0)-1),装备属性!$A:$C,3,0),VLOOKUP(INDEX(英雄装备!$F:$BZ,MATCH($H40,英雄装备!$F:$F,0),MATCH(O$2,英雄装备!$1:$1,0)),装备属性!$A:$C,3,0))</f>
        <v>63</v>
      </c>
      <c r="P40" s="51">
        <f>MAX(VLOOKUP(INDEX(英雄装备!$F:$BZ,MATCH($H40,英雄装备!$F:$F,0),MATCH(P$2,英雄装备!$1:$1,0)-5),装备属性!$A:$C,3,0),VLOOKUP(INDEX(英雄装备!$F:$BZ,MATCH($H40,英雄装备!$F:$F,0),MATCH(P$2,英雄装备!$1:$1,0)-4),装备属性!$A:$C,3,0),VLOOKUP(INDEX(英雄装备!$F:$BZ,MATCH($H40,英雄装备!$F:$F,0),MATCH(P$2,英雄装备!$1:$1,0)-3),装备属性!$A:$C,3,0),VLOOKUP(INDEX(英雄装备!$F:$BZ,MATCH($H40,英雄装备!$F:$F,0),MATCH(P$2,英雄装备!$1:$1,0)-2),装备属性!$A:$C,3,0),VLOOKUP(INDEX(英雄装备!$F:$BZ,MATCH($H40,英雄装备!$F:$F,0),MATCH(P$2,英雄装备!$1:$1,0)-1),装备属性!$A:$C,3,0),VLOOKUP(INDEX(英雄装备!$F:$BZ,MATCH($H40,英雄装备!$F:$F,0),MATCH(P$2,英雄装备!$1:$1,0)),装备属性!$A:$C,3,0))</f>
        <v>70</v>
      </c>
      <c r="Q40" s="51">
        <f>MAX(VLOOKUP(INDEX(英雄装备!$F:$BZ,MATCH($H40,英雄装备!$F:$F,0),MATCH(Q$2,英雄装备!$1:$1,0)-5),装备属性!$A:$C,3,0),VLOOKUP(INDEX(英雄装备!$F:$BZ,MATCH($H40,英雄装备!$F:$F,0),MATCH(Q$2,英雄装备!$1:$1,0)-4),装备属性!$A:$C,3,0),VLOOKUP(INDEX(英雄装备!$F:$BZ,MATCH($H40,英雄装备!$F:$F,0),MATCH(Q$2,英雄装备!$1:$1,0)-3),装备属性!$A:$C,3,0),VLOOKUP(INDEX(英雄装备!$F:$BZ,MATCH($H40,英雄装备!$F:$F,0),MATCH(Q$2,英雄装备!$1:$1,0)-2),装备属性!$A:$C,3,0),VLOOKUP(INDEX(英雄装备!$F:$BZ,MATCH($H40,英雄装备!$F:$F,0),MATCH(Q$2,英雄装备!$1:$1,0)-1),装备属性!$A:$C,3,0),VLOOKUP(INDEX(英雄装备!$F:$BZ,MATCH($H40,英雄装备!$F:$F,0),MATCH(Q$2,英雄装备!$1:$1,0)),装备属性!$A:$C,3,0))</f>
        <v>78</v>
      </c>
      <c r="R40" s="51">
        <f>MAX(VLOOKUP(INDEX(英雄装备!$F:$BZ,MATCH($H40,英雄装备!$F:$F,0),MATCH(R$2,英雄装备!$1:$1,0)-5),装备属性!$A:$C,3,0),VLOOKUP(INDEX(英雄装备!$F:$BZ,MATCH($H40,英雄装备!$F:$F,0),MATCH(R$2,英雄装备!$1:$1,0)-4),装备属性!$A:$C,3,0),VLOOKUP(INDEX(英雄装备!$F:$BZ,MATCH($H40,英雄装备!$F:$F,0),MATCH(R$2,英雄装备!$1:$1,0)-3),装备属性!$A:$C,3,0),VLOOKUP(INDEX(英雄装备!$F:$BZ,MATCH($H40,英雄装备!$F:$F,0),MATCH(R$2,英雄装备!$1:$1,0)-2),装备属性!$A:$C,3,0),VLOOKUP(INDEX(英雄装备!$F:$BZ,MATCH($H40,英雄装备!$F:$F,0),MATCH(R$2,英雄装备!$1:$1,0)-1),装备属性!$A:$C,3,0),VLOOKUP(INDEX(英雄装备!$F:$BZ,MATCH($H40,英雄装备!$F:$F,0),MATCH(R$2,英雄装备!$1:$1,0)),装备属性!$A:$C,3,0))</f>
        <v>80</v>
      </c>
      <c r="S40" s="51">
        <f>MAX(VLOOKUP(INDEX(英雄装备!$F:$BZ,MATCH($H40,英雄装备!$F:$F,0),MATCH(S$2,英雄装备!$1:$1,0)-5),装备属性!$A:$C,3,0),VLOOKUP(INDEX(英雄装备!$F:$BZ,MATCH($H40,英雄装备!$F:$F,0),MATCH(S$2,英雄装备!$1:$1,0)-4),装备属性!$A:$C,3,0),VLOOKUP(INDEX(英雄装备!$F:$BZ,MATCH($H40,英雄装备!$F:$F,0),MATCH(S$2,英雄装备!$1:$1,0)-3),装备属性!$A:$C,3,0),VLOOKUP(INDEX(英雄装备!$F:$BZ,MATCH($H40,英雄装备!$F:$F,0),MATCH(S$2,英雄装备!$1:$1,0)-2),装备属性!$A:$C,3,0),VLOOKUP(INDEX(英雄装备!$F:$BZ,MATCH($H40,英雄装备!$F:$F,0),MATCH(S$2,英雄装备!$1:$1,0)-1),装备属性!$A:$C,3,0),VLOOKUP(INDEX(英雄装备!$F:$BZ,MATCH($H40,英雄装备!$F:$F,0),MATCH(S$2,英雄装备!$1:$1,0)),装备属性!$A:$C,3,0))</f>
        <v>85</v>
      </c>
      <c r="T40" s="51">
        <f>MAX(VLOOKUP(INDEX(英雄装备!$F:$BZ,MATCH($H40,英雄装备!$F:$F,0),MATCH(T$2,英雄装备!$1:$1,0)-5),装备属性!$A:$C,3,0),VLOOKUP(INDEX(英雄装备!$F:$BZ,MATCH($H40,英雄装备!$F:$F,0),MATCH(T$2,英雄装备!$1:$1,0)-4),装备属性!$A:$C,3,0),VLOOKUP(INDEX(英雄装备!$F:$BZ,MATCH($H40,英雄装备!$F:$F,0),MATCH(T$2,英雄装备!$1:$1,0)-3),装备属性!$A:$C,3,0),VLOOKUP(INDEX(英雄装备!$F:$BZ,MATCH($H40,英雄装备!$F:$F,0),MATCH(T$2,英雄装备!$1:$1,0)-2),装备属性!$A:$C,3,0),VLOOKUP(INDEX(英雄装备!$F:$BZ,MATCH($H40,英雄装备!$F:$F,0),MATCH(T$2,英雄装备!$1:$1,0)-1),装备属性!$A:$C,3,0))</f>
        <v>87</v>
      </c>
      <c r="V40" s="112"/>
      <c r="W40" s="112"/>
      <c r="X40" s="112"/>
      <c r="Y40" s="112"/>
      <c r="Z40" s="112"/>
      <c r="AA40" s="112"/>
      <c r="AB40" s="112"/>
      <c r="AC40" s="112"/>
      <c r="AF40" s="49">
        <v>3</v>
      </c>
      <c r="AG40" s="49" t="str">
        <f>AC3</f>
        <v>鞋</v>
      </c>
      <c r="AH40" s="49">
        <f>VLOOKUP($AG40,装备属性!$A:$Y,5,0)</f>
        <v>5</v>
      </c>
      <c r="AI40" s="49">
        <f>VLOOKUP($AG40,装备属性!$A:$Y,6,0)</f>
        <v>5</v>
      </c>
      <c r="AJ40" s="49">
        <f>VLOOKUP($AG40,装备属性!$A:$Y,7,0)</f>
        <v>5</v>
      </c>
      <c r="AK40" s="49">
        <f>VLOOKUP($AG40,装备属性!$A:$Y,8,0)</f>
        <v>0</v>
      </c>
      <c r="AL40" s="49">
        <f>VLOOKUP($AG40,装备属性!$A:$Y,9,0)</f>
        <v>0</v>
      </c>
      <c r="AM40" s="49">
        <f>VLOOKUP($AG40,装备属性!$A:$Y,10,0)</f>
        <v>0</v>
      </c>
      <c r="AN40" s="49">
        <f>VLOOKUP($AG40,装备属性!$A:$Y,11,0)</f>
        <v>0</v>
      </c>
      <c r="AO40" s="49">
        <f>VLOOKUP($AG40,装备属性!$A:$Y,12,0)</f>
        <v>0</v>
      </c>
      <c r="AP40" s="49">
        <f>VLOOKUP($AG40,装备属性!$A:$Y,13,0)</f>
        <v>0</v>
      </c>
      <c r="AQ40" s="49">
        <f>VLOOKUP($AG40,装备属性!$A:$Y,14,0)</f>
        <v>0</v>
      </c>
      <c r="AR40" s="49">
        <f>VLOOKUP($AG40,装备属性!$A:$Y,15,0)</f>
        <v>0</v>
      </c>
      <c r="AS40" s="49">
        <f>VLOOKUP($AG40,装备属性!$A:$Y,16,0)</f>
        <v>0</v>
      </c>
      <c r="AT40" s="49">
        <f>VLOOKUP($AG40,装备属性!$A:$Y,17,0)</f>
        <v>0</v>
      </c>
      <c r="AU40" s="49">
        <f>VLOOKUP($AG40,装备属性!$A:$Y,18,0)</f>
        <v>0</v>
      </c>
      <c r="AV40" s="49">
        <f>VLOOKUP($AG40,装备属性!$A:$Y,19,0)</f>
        <v>0</v>
      </c>
      <c r="AW40" s="49">
        <f>VLOOKUP($AG40,装备属性!$A:$Y,20,0)</f>
        <v>0</v>
      </c>
      <c r="AX40" s="49">
        <f>VLOOKUP($AG40,装备属性!$A:$Y,21,0)</f>
        <v>0</v>
      </c>
      <c r="AY40" s="49">
        <f>VLOOKUP($AG40,装备属性!$A:$Y,22,0)</f>
        <v>0</v>
      </c>
      <c r="AZ40" s="138">
        <f>VLOOKUP($AG40,装备属性!$A:$Y,23,0)</f>
        <v>0</v>
      </c>
      <c r="BA40" s="138">
        <f>VLOOKUP($AG40,装备属性!$A:$Y,24,0)</f>
        <v>0</v>
      </c>
      <c r="BB40" s="138">
        <f>VLOOKUP($AG40,装备属性!$A:$Y,25,0)</f>
        <v>0</v>
      </c>
    </row>
    <row r="41" spans="2:54">
      <c r="B41" s="49" t="str">
        <f>英雄初始!A42</f>
        <v>死亡先知</v>
      </c>
      <c r="H41" s="54" t="s">
        <v>194</v>
      </c>
      <c r="I41" s="51">
        <f>MAX(VLOOKUP(INDEX(英雄装备!$F:$BZ,MATCH($H41,英雄装备!$F:$F,0),MATCH(I$2,英雄装备!$1:$1,0)-5),装备属性!$A:$C,3,0),VLOOKUP(INDEX(英雄装备!$F:$BZ,MATCH($H41,英雄装备!$F:$F,0),MATCH(I$2,英雄装备!$1:$1,0)-4),装备属性!$A:$C,3,0),VLOOKUP(INDEX(英雄装备!$F:$BZ,MATCH($H41,英雄装备!$F:$F,0),MATCH(I$2,英雄装备!$1:$1,0)-3),装备属性!$A:$C,3,0),VLOOKUP(INDEX(英雄装备!$F:$BZ,MATCH($H41,英雄装备!$F:$F,0),MATCH(I$2,英雄装备!$1:$1,0)-2),装备属性!$A:$C,3,0),VLOOKUP(INDEX(英雄装备!$F:$BZ,MATCH($H41,英雄装备!$F:$F,0),MATCH(I$2,英雄装备!$1:$1,0)-1),装备属性!$A:$C,3,0),VLOOKUP(INDEX(英雄装备!$F:$BZ,MATCH($H41,英雄装备!$F:$F,0),MATCH(I$2,英雄装备!$1:$1,0)),装备属性!$A:$C,3,0))</f>
        <v>2</v>
      </c>
      <c r="J41" s="51">
        <f>MAX(VLOOKUP(INDEX(英雄装备!$F:$BZ,MATCH($H41,英雄装备!$F:$F,0),MATCH(J$2,英雄装备!$1:$1,0)-5),装备属性!$A:$C,3,0),VLOOKUP(INDEX(英雄装备!$F:$BZ,MATCH($H41,英雄装备!$F:$F,0),MATCH(J$2,英雄装备!$1:$1,0)-4),装备属性!$A:$C,3,0),VLOOKUP(INDEX(英雄装备!$F:$BZ,MATCH($H41,英雄装备!$F:$F,0),MATCH(J$2,英雄装备!$1:$1,0)-3),装备属性!$A:$C,3,0),VLOOKUP(INDEX(英雄装备!$F:$BZ,MATCH($H41,英雄装备!$F:$F,0),MATCH(J$2,英雄装备!$1:$1,0)-2),装备属性!$A:$C,3,0),VLOOKUP(INDEX(英雄装备!$F:$BZ,MATCH($H41,英雄装备!$F:$F,0),MATCH(J$2,英雄装备!$1:$1,0)-1),装备属性!$A:$C,3,0),VLOOKUP(INDEX(英雄装备!$F:$BZ,MATCH($H41,英雄装备!$F:$F,0),MATCH(J$2,英雄装备!$1:$1,0)),装备属性!$A:$C,3,0))</f>
        <v>27</v>
      </c>
      <c r="K41" s="51">
        <f>MAX(VLOOKUP(INDEX(英雄装备!$F:$BZ,MATCH($H41,英雄装备!$F:$F,0),MATCH(K$2,英雄装备!$1:$1,0)-5),装备属性!$A:$C,3,0),VLOOKUP(INDEX(英雄装备!$F:$BZ,MATCH($H41,英雄装备!$F:$F,0),MATCH(K$2,英雄装备!$1:$1,0)-4),装备属性!$A:$C,3,0),VLOOKUP(INDEX(英雄装备!$F:$BZ,MATCH($H41,英雄装备!$F:$F,0),MATCH(K$2,英雄装备!$1:$1,0)-3),装备属性!$A:$C,3,0),VLOOKUP(INDEX(英雄装备!$F:$BZ,MATCH($H41,英雄装备!$F:$F,0),MATCH(K$2,英雄装备!$1:$1,0)-2),装备属性!$A:$C,3,0),VLOOKUP(INDEX(英雄装备!$F:$BZ,MATCH($H41,英雄装备!$F:$F,0),MATCH(K$2,英雄装备!$1:$1,0)-1),装备属性!$A:$C,3,0),VLOOKUP(INDEX(英雄装备!$F:$BZ,MATCH($H41,英雄装备!$F:$F,0),MATCH(K$2,英雄装备!$1:$1,0)),装备属性!$A:$C,3,0))</f>
        <v>21</v>
      </c>
      <c r="L41" s="51">
        <f>MAX(VLOOKUP(INDEX(英雄装备!$F:$BZ,MATCH($H41,英雄装备!$F:$F,0),MATCH(L$2,英雄装备!$1:$1,0)-5),装备属性!$A:$C,3,0),VLOOKUP(INDEX(英雄装备!$F:$BZ,MATCH($H41,英雄装备!$F:$F,0),MATCH(L$2,英雄装备!$1:$1,0)-4),装备属性!$A:$C,3,0),VLOOKUP(INDEX(英雄装备!$F:$BZ,MATCH($H41,英雄装备!$F:$F,0),MATCH(L$2,英雄装备!$1:$1,0)-3),装备属性!$A:$C,3,0),VLOOKUP(INDEX(英雄装备!$F:$BZ,MATCH($H41,英雄装备!$F:$F,0),MATCH(L$2,英雄装备!$1:$1,0)-2),装备属性!$A:$C,3,0),VLOOKUP(INDEX(英雄装备!$F:$BZ,MATCH($H41,英雄装备!$F:$F,0),MATCH(L$2,英雄装备!$1:$1,0)-1),装备属性!$A:$C,3,0),VLOOKUP(INDEX(英雄装备!$F:$BZ,MATCH($H41,英雄装备!$F:$F,0),MATCH(L$2,英雄装备!$1:$1,0)),装备属性!$A:$C,3,0))</f>
        <v>35</v>
      </c>
      <c r="M41" s="51">
        <f>MAX(VLOOKUP(INDEX(英雄装备!$F:$BZ,MATCH($H41,英雄装备!$F:$F,0),MATCH(M$2,英雄装备!$1:$1,0)-5),装备属性!$A:$C,3,0),VLOOKUP(INDEX(英雄装备!$F:$BZ,MATCH($H41,英雄装备!$F:$F,0),MATCH(M$2,英雄装备!$1:$1,0)-4),装备属性!$A:$C,3,0),VLOOKUP(INDEX(英雄装备!$F:$BZ,MATCH($H41,英雄装备!$F:$F,0),MATCH(M$2,英雄装备!$1:$1,0)-3),装备属性!$A:$C,3,0),VLOOKUP(INDEX(英雄装备!$F:$BZ,MATCH($H41,英雄装备!$F:$F,0),MATCH(M$2,英雄装备!$1:$1,0)-2),装备属性!$A:$C,3,0),VLOOKUP(INDEX(英雄装备!$F:$BZ,MATCH($H41,英雄装备!$F:$F,0),MATCH(M$2,英雄装备!$1:$1,0)-1),装备属性!$A:$C,3,0),VLOOKUP(INDEX(英雄装备!$F:$BZ,MATCH($H41,英雄装备!$F:$F,0),MATCH(M$2,英雄装备!$1:$1,0)),装备属性!$A:$C,3,0))</f>
        <v>41</v>
      </c>
      <c r="N41" s="51">
        <f>MAX(VLOOKUP(INDEX(英雄装备!$F:$BZ,MATCH($H41,英雄装备!$F:$F,0),MATCH(N$2,英雄装备!$1:$1,0)-5),装备属性!$A:$C,3,0),VLOOKUP(INDEX(英雄装备!$F:$BZ,MATCH($H41,英雄装备!$F:$F,0),MATCH(N$2,英雄装备!$1:$1,0)-4),装备属性!$A:$C,3,0),VLOOKUP(INDEX(英雄装备!$F:$BZ,MATCH($H41,英雄装备!$F:$F,0),MATCH(N$2,英雄装备!$1:$1,0)-3),装备属性!$A:$C,3,0),VLOOKUP(INDEX(英雄装备!$F:$BZ,MATCH($H41,英雄装备!$F:$F,0),MATCH(N$2,英雄装备!$1:$1,0)-2),装备属性!$A:$C,3,0),VLOOKUP(INDEX(英雄装备!$F:$BZ,MATCH($H41,英雄装备!$F:$F,0),MATCH(N$2,英雄装备!$1:$1,0)-1),装备属性!$A:$C,3,0),VLOOKUP(INDEX(英雄装备!$F:$BZ,MATCH($H41,英雄装备!$F:$F,0),MATCH(N$2,英雄装备!$1:$1,0)),装备属性!$A:$C,3,0))</f>
        <v>53</v>
      </c>
      <c r="O41" s="51">
        <f>MAX(VLOOKUP(INDEX(英雄装备!$F:$BZ,MATCH($H41,英雄装备!$F:$F,0),MATCH(O$2,英雄装备!$1:$1,0)-5),装备属性!$A:$C,3,0),VLOOKUP(INDEX(英雄装备!$F:$BZ,MATCH($H41,英雄装备!$F:$F,0),MATCH(O$2,英雄装备!$1:$1,0)-4),装备属性!$A:$C,3,0),VLOOKUP(INDEX(英雄装备!$F:$BZ,MATCH($H41,英雄装备!$F:$F,0),MATCH(O$2,英雄装备!$1:$1,0)-3),装备属性!$A:$C,3,0),VLOOKUP(INDEX(英雄装备!$F:$BZ,MATCH($H41,英雄装备!$F:$F,0),MATCH(O$2,英雄装备!$1:$1,0)-2),装备属性!$A:$C,3,0),VLOOKUP(INDEX(英雄装备!$F:$BZ,MATCH($H41,英雄装备!$F:$F,0),MATCH(O$2,英雄装备!$1:$1,0)-1),装备属性!$A:$C,3,0),VLOOKUP(INDEX(英雄装备!$F:$BZ,MATCH($H41,英雄装备!$F:$F,0),MATCH(O$2,英雄装备!$1:$1,0)),装备属性!$A:$C,3,0))</f>
        <v>62</v>
      </c>
      <c r="P41" s="51">
        <f>MAX(VLOOKUP(INDEX(英雄装备!$F:$BZ,MATCH($H41,英雄装备!$F:$F,0),MATCH(P$2,英雄装备!$1:$1,0)-5),装备属性!$A:$C,3,0),VLOOKUP(INDEX(英雄装备!$F:$BZ,MATCH($H41,英雄装备!$F:$F,0),MATCH(P$2,英雄装备!$1:$1,0)-4),装备属性!$A:$C,3,0),VLOOKUP(INDEX(英雄装备!$F:$BZ,MATCH($H41,英雄装备!$F:$F,0),MATCH(P$2,英雄装备!$1:$1,0)-3),装备属性!$A:$C,3,0),VLOOKUP(INDEX(英雄装备!$F:$BZ,MATCH($H41,英雄装备!$F:$F,0),MATCH(P$2,英雄装备!$1:$1,0)-2),装备属性!$A:$C,3,0),VLOOKUP(INDEX(英雄装备!$F:$BZ,MATCH($H41,英雄装备!$F:$F,0),MATCH(P$2,英雄装备!$1:$1,0)-1),装备属性!$A:$C,3,0),VLOOKUP(INDEX(英雄装备!$F:$BZ,MATCH($H41,英雄装备!$F:$F,0),MATCH(P$2,英雄装备!$1:$1,0)),装备属性!$A:$C,3,0))</f>
        <v>72</v>
      </c>
      <c r="Q41" s="51">
        <f>MAX(VLOOKUP(INDEX(英雄装备!$F:$BZ,MATCH($H41,英雄装备!$F:$F,0),MATCH(Q$2,英雄装备!$1:$1,0)-5),装备属性!$A:$C,3,0),VLOOKUP(INDEX(英雄装备!$F:$BZ,MATCH($H41,英雄装备!$F:$F,0),MATCH(Q$2,英雄装备!$1:$1,0)-4),装备属性!$A:$C,3,0),VLOOKUP(INDEX(英雄装备!$F:$BZ,MATCH($H41,英雄装备!$F:$F,0),MATCH(Q$2,英雄装备!$1:$1,0)-3),装备属性!$A:$C,3,0),VLOOKUP(INDEX(英雄装备!$F:$BZ,MATCH($H41,英雄装备!$F:$F,0),MATCH(Q$2,英雄装备!$1:$1,0)-2),装备属性!$A:$C,3,0),VLOOKUP(INDEX(英雄装备!$F:$BZ,MATCH($H41,英雄装备!$F:$F,0),MATCH(Q$2,英雄装备!$1:$1,0)-1),装备属性!$A:$C,3,0),VLOOKUP(INDEX(英雄装备!$F:$BZ,MATCH($H41,英雄装备!$F:$F,0),MATCH(Q$2,英雄装备!$1:$1,0)),装备属性!$A:$C,3,0))</f>
        <v>78</v>
      </c>
      <c r="R41" s="51">
        <f>MAX(VLOOKUP(INDEX(英雄装备!$F:$BZ,MATCH($H41,英雄装备!$F:$F,0),MATCH(R$2,英雄装备!$1:$1,0)-5),装备属性!$A:$C,3,0),VLOOKUP(INDEX(英雄装备!$F:$BZ,MATCH($H41,英雄装备!$F:$F,0),MATCH(R$2,英雄装备!$1:$1,0)-4),装备属性!$A:$C,3,0),VLOOKUP(INDEX(英雄装备!$F:$BZ,MATCH($H41,英雄装备!$F:$F,0),MATCH(R$2,英雄装备!$1:$1,0)-3),装备属性!$A:$C,3,0),VLOOKUP(INDEX(英雄装备!$F:$BZ,MATCH($H41,英雄装备!$F:$F,0),MATCH(R$2,英雄装备!$1:$1,0)-2),装备属性!$A:$C,3,0),VLOOKUP(INDEX(英雄装备!$F:$BZ,MATCH($H41,英雄装备!$F:$F,0),MATCH(R$2,英雄装备!$1:$1,0)-1),装备属性!$A:$C,3,0),VLOOKUP(INDEX(英雄装备!$F:$BZ,MATCH($H41,英雄装备!$F:$F,0),MATCH(R$2,英雄装备!$1:$1,0)),装备属性!$A:$C,3,0))</f>
        <v>80</v>
      </c>
      <c r="S41" s="51">
        <f>MAX(VLOOKUP(INDEX(英雄装备!$F:$BZ,MATCH($H41,英雄装备!$F:$F,0),MATCH(S$2,英雄装备!$1:$1,0)-5),装备属性!$A:$C,3,0),VLOOKUP(INDEX(英雄装备!$F:$BZ,MATCH($H41,英雄装备!$F:$F,0),MATCH(S$2,英雄装备!$1:$1,0)-4),装备属性!$A:$C,3,0),VLOOKUP(INDEX(英雄装备!$F:$BZ,MATCH($H41,英雄装备!$F:$F,0),MATCH(S$2,英雄装备!$1:$1,0)-3),装备属性!$A:$C,3,0),VLOOKUP(INDEX(英雄装备!$F:$BZ,MATCH($H41,英雄装备!$F:$F,0),MATCH(S$2,英雄装备!$1:$1,0)-2),装备属性!$A:$C,3,0),VLOOKUP(INDEX(英雄装备!$F:$BZ,MATCH($H41,英雄装备!$F:$F,0),MATCH(S$2,英雄装备!$1:$1,0)-1),装备属性!$A:$C,3,0),VLOOKUP(INDEX(英雄装备!$F:$BZ,MATCH($H41,英雄装备!$F:$F,0),MATCH(S$2,英雄装备!$1:$1,0)),装备属性!$A:$C,3,0))</f>
        <v>84</v>
      </c>
      <c r="T41" s="51">
        <f>MAX(VLOOKUP(INDEX(英雄装备!$F:$BZ,MATCH($H41,英雄装备!$F:$F,0),MATCH(T$2,英雄装备!$1:$1,0)-5),装备属性!$A:$C,3,0),VLOOKUP(INDEX(英雄装备!$F:$BZ,MATCH($H41,英雄装备!$F:$F,0),MATCH(T$2,英雄装备!$1:$1,0)-4),装备属性!$A:$C,3,0),VLOOKUP(INDEX(英雄装备!$F:$BZ,MATCH($H41,英雄装备!$F:$F,0),MATCH(T$2,英雄装备!$1:$1,0)-3),装备属性!$A:$C,3,0),VLOOKUP(INDEX(英雄装备!$F:$BZ,MATCH($H41,英雄装备!$F:$F,0),MATCH(T$2,英雄装备!$1:$1,0)-2),装备属性!$A:$C,3,0),VLOOKUP(INDEX(英雄装备!$F:$BZ,MATCH($H41,英雄装备!$F:$F,0),MATCH(T$2,英雄装备!$1:$1,0)-1),装备属性!$A:$C,3,0))</f>
        <v>87</v>
      </c>
      <c r="V41" s="48" t="s">
        <v>1082</v>
      </c>
      <c r="AF41" s="49">
        <v>4</v>
      </c>
      <c r="AG41" s="49" t="str">
        <f>X4</f>
        <v>散华</v>
      </c>
      <c r="AH41" s="49">
        <f>VLOOKUP($AG41,装备属性!$A:$Y,5,0)</f>
        <v>16</v>
      </c>
      <c r="AI41" s="49">
        <f>VLOOKUP($AG41,装备属性!$A:$Y,6,0)</f>
        <v>0</v>
      </c>
      <c r="AJ41" s="49">
        <f>VLOOKUP($AG41,装备属性!$A:$Y,7,0)</f>
        <v>0</v>
      </c>
      <c r="AK41" s="49">
        <f>VLOOKUP($AG41,装备属性!$A:$Y,8,0)</f>
        <v>0</v>
      </c>
      <c r="AL41" s="49">
        <f>VLOOKUP($AG41,装备属性!$A:$Y,9,0)</f>
        <v>10</v>
      </c>
      <c r="AM41" s="49">
        <f>VLOOKUP($AG41,装备属性!$A:$Y,10,0)</f>
        <v>0</v>
      </c>
      <c r="AN41" s="49">
        <f>VLOOKUP($AG41,装备属性!$A:$Y,11,0)</f>
        <v>0</v>
      </c>
      <c r="AO41" s="49">
        <f>VLOOKUP($AG41,装备属性!$A:$Y,12,0)</f>
        <v>0</v>
      </c>
      <c r="AP41" s="49">
        <f>VLOOKUP($AG41,装备属性!$A:$Y,13,0)</f>
        <v>0</v>
      </c>
      <c r="AQ41" s="49">
        <f>VLOOKUP($AG41,装备属性!$A:$Y,14,0)</f>
        <v>0</v>
      </c>
      <c r="AR41" s="49">
        <f>VLOOKUP($AG41,装备属性!$A:$Y,15,0)</f>
        <v>0</v>
      </c>
      <c r="AS41" s="49">
        <f>VLOOKUP($AG41,装备属性!$A:$Y,16,0)</f>
        <v>0</v>
      </c>
      <c r="AT41" s="49">
        <f>VLOOKUP($AG41,装备属性!$A:$Y,17,0)</f>
        <v>0</v>
      </c>
      <c r="AU41" s="49">
        <f>VLOOKUP($AG41,装备属性!$A:$Y,18,0)</f>
        <v>0</v>
      </c>
      <c r="AV41" s="49">
        <f>VLOOKUP($AG41,装备属性!$A:$Y,19,0)</f>
        <v>0</v>
      </c>
      <c r="AW41" s="49">
        <f>VLOOKUP($AG41,装备属性!$A:$Y,20,0)</f>
        <v>0</v>
      </c>
      <c r="AX41" s="49">
        <f>VLOOKUP($AG41,装备属性!$A:$Y,21,0)</f>
        <v>0</v>
      </c>
      <c r="AY41" s="49">
        <f>VLOOKUP($AG41,装备属性!$A:$Y,22,0)</f>
        <v>0</v>
      </c>
      <c r="AZ41" s="138">
        <f>VLOOKUP($AG41,装备属性!$A:$Y,23,0)</f>
        <v>0</v>
      </c>
      <c r="BA41" s="138">
        <f>VLOOKUP($AG41,装备属性!$A:$Y,24,0)</f>
        <v>0</v>
      </c>
      <c r="BB41" s="138">
        <f>VLOOKUP($AG41,装备属性!$A:$Y,25,0)</f>
        <v>0</v>
      </c>
    </row>
    <row r="42" spans="2:54">
      <c r="B42" s="49" t="str">
        <f>英雄初始!A43</f>
        <v>痛苦女王</v>
      </c>
      <c r="H42" s="54" t="s">
        <v>195</v>
      </c>
      <c r="I42" s="51">
        <f>MAX(VLOOKUP(INDEX(英雄装备!$F:$BZ,MATCH($H42,英雄装备!$F:$F,0),MATCH(I$2,英雄装备!$1:$1,0)-5),装备属性!$A:$C,3,0),VLOOKUP(INDEX(英雄装备!$F:$BZ,MATCH($H42,英雄装备!$F:$F,0),MATCH(I$2,英雄装备!$1:$1,0)-4),装备属性!$A:$C,3,0),VLOOKUP(INDEX(英雄装备!$F:$BZ,MATCH($H42,英雄装备!$F:$F,0),MATCH(I$2,英雄装备!$1:$1,0)-3),装备属性!$A:$C,3,0),VLOOKUP(INDEX(英雄装备!$F:$BZ,MATCH($H42,英雄装备!$F:$F,0),MATCH(I$2,英雄装备!$1:$1,0)-2),装备属性!$A:$C,3,0),VLOOKUP(INDEX(英雄装备!$F:$BZ,MATCH($H42,英雄装备!$F:$F,0),MATCH(I$2,英雄装备!$1:$1,0)-1),装备属性!$A:$C,3,0),VLOOKUP(INDEX(英雄装备!$F:$BZ,MATCH($H42,英雄装备!$F:$F,0),MATCH(I$2,英雄装备!$1:$1,0)),装备属性!$A:$C,3,0))</f>
        <v>2</v>
      </c>
      <c r="J42" s="51">
        <f>MAX(VLOOKUP(INDEX(英雄装备!$F:$BZ,MATCH($H42,英雄装备!$F:$F,0),MATCH(J$2,英雄装备!$1:$1,0)-5),装备属性!$A:$C,3,0),VLOOKUP(INDEX(英雄装备!$F:$BZ,MATCH($H42,英雄装备!$F:$F,0),MATCH(J$2,英雄装备!$1:$1,0)-4),装备属性!$A:$C,3,0),VLOOKUP(INDEX(英雄装备!$F:$BZ,MATCH($H42,英雄装备!$F:$F,0),MATCH(J$2,英雄装备!$1:$1,0)-3),装备属性!$A:$C,3,0),VLOOKUP(INDEX(英雄装备!$F:$BZ,MATCH($H42,英雄装备!$F:$F,0),MATCH(J$2,英雄装备!$1:$1,0)-2),装备属性!$A:$C,3,0),VLOOKUP(INDEX(英雄装备!$F:$BZ,MATCH($H42,英雄装备!$F:$F,0),MATCH(J$2,英雄装备!$1:$1,0)-1),装备属性!$A:$C,3,0),VLOOKUP(INDEX(英雄装备!$F:$BZ,MATCH($H42,英雄装备!$F:$F,0),MATCH(J$2,英雄装备!$1:$1,0)),装备属性!$A:$C,3,0))</f>
        <v>10</v>
      </c>
      <c r="K42" s="51">
        <f>MAX(VLOOKUP(INDEX(英雄装备!$F:$BZ,MATCH($H42,英雄装备!$F:$F,0),MATCH(K$2,英雄装备!$1:$1,0)-5),装备属性!$A:$C,3,0),VLOOKUP(INDEX(英雄装备!$F:$BZ,MATCH($H42,英雄装备!$F:$F,0),MATCH(K$2,英雄装备!$1:$1,0)-4),装备属性!$A:$C,3,0),VLOOKUP(INDEX(英雄装备!$F:$BZ,MATCH($H42,英雄装备!$F:$F,0),MATCH(K$2,英雄装备!$1:$1,0)-3),装备属性!$A:$C,3,0),VLOOKUP(INDEX(英雄装备!$F:$BZ,MATCH($H42,英雄装备!$F:$F,0),MATCH(K$2,英雄装备!$1:$1,0)-2),装备属性!$A:$C,3,0),VLOOKUP(INDEX(英雄装备!$F:$BZ,MATCH($H42,英雄装备!$F:$F,0),MATCH(K$2,英雄装备!$1:$1,0)-1),装备属性!$A:$C,3,0),VLOOKUP(INDEX(英雄装备!$F:$BZ,MATCH($H42,英雄装备!$F:$F,0),MATCH(K$2,英雄装备!$1:$1,0)),装备属性!$A:$C,3,0))</f>
        <v>21</v>
      </c>
      <c r="L42" s="51">
        <f>MAX(VLOOKUP(INDEX(英雄装备!$F:$BZ,MATCH($H42,英雄装备!$F:$F,0),MATCH(L$2,英雄装备!$1:$1,0)-5),装备属性!$A:$C,3,0),VLOOKUP(INDEX(英雄装备!$F:$BZ,MATCH($H42,英雄装备!$F:$F,0),MATCH(L$2,英雄装备!$1:$1,0)-4),装备属性!$A:$C,3,0),VLOOKUP(INDEX(英雄装备!$F:$BZ,MATCH($H42,英雄装备!$F:$F,0),MATCH(L$2,英雄装备!$1:$1,0)-3),装备属性!$A:$C,3,0),VLOOKUP(INDEX(英雄装备!$F:$BZ,MATCH($H42,英雄装备!$F:$F,0),MATCH(L$2,英雄装备!$1:$1,0)-2),装备属性!$A:$C,3,0),VLOOKUP(INDEX(英雄装备!$F:$BZ,MATCH($H42,英雄装备!$F:$F,0),MATCH(L$2,英雄装备!$1:$1,0)-1),装备属性!$A:$C,3,0),VLOOKUP(INDEX(英雄装备!$F:$BZ,MATCH($H42,英雄装备!$F:$F,0),MATCH(L$2,英雄装备!$1:$1,0)),装备属性!$A:$C,3,0))</f>
        <v>35</v>
      </c>
      <c r="M42" s="51">
        <f>MAX(VLOOKUP(INDEX(英雄装备!$F:$BZ,MATCH($H42,英雄装备!$F:$F,0),MATCH(M$2,英雄装备!$1:$1,0)-5),装备属性!$A:$C,3,0),VLOOKUP(INDEX(英雄装备!$F:$BZ,MATCH($H42,英雄装备!$F:$F,0),MATCH(M$2,英雄装备!$1:$1,0)-4),装备属性!$A:$C,3,0),VLOOKUP(INDEX(英雄装备!$F:$BZ,MATCH($H42,英雄装备!$F:$F,0),MATCH(M$2,英雄装备!$1:$1,0)-3),装备属性!$A:$C,3,0),VLOOKUP(INDEX(英雄装备!$F:$BZ,MATCH($H42,英雄装备!$F:$F,0),MATCH(M$2,英雄装备!$1:$1,0)-2),装备属性!$A:$C,3,0),VLOOKUP(INDEX(英雄装备!$F:$BZ,MATCH($H42,英雄装备!$F:$F,0),MATCH(M$2,英雄装备!$1:$1,0)-1),装备属性!$A:$C,3,0),VLOOKUP(INDEX(英雄装备!$F:$BZ,MATCH($H42,英雄装备!$F:$F,0),MATCH(M$2,英雄装备!$1:$1,0)),装备属性!$A:$C,3,0))</f>
        <v>43</v>
      </c>
      <c r="N42" s="51">
        <f>MAX(VLOOKUP(INDEX(英雄装备!$F:$BZ,MATCH($H42,英雄装备!$F:$F,0),MATCH(N$2,英雄装备!$1:$1,0)-5),装备属性!$A:$C,3,0),VLOOKUP(INDEX(英雄装备!$F:$BZ,MATCH($H42,英雄装备!$F:$F,0),MATCH(N$2,英雄装备!$1:$1,0)-4),装备属性!$A:$C,3,0),VLOOKUP(INDEX(英雄装备!$F:$BZ,MATCH($H42,英雄装备!$F:$F,0),MATCH(N$2,英雄装备!$1:$1,0)-3),装备属性!$A:$C,3,0),VLOOKUP(INDEX(英雄装备!$F:$BZ,MATCH($H42,英雄装备!$F:$F,0),MATCH(N$2,英雄装备!$1:$1,0)-2),装备属性!$A:$C,3,0),VLOOKUP(INDEX(英雄装备!$F:$BZ,MATCH($H42,英雄装备!$F:$F,0),MATCH(N$2,英雄装备!$1:$1,0)-1),装备属性!$A:$C,3,0),VLOOKUP(INDEX(英雄装备!$F:$BZ,MATCH($H42,英雄装备!$F:$F,0),MATCH(N$2,英雄装备!$1:$1,0)),装备属性!$A:$C,3,0))</f>
        <v>53</v>
      </c>
      <c r="O42" s="51">
        <f>MAX(VLOOKUP(INDEX(英雄装备!$F:$BZ,MATCH($H42,英雄装备!$F:$F,0),MATCH(O$2,英雄装备!$1:$1,0)-5),装备属性!$A:$C,3,0),VLOOKUP(INDEX(英雄装备!$F:$BZ,MATCH($H42,英雄装备!$F:$F,0),MATCH(O$2,英雄装备!$1:$1,0)-4),装备属性!$A:$C,3,0),VLOOKUP(INDEX(英雄装备!$F:$BZ,MATCH($H42,英雄装备!$F:$F,0),MATCH(O$2,英雄装备!$1:$1,0)-3),装备属性!$A:$C,3,0),VLOOKUP(INDEX(英雄装备!$F:$BZ,MATCH($H42,英雄装备!$F:$F,0),MATCH(O$2,英雄装备!$1:$1,0)-2),装备属性!$A:$C,3,0),VLOOKUP(INDEX(英雄装备!$F:$BZ,MATCH($H42,英雄装备!$F:$F,0),MATCH(O$2,英雄装备!$1:$1,0)-1),装备属性!$A:$C,3,0),VLOOKUP(INDEX(英雄装备!$F:$BZ,MATCH($H42,英雄装备!$F:$F,0),MATCH(O$2,英雄装备!$1:$1,0)),装备属性!$A:$C,3,0))</f>
        <v>60</v>
      </c>
      <c r="P42" s="51">
        <f>MAX(VLOOKUP(INDEX(英雄装备!$F:$BZ,MATCH($H42,英雄装备!$F:$F,0),MATCH(P$2,英雄装备!$1:$1,0)-5),装备属性!$A:$C,3,0),VLOOKUP(INDEX(英雄装备!$F:$BZ,MATCH($H42,英雄装备!$F:$F,0),MATCH(P$2,英雄装备!$1:$1,0)-4),装备属性!$A:$C,3,0),VLOOKUP(INDEX(英雄装备!$F:$BZ,MATCH($H42,英雄装备!$F:$F,0),MATCH(P$2,英雄装备!$1:$1,0)-3),装备属性!$A:$C,3,0),VLOOKUP(INDEX(英雄装备!$F:$BZ,MATCH($H42,英雄装备!$F:$F,0),MATCH(P$2,英雄装备!$1:$1,0)-2),装备属性!$A:$C,3,0),VLOOKUP(INDEX(英雄装备!$F:$BZ,MATCH($H42,英雄装备!$F:$F,0),MATCH(P$2,英雄装备!$1:$1,0)-1),装备属性!$A:$C,3,0),VLOOKUP(INDEX(英雄装备!$F:$BZ,MATCH($H42,英雄装备!$F:$F,0),MATCH(P$2,英雄装备!$1:$1,0)),装备属性!$A:$C,3,0))</f>
        <v>70</v>
      </c>
      <c r="Q42" s="51">
        <f>MAX(VLOOKUP(INDEX(英雄装备!$F:$BZ,MATCH($H42,英雄装备!$F:$F,0),MATCH(Q$2,英雄装备!$1:$1,0)-5),装备属性!$A:$C,3,0),VLOOKUP(INDEX(英雄装备!$F:$BZ,MATCH($H42,英雄装备!$F:$F,0),MATCH(Q$2,英雄装备!$1:$1,0)-4),装备属性!$A:$C,3,0),VLOOKUP(INDEX(英雄装备!$F:$BZ,MATCH($H42,英雄装备!$F:$F,0),MATCH(Q$2,英雄装备!$1:$1,0)-3),装备属性!$A:$C,3,0),VLOOKUP(INDEX(英雄装备!$F:$BZ,MATCH($H42,英雄装备!$F:$F,0),MATCH(Q$2,英雄装备!$1:$1,0)-2),装备属性!$A:$C,3,0),VLOOKUP(INDEX(英雄装备!$F:$BZ,MATCH($H42,英雄装备!$F:$F,0),MATCH(Q$2,英雄装备!$1:$1,0)-1),装备属性!$A:$C,3,0),VLOOKUP(INDEX(英雄装备!$F:$BZ,MATCH($H42,英雄装备!$F:$F,0),MATCH(Q$2,英雄装备!$1:$1,0)),装备属性!$A:$C,3,0))</f>
        <v>78</v>
      </c>
      <c r="R42" s="51">
        <f>MAX(VLOOKUP(INDEX(英雄装备!$F:$BZ,MATCH($H42,英雄装备!$F:$F,0),MATCH(R$2,英雄装备!$1:$1,0)-5),装备属性!$A:$C,3,0),VLOOKUP(INDEX(英雄装备!$F:$BZ,MATCH($H42,英雄装备!$F:$F,0),MATCH(R$2,英雄装备!$1:$1,0)-4),装备属性!$A:$C,3,0),VLOOKUP(INDEX(英雄装备!$F:$BZ,MATCH($H42,英雄装备!$F:$F,0),MATCH(R$2,英雄装备!$1:$1,0)-3),装备属性!$A:$C,3,0),VLOOKUP(INDEX(英雄装备!$F:$BZ,MATCH($H42,英雄装备!$F:$F,0),MATCH(R$2,英雄装备!$1:$1,0)-2),装备属性!$A:$C,3,0),VLOOKUP(INDEX(英雄装备!$F:$BZ,MATCH($H42,英雄装备!$F:$F,0),MATCH(R$2,英雄装备!$1:$1,0)-1),装备属性!$A:$C,3,0),VLOOKUP(INDEX(英雄装备!$F:$BZ,MATCH($H42,英雄装备!$F:$F,0),MATCH(R$2,英雄装备!$1:$1,0)),装备属性!$A:$C,3,0))</f>
        <v>80</v>
      </c>
      <c r="S42" s="51">
        <f>MAX(VLOOKUP(INDEX(英雄装备!$F:$BZ,MATCH($H42,英雄装备!$F:$F,0),MATCH(S$2,英雄装备!$1:$1,0)-5),装备属性!$A:$C,3,0),VLOOKUP(INDEX(英雄装备!$F:$BZ,MATCH($H42,英雄装备!$F:$F,0),MATCH(S$2,英雄装备!$1:$1,0)-4),装备属性!$A:$C,3,0),VLOOKUP(INDEX(英雄装备!$F:$BZ,MATCH($H42,英雄装备!$F:$F,0),MATCH(S$2,英雄装备!$1:$1,0)-3),装备属性!$A:$C,3,0),VLOOKUP(INDEX(英雄装备!$F:$BZ,MATCH($H42,英雄装备!$F:$F,0),MATCH(S$2,英雄装备!$1:$1,0)-2),装备属性!$A:$C,3,0),VLOOKUP(INDEX(英雄装备!$F:$BZ,MATCH($H42,英雄装备!$F:$F,0),MATCH(S$2,英雄装备!$1:$1,0)-1),装备属性!$A:$C,3,0),VLOOKUP(INDEX(英雄装备!$F:$BZ,MATCH($H42,英雄装备!$F:$F,0),MATCH(S$2,英雄装备!$1:$1,0)),装备属性!$A:$C,3,0))</f>
        <v>84</v>
      </c>
      <c r="T42" s="51">
        <f>MAX(VLOOKUP(INDEX(英雄装备!$F:$BZ,MATCH($H42,英雄装备!$F:$F,0),MATCH(T$2,英雄装备!$1:$1,0)-5),装备属性!$A:$C,3,0),VLOOKUP(INDEX(英雄装备!$F:$BZ,MATCH($H42,英雄装备!$F:$F,0),MATCH(T$2,英雄装备!$1:$1,0)-4),装备属性!$A:$C,3,0),VLOOKUP(INDEX(英雄装备!$F:$BZ,MATCH($H42,英雄装备!$F:$F,0),MATCH(T$2,英雄装备!$1:$1,0)-3),装备属性!$A:$C,3,0),VLOOKUP(INDEX(英雄装备!$F:$BZ,MATCH($H42,英雄装备!$F:$F,0),MATCH(T$2,英雄装备!$1:$1,0)-2),装备属性!$A:$C,3,0),VLOOKUP(INDEX(英雄装备!$F:$BZ,MATCH($H42,英雄装备!$F:$F,0),MATCH(T$2,英雄装备!$1:$1,0)-1),装备属性!$A:$C,3,0))</f>
        <v>87</v>
      </c>
      <c r="V42" s="49">
        <v>1</v>
      </c>
      <c r="W42" s="49" t="str">
        <f>IF($V$2&lt;1,"","白")</f>
        <v>白</v>
      </c>
      <c r="X42" s="49" t="str">
        <f>IF(AND(X27=TRUE,$W42&lt;&gt;""),X1,"")</f>
        <v>树枝</v>
      </c>
      <c r="Y42" s="150" t="str">
        <f t="shared" ref="Y42:AC42" si="16">IF(AND(Y27=TRUE,$W42&lt;&gt;""),Y1,"")</f>
        <v>敏捷丝袜</v>
      </c>
      <c r="Z42" s="150" t="str">
        <f t="shared" si="16"/>
        <v>贵族头环</v>
      </c>
      <c r="AA42" s="150" t="str">
        <f t="shared" si="16"/>
        <v>补刀斧</v>
      </c>
      <c r="AB42" s="150" t="str">
        <f t="shared" si="16"/>
        <v>小圆盾</v>
      </c>
      <c r="AC42" s="150" t="str">
        <f t="shared" si="16"/>
        <v>防御指环</v>
      </c>
      <c r="AF42" s="49">
        <v>4</v>
      </c>
      <c r="AG42" s="49" t="str">
        <f>Y4</f>
        <v>蓝杖</v>
      </c>
      <c r="AH42" s="49">
        <f>VLOOKUP($AG42,装备属性!$A:$Y,5,0)</f>
        <v>10</v>
      </c>
      <c r="AI42" s="49">
        <f>VLOOKUP($AG42,装备属性!$A:$Y,6,0)</f>
        <v>10</v>
      </c>
      <c r="AJ42" s="49">
        <f>VLOOKUP($AG42,装备属性!$A:$Y,7,0)</f>
        <v>10</v>
      </c>
      <c r="AK42" s="49">
        <f>VLOOKUP($AG42,装备属性!$A:$Y,8,0)</f>
        <v>200</v>
      </c>
      <c r="AL42" s="49">
        <f>VLOOKUP($AG42,装备属性!$A:$Y,9,0)</f>
        <v>0</v>
      </c>
      <c r="AM42" s="49">
        <f>VLOOKUP($AG42,装备属性!$A:$Y,10,0)</f>
        <v>0</v>
      </c>
      <c r="AN42" s="49">
        <f>VLOOKUP($AG42,装备属性!$A:$Y,11,0)</f>
        <v>0</v>
      </c>
      <c r="AO42" s="49">
        <f>VLOOKUP($AG42,装备属性!$A:$Y,12,0)</f>
        <v>0</v>
      </c>
      <c r="AP42" s="49">
        <f>VLOOKUP($AG42,装备属性!$A:$Y,13,0)</f>
        <v>0</v>
      </c>
      <c r="AQ42" s="49">
        <f>VLOOKUP($AG42,装备属性!$A:$Y,14,0)</f>
        <v>0</v>
      </c>
      <c r="AR42" s="49">
        <f>VLOOKUP($AG42,装备属性!$A:$Y,15,0)</f>
        <v>10</v>
      </c>
      <c r="AS42" s="49">
        <f>VLOOKUP($AG42,装备属性!$A:$Y,16,0)</f>
        <v>0</v>
      </c>
      <c r="AT42" s="49">
        <f>VLOOKUP($AG42,装备属性!$A:$Y,17,0)</f>
        <v>0</v>
      </c>
      <c r="AU42" s="49">
        <f>VLOOKUP($AG42,装备属性!$A:$Y,18,0)</f>
        <v>0</v>
      </c>
      <c r="AV42" s="49">
        <f>VLOOKUP($AG42,装备属性!$A:$Y,19,0)</f>
        <v>0</v>
      </c>
      <c r="AW42" s="49">
        <f>VLOOKUP($AG42,装备属性!$A:$Y,20,0)</f>
        <v>0</v>
      </c>
      <c r="AX42" s="49">
        <f>VLOOKUP($AG42,装备属性!$A:$Y,21,0)</f>
        <v>0</v>
      </c>
      <c r="AY42" s="49">
        <f>VLOOKUP($AG42,装备属性!$A:$Y,22,0)</f>
        <v>0</v>
      </c>
      <c r="AZ42" s="138">
        <f>VLOOKUP($AG42,装备属性!$A:$Y,23,0)</f>
        <v>0</v>
      </c>
      <c r="BA42" s="138">
        <f>VLOOKUP($AG42,装备属性!$A:$Y,24,0)</f>
        <v>0</v>
      </c>
      <c r="BB42" s="138">
        <f>VLOOKUP($AG42,装备属性!$A:$Y,25,0)</f>
        <v>0</v>
      </c>
    </row>
    <row r="43" spans="2:54">
      <c r="B43" s="49" t="str">
        <f>英雄初始!A44</f>
        <v>巫妖</v>
      </c>
      <c r="H43" s="54" t="s">
        <v>196</v>
      </c>
      <c r="I43" s="51">
        <f>MAX(VLOOKUP(INDEX(英雄装备!$F:$BZ,MATCH($H43,英雄装备!$F:$F,0),MATCH(I$2,英雄装备!$1:$1,0)-5),装备属性!$A:$C,3,0),VLOOKUP(INDEX(英雄装备!$F:$BZ,MATCH($H43,英雄装备!$F:$F,0),MATCH(I$2,英雄装备!$1:$1,0)-4),装备属性!$A:$C,3,0),VLOOKUP(INDEX(英雄装备!$F:$BZ,MATCH($H43,英雄装备!$F:$F,0),MATCH(I$2,英雄装备!$1:$1,0)-3),装备属性!$A:$C,3,0),VLOOKUP(INDEX(英雄装备!$F:$BZ,MATCH($H43,英雄装备!$F:$F,0),MATCH(I$2,英雄装备!$1:$1,0)-2),装备属性!$A:$C,3,0),VLOOKUP(INDEX(英雄装备!$F:$BZ,MATCH($H43,英雄装备!$F:$F,0),MATCH(I$2,英雄装备!$1:$1,0)-1),装备属性!$A:$C,3,0),VLOOKUP(INDEX(英雄装备!$F:$BZ,MATCH($H43,英雄装备!$F:$F,0),MATCH(I$2,英雄装备!$1:$1,0)),装备属性!$A:$C,3,0))</f>
        <v>2</v>
      </c>
      <c r="J43" s="51">
        <f>MAX(VLOOKUP(INDEX(英雄装备!$F:$BZ,MATCH($H43,英雄装备!$F:$F,0),MATCH(J$2,英雄装备!$1:$1,0)-5),装备属性!$A:$C,3,0),VLOOKUP(INDEX(英雄装备!$F:$BZ,MATCH($H43,英雄装备!$F:$F,0),MATCH(J$2,英雄装备!$1:$1,0)-4),装备属性!$A:$C,3,0),VLOOKUP(INDEX(英雄装备!$F:$BZ,MATCH($H43,英雄装备!$F:$F,0),MATCH(J$2,英雄装备!$1:$1,0)-3),装备属性!$A:$C,3,0),VLOOKUP(INDEX(英雄装备!$F:$BZ,MATCH($H43,英雄装备!$F:$F,0),MATCH(J$2,英雄装备!$1:$1,0)-2),装备属性!$A:$C,3,0),VLOOKUP(INDEX(英雄装备!$F:$BZ,MATCH($H43,英雄装备!$F:$F,0),MATCH(J$2,英雄装备!$1:$1,0)-1),装备属性!$A:$C,3,0),VLOOKUP(INDEX(英雄装备!$F:$BZ,MATCH($H43,英雄装备!$F:$F,0),MATCH(J$2,英雄装备!$1:$1,0)),装备属性!$A:$C,3,0))</f>
        <v>12</v>
      </c>
      <c r="K43" s="51">
        <f>MAX(VLOOKUP(INDEX(英雄装备!$F:$BZ,MATCH($H43,英雄装备!$F:$F,0),MATCH(K$2,英雄装备!$1:$1,0)-5),装备属性!$A:$C,3,0),VLOOKUP(INDEX(英雄装备!$F:$BZ,MATCH($H43,英雄装备!$F:$F,0),MATCH(K$2,英雄装备!$1:$1,0)-4),装备属性!$A:$C,3,0),VLOOKUP(INDEX(英雄装备!$F:$BZ,MATCH($H43,英雄装备!$F:$F,0),MATCH(K$2,英雄装备!$1:$1,0)-3),装备属性!$A:$C,3,0),VLOOKUP(INDEX(英雄装备!$F:$BZ,MATCH($H43,英雄装备!$F:$F,0),MATCH(K$2,英雄装备!$1:$1,0)-2),装备属性!$A:$C,3,0),VLOOKUP(INDEX(英雄装备!$F:$BZ,MATCH($H43,英雄装备!$F:$F,0),MATCH(K$2,英雄装备!$1:$1,0)-1),装备属性!$A:$C,3,0),VLOOKUP(INDEX(英雄装备!$F:$BZ,MATCH($H43,英雄装备!$F:$F,0),MATCH(K$2,英雄装备!$1:$1,0)),装备属性!$A:$C,3,0))</f>
        <v>27</v>
      </c>
      <c r="L43" s="51">
        <f>MAX(VLOOKUP(INDEX(英雄装备!$F:$BZ,MATCH($H43,英雄装备!$F:$F,0),MATCH(L$2,英雄装备!$1:$1,0)-5),装备属性!$A:$C,3,0),VLOOKUP(INDEX(英雄装备!$F:$BZ,MATCH($H43,英雄装备!$F:$F,0),MATCH(L$2,英雄装备!$1:$1,0)-4),装备属性!$A:$C,3,0),VLOOKUP(INDEX(英雄装备!$F:$BZ,MATCH($H43,英雄装备!$F:$F,0),MATCH(L$2,英雄装备!$1:$1,0)-3),装备属性!$A:$C,3,0),VLOOKUP(INDEX(英雄装备!$F:$BZ,MATCH($H43,英雄装备!$F:$F,0),MATCH(L$2,英雄装备!$1:$1,0)-2),装备属性!$A:$C,3,0),VLOOKUP(INDEX(英雄装备!$F:$BZ,MATCH($H43,英雄装备!$F:$F,0),MATCH(L$2,英雄装备!$1:$1,0)-1),装备属性!$A:$C,3,0),VLOOKUP(INDEX(英雄装备!$F:$BZ,MATCH($H43,英雄装备!$F:$F,0),MATCH(L$2,英雄装备!$1:$1,0)),装备属性!$A:$C,3,0))</f>
        <v>35</v>
      </c>
      <c r="M43" s="51">
        <f>MAX(VLOOKUP(INDEX(英雄装备!$F:$BZ,MATCH($H43,英雄装备!$F:$F,0),MATCH(M$2,英雄装备!$1:$1,0)-5),装备属性!$A:$C,3,0),VLOOKUP(INDEX(英雄装备!$F:$BZ,MATCH($H43,英雄装备!$F:$F,0),MATCH(M$2,英雄装备!$1:$1,0)-4),装备属性!$A:$C,3,0),VLOOKUP(INDEX(英雄装备!$F:$BZ,MATCH($H43,英雄装备!$F:$F,0),MATCH(M$2,英雄装备!$1:$1,0)-3),装备属性!$A:$C,3,0),VLOOKUP(INDEX(英雄装备!$F:$BZ,MATCH($H43,英雄装备!$F:$F,0),MATCH(M$2,英雄装备!$1:$1,0)-2),装备属性!$A:$C,3,0),VLOOKUP(INDEX(英雄装备!$F:$BZ,MATCH($H43,英雄装备!$F:$F,0),MATCH(M$2,英雄装备!$1:$1,0)-1),装备属性!$A:$C,3,0),VLOOKUP(INDEX(英雄装备!$F:$BZ,MATCH($H43,英雄装备!$F:$F,0),MATCH(M$2,英雄装备!$1:$1,0)),装备属性!$A:$C,3,0))</f>
        <v>42</v>
      </c>
      <c r="N43" s="51">
        <f>MAX(VLOOKUP(INDEX(英雄装备!$F:$BZ,MATCH($H43,英雄装备!$F:$F,0),MATCH(N$2,英雄装备!$1:$1,0)-5),装备属性!$A:$C,3,0),VLOOKUP(INDEX(英雄装备!$F:$BZ,MATCH($H43,英雄装备!$F:$F,0),MATCH(N$2,英雄装备!$1:$1,0)-4),装备属性!$A:$C,3,0),VLOOKUP(INDEX(英雄装备!$F:$BZ,MATCH($H43,英雄装备!$F:$F,0),MATCH(N$2,英雄装备!$1:$1,0)-3),装备属性!$A:$C,3,0),VLOOKUP(INDEX(英雄装备!$F:$BZ,MATCH($H43,英雄装备!$F:$F,0),MATCH(N$2,英雄装备!$1:$1,0)-2),装备属性!$A:$C,3,0),VLOOKUP(INDEX(英雄装备!$F:$BZ,MATCH($H43,英雄装备!$F:$F,0),MATCH(N$2,英雄装备!$1:$1,0)-1),装备属性!$A:$C,3,0),VLOOKUP(INDEX(英雄装备!$F:$BZ,MATCH($H43,英雄装备!$F:$F,0),MATCH(N$2,英雄装备!$1:$1,0)),装备属性!$A:$C,3,0))</f>
        <v>52</v>
      </c>
      <c r="O43" s="51">
        <f>MAX(VLOOKUP(INDEX(英雄装备!$F:$BZ,MATCH($H43,英雄装备!$F:$F,0),MATCH(O$2,英雄装备!$1:$1,0)-5),装备属性!$A:$C,3,0),VLOOKUP(INDEX(英雄装备!$F:$BZ,MATCH($H43,英雄装备!$F:$F,0),MATCH(O$2,英雄装备!$1:$1,0)-4),装备属性!$A:$C,3,0),VLOOKUP(INDEX(英雄装备!$F:$BZ,MATCH($H43,英雄装备!$F:$F,0),MATCH(O$2,英雄装备!$1:$1,0)-3),装备属性!$A:$C,3,0),VLOOKUP(INDEX(英雄装备!$F:$BZ,MATCH($H43,英雄装备!$F:$F,0),MATCH(O$2,英雄装备!$1:$1,0)-2),装备属性!$A:$C,3,0),VLOOKUP(INDEX(英雄装备!$F:$BZ,MATCH($H43,英雄装备!$F:$F,0),MATCH(O$2,英雄装备!$1:$1,0)-1),装备属性!$A:$C,3,0),VLOOKUP(INDEX(英雄装备!$F:$BZ,MATCH($H43,英雄装备!$F:$F,0),MATCH(O$2,英雄装备!$1:$1,0)),装备属性!$A:$C,3,0))</f>
        <v>53</v>
      </c>
      <c r="P43" s="51">
        <f>MAX(VLOOKUP(INDEX(英雄装备!$F:$BZ,MATCH($H43,英雄装备!$F:$F,0),MATCH(P$2,英雄装备!$1:$1,0)-5),装备属性!$A:$C,3,0),VLOOKUP(INDEX(英雄装备!$F:$BZ,MATCH($H43,英雄装备!$F:$F,0),MATCH(P$2,英雄装备!$1:$1,0)-4),装备属性!$A:$C,3,0),VLOOKUP(INDEX(英雄装备!$F:$BZ,MATCH($H43,英雄装备!$F:$F,0),MATCH(P$2,英雄装备!$1:$1,0)-3),装备属性!$A:$C,3,0),VLOOKUP(INDEX(英雄装备!$F:$BZ,MATCH($H43,英雄装备!$F:$F,0),MATCH(P$2,英雄装备!$1:$1,0)-2),装备属性!$A:$C,3,0),VLOOKUP(INDEX(英雄装备!$F:$BZ,MATCH($H43,英雄装备!$F:$F,0),MATCH(P$2,英雄装备!$1:$1,0)-1),装备属性!$A:$C,3,0),VLOOKUP(INDEX(英雄装备!$F:$BZ,MATCH($H43,英雄装备!$F:$F,0),MATCH(P$2,英雄装备!$1:$1,0)),装备属性!$A:$C,3,0))</f>
        <v>70</v>
      </c>
      <c r="Q43" s="51">
        <f>MAX(VLOOKUP(INDEX(英雄装备!$F:$BZ,MATCH($H43,英雄装备!$F:$F,0),MATCH(Q$2,英雄装备!$1:$1,0)-5),装备属性!$A:$C,3,0),VLOOKUP(INDEX(英雄装备!$F:$BZ,MATCH($H43,英雄装备!$F:$F,0),MATCH(Q$2,英雄装备!$1:$1,0)-4),装备属性!$A:$C,3,0),VLOOKUP(INDEX(英雄装备!$F:$BZ,MATCH($H43,英雄装备!$F:$F,0),MATCH(Q$2,英雄装备!$1:$1,0)-3),装备属性!$A:$C,3,0),VLOOKUP(INDEX(英雄装备!$F:$BZ,MATCH($H43,英雄装备!$F:$F,0),MATCH(Q$2,英雄装备!$1:$1,0)-2),装备属性!$A:$C,3,0),VLOOKUP(INDEX(英雄装备!$F:$BZ,MATCH($H43,英雄装备!$F:$F,0),MATCH(Q$2,英雄装备!$1:$1,0)-1),装备属性!$A:$C,3,0),VLOOKUP(INDEX(英雄装备!$F:$BZ,MATCH($H43,英雄装备!$F:$F,0),MATCH(Q$2,英雄装备!$1:$1,0)),装备属性!$A:$C,3,0))</f>
        <v>80</v>
      </c>
      <c r="R43" s="51">
        <f>MAX(VLOOKUP(INDEX(英雄装备!$F:$BZ,MATCH($H43,英雄装备!$F:$F,0),MATCH(R$2,英雄装备!$1:$1,0)-5),装备属性!$A:$C,3,0),VLOOKUP(INDEX(英雄装备!$F:$BZ,MATCH($H43,英雄装备!$F:$F,0),MATCH(R$2,英雄装备!$1:$1,0)-4),装备属性!$A:$C,3,0),VLOOKUP(INDEX(英雄装备!$F:$BZ,MATCH($H43,英雄装备!$F:$F,0),MATCH(R$2,英雄装备!$1:$1,0)-3),装备属性!$A:$C,3,0),VLOOKUP(INDEX(英雄装备!$F:$BZ,MATCH($H43,英雄装备!$F:$F,0),MATCH(R$2,英雄装备!$1:$1,0)-2),装备属性!$A:$C,3,0),VLOOKUP(INDEX(英雄装备!$F:$BZ,MATCH($H43,英雄装备!$F:$F,0),MATCH(R$2,英雄装备!$1:$1,0)-1),装备属性!$A:$C,3,0),VLOOKUP(INDEX(英雄装备!$F:$BZ,MATCH($H43,英雄装备!$F:$F,0),MATCH(R$2,英雄装备!$1:$1,0)),装备属性!$A:$C,3,0))</f>
        <v>72</v>
      </c>
      <c r="S43" s="51">
        <f>MAX(VLOOKUP(INDEX(英雄装备!$F:$BZ,MATCH($H43,英雄装备!$F:$F,0),MATCH(S$2,英雄装备!$1:$1,0)-5),装备属性!$A:$C,3,0),VLOOKUP(INDEX(英雄装备!$F:$BZ,MATCH($H43,英雄装备!$F:$F,0),MATCH(S$2,英雄装备!$1:$1,0)-4),装备属性!$A:$C,3,0),VLOOKUP(INDEX(英雄装备!$F:$BZ,MATCH($H43,英雄装备!$F:$F,0),MATCH(S$2,英雄装备!$1:$1,0)-3),装备属性!$A:$C,3,0),VLOOKUP(INDEX(英雄装备!$F:$BZ,MATCH($H43,英雄装备!$F:$F,0),MATCH(S$2,英雄装备!$1:$1,0)-2),装备属性!$A:$C,3,0),VLOOKUP(INDEX(英雄装备!$F:$BZ,MATCH($H43,英雄装备!$F:$F,0),MATCH(S$2,英雄装备!$1:$1,0)-1),装备属性!$A:$C,3,0),VLOOKUP(INDEX(英雄装备!$F:$BZ,MATCH($H43,英雄装备!$F:$F,0),MATCH(S$2,英雄装备!$1:$1,0)),装备属性!$A:$C,3,0))</f>
        <v>85</v>
      </c>
      <c r="T43" s="51">
        <f>MAX(VLOOKUP(INDEX(英雄装备!$F:$BZ,MATCH($H43,英雄装备!$F:$F,0),MATCH(T$2,英雄装备!$1:$1,0)-5),装备属性!$A:$C,3,0),VLOOKUP(INDEX(英雄装备!$F:$BZ,MATCH($H43,英雄装备!$F:$F,0),MATCH(T$2,英雄装备!$1:$1,0)-4),装备属性!$A:$C,3,0),VLOOKUP(INDEX(英雄装备!$F:$BZ,MATCH($H43,英雄装备!$F:$F,0),MATCH(T$2,英雄装备!$1:$1,0)-3),装备属性!$A:$C,3,0),VLOOKUP(INDEX(英雄装备!$F:$BZ,MATCH($H43,英雄装备!$F:$F,0),MATCH(T$2,英雄装备!$1:$1,0)-2),装备属性!$A:$C,3,0),VLOOKUP(INDEX(英雄装备!$F:$BZ,MATCH($H43,英雄装备!$F:$F,0),MATCH(T$2,英雄装备!$1:$1,0)-1),装备属性!$A:$C,3,0))</f>
        <v>87</v>
      </c>
      <c r="V43" s="49">
        <v>2</v>
      </c>
      <c r="W43" s="49" t="str">
        <f>IF($V$2&lt;2,"","绿")</f>
        <v>绿</v>
      </c>
      <c r="X43" s="150" t="str">
        <f t="shared" ref="X43:AC43" si="17">IF(AND(X28=TRUE,$W43&lt;&gt;""),X2,"")</f>
        <v>敏捷皮靴</v>
      </c>
      <c r="Y43" s="150" t="str">
        <f t="shared" si="17"/>
        <v>屌丝盾</v>
      </c>
      <c r="Z43" s="150" t="str">
        <f t="shared" si="17"/>
        <v>敏捷系带</v>
      </c>
      <c r="AA43" s="150" t="str">
        <f t="shared" si="17"/>
        <v>圣殿指环</v>
      </c>
      <c r="AB43" s="150" t="str">
        <f t="shared" si="17"/>
        <v>小魔棒</v>
      </c>
      <c r="AC43" s="150" t="str">
        <f t="shared" si="17"/>
        <v>鞋</v>
      </c>
      <c r="AF43" s="49">
        <v>4</v>
      </c>
      <c r="AG43" s="49" t="str">
        <f>Z4</f>
        <v>秘银锤</v>
      </c>
      <c r="AH43" s="49">
        <f>VLOOKUP($AG43,装备属性!$A:$Y,5,0)</f>
        <v>0</v>
      </c>
      <c r="AI43" s="49">
        <f>VLOOKUP($AG43,装备属性!$A:$Y,6,0)</f>
        <v>0</v>
      </c>
      <c r="AJ43" s="49">
        <f>VLOOKUP($AG43,装备属性!$A:$Y,7,0)</f>
        <v>0</v>
      </c>
      <c r="AK43" s="49">
        <f>VLOOKUP($AG43,装备属性!$A:$Y,8,0)</f>
        <v>0</v>
      </c>
      <c r="AL43" s="49">
        <f>VLOOKUP($AG43,装备属性!$A:$Y,9,0)</f>
        <v>24</v>
      </c>
      <c r="AM43" s="49">
        <f>VLOOKUP($AG43,装备属性!$A:$Y,10,0)</f>
        <v>0</v>
      </c>
      <c r="AN43" s="49">
        <f>VLOOKUP($AG43,装备属性!$A:$Y,11,0)</f>
        <v>0</v>
      </c>
      <c r="AO43" s="49">
        <f>VLOOKUP($AG43,装备属性!$A:$Y,12,0)</f>
        <v>0</v>
      </c>
      <c r="AP43" s="49">
        <f>VLOOKUP($AG43,装备属性!$A:$Y,13,0)</f>
        <v>0</v>
      </c>
      <c r="AQ43" s="49">
        <f>VLOOKUP($AG43,装备属性!$A:$Y,14,0)</f>
        <v>0</v>
      </c>
      <c r="AR43" s="49">
        <f>VLOOKUP($AG43,装备属性!$A:$Y,15,0)</f>
        <v>0</v>
      </c>
      <c r="AS43" s="49">
        <f>VLOOKUP($AG43,装备属性!$A:$Y,16,0)</f>
        <v>0</v>
      </c>
      <c r="AT43" s="49">
        <f>VLOOKUP($AG43,装备属性!$A:$Y,17,0)</f>
        <v>0</v>
      </c>
      <c r="AU43" s="49">
        <f>VLOOKUP($AG43,装备属性!$A:$Y,18,0)</f>
        <v>0</v>
      </c>
      <c r="AV43" s="49">
        <f>VLOOKUP($AG43,装备属性!$A:$Y,19,0)</f>
        <v>0</v>
      </c>
      <c r="AW43" s="49">
        <f>VLOOKUP($AG43,装备属性!$A:$Y,20,0)</f>
        <v>0</v>
      </c>
      <c r="AX43" s="49">
        <f>VLOOKUP($AG43,装备属性!$A:$Y,21,0)</f>
        <v>0</v>
      </c>
      <c r="AY43" s="49">
        <f>VLOOKUP($AG43,装备属性!$A:$Y,22,0)</f>
        <v>0</v>
      </c>
      <c r="AZ43" s="138">
        <f>VLOOKUP($AG43,装备属性!$A:$Y,23,0)</f>
        <v>0</v>
      </c>
      <c r="BA43" s="138">
        <f>VLOOKUP($AG43,装备属性!$A:$Y,24,0)</f>
        <v>0</v>
      </c>
      <c r="BB43" s="138">
        <f>VLOOKUP($AG43,装备属性!$A:$Y,25,0)</f>
        <v>0</v>
      </c>
    </row>
    <row r="44" spans="2:54">
      <c r="B44" s="49" t="str">
        <f>英雄初始!A45</f>
        <v>小鹿</v>
      </c>
      <c r="H44" s="54" t="s">
        <v>197</v>
      </c>
      <c r="I44" s="51">
        <f>MAX(VLOOKUP(INDEX(英雄装备!$F:$BZ,MATCH($H44,英雄装备!$F:$F,0),MATCH(I$2,英雄装备!$1:$1,0)-5),装备属性!$A:$C,3,0),VLOOKUP(INDEX(英雄装备!$F:$BZ,MATCH($H44,英雄装备!$F:$F,0),MATCH(I$2,英雄装备!$1:$1,0)-4),装备属性!$A:$C,3,0),VLOOKUP(INDEX(英雄装备!$F:$BZ,MATCH($H44,英雄装备!$F:$F,0),MATCH(I$2,英雄装备!$1:$1,0)-3),装备属性!$A:$C,3,0),VLOOKUP(INDEX(英雄装备!$F:$BZ,MATCH($H44,英雄装备!$F:$F,0),MATCH(I$2,英雄装备!$1:$1,0)-2),装备属性!$A:$C,3,0),VLOOKUP(INDEX(英雄装备!$F:$BZ,MATCH($H44,英雄装备!$F:$F,0),MATCH(I$2,英雄装备!$1:$1,0)-1),装备属性!$A:$C,3,0),VLOOKUP(INDEX(英雄装备!$F:$BZ,MATCH($H44,英雄装备!$F:$F,0),MATCH(I$2,英雄装备!$1:$1,0)),装备属性!$A:$C,3,0))</f>
        <v>2</v>
      </c>
      <c r="J44" s="51">
        <f>MAX(VLOOKUP(INDEX(英雄装备!$F:$BZ,MATCH($H44,英雄装备!$F:$F,0),MATCH(J$2,英雄装备!$1:$1,0)-5),装备属性!$A:$C,3,0),VLOOKUP(INDEX(英雄装备!$F:$BZ,MATCH($H44,英雄装备!$F:$F,0),MATCH(J$2,英雄装备!$1:$1,0)-4),装备属性!$A:$C,3,0),VLOOKUP(INDEX(英雄装备!$F:$BZ,MATCH($H44,英雄装备!$F:$F,0),MATCH(J$2,英雄装备!$1:$1,0)-3),装备属性!$A:$C,3,0),VLOOKUP(INDEX(英雄装备!$F:$BZ,MATCH($H44,英雄装备!$F:$F,0),MATCH(J$2,英雄装备!$1:$1,0)-2),装备属性!$A:$C,3,0),VLOOKUP(INDEX(英雄装备!$F:$BZ,MATCH($H44,英雄装备!$F:$F,0),MATCH(J$2,英雄装备!$1:$1,0)-1),装备属性!$A:$C,3,0),VLOOKUP(INDEX(英雄装备!$F:$BZ,MATCH($H44,英雄装备!$F:$F,0),MATCH(J$2,英雄装备!$1:$1,0)),装备属性!$A:$C,3,0))</f>
        <v>10</v>
      </c>
      <c r="K44" s="51">
        <f>MAX(VLOOKUP(INDEX(英雄装备!$F:$BZ,MATCH($H44,英雄装备!$F:$F,0),MATCH(K$2,英雄装备!$1:$1,0)-5),装备属性!$A:$C,3,0),VLOOKUP(INDEX(英雄装备!$F:$BZ,MATCH($H44,英雄装备!$F:$F,0),MATCH(K$2,英雄装备!$1:$1,0)-4),装备属性!$A:$C,3,0),VLOOKUP(INDEX(英雄装备!$F:$BZ,MATCH($H44,英雄装备!$F:$F,0),MATCH(K$2,英雄装备!$1:$1,0)-3),装备属性!$A:$C,3,0),VLOOKUP(INDEX(英雄装备!$F:$BZ,MATCH($H44,英雄装备!$F:$F,0),MATCH(K$2,英雄装备!$1:$1,0)-2),装备属性!$A:$C,3,0),VLOOKUP(INDEX(英雄装备!$F:$BZ,MATCH($H44,英雄装备!$F:$F,0),MATCH(K$2,英雄装备!$1:$1,0)-1),装备属性!$A:$C,3,0),VLOOKUP(INDEX(英雄装备!$F:$BZ,MATCH($H44,英雄装备!$F:$F,0),MATCH(K$2,英雄装备!$1:$1,0)),装备属性!$A:$C,3,0))</f>
        <v>20</v>
      </c>
      <c r="L44" s="51">
        <f>MAX(VLOOKUP(INDEX(英雄装备!$F:$BZ,MATCH($H44,英雄装备!$F:$F,0),MATCH(L$2,英雄装备!$1:$1,0)-5),装备属性!$A:$C,3,0),VLOOKUP(INDEX(英雄装备!$F:$BZ,MATCH($H44,英雄装备!$F:$F,0),MATCH(L$2,英雄装备!$1:$1,0)-4),装备属性!$A:$C,3,0),VLOOKUP(INDEX(英雄装备!$F:$BZ,MATCH($H44,英雄装备!$F:$F,0),MATCH(L$2,英雄装备!$1:$1,0)-3),装备属性!$A:$C,3,0),VLOOKUP(INDEX(英雄装备!$F:$BZ,MATCH($H44,英雄装备!$F:$F,0),MATCH(L$2,英雄装备!$1:$1,0)-2),装备属性!$A:$C,3,0),VLOOKUP(INDEX(英雄装备!$F:$BZ,MATCH($H44,英雄装备!$F:$F,0),MATCH(L$2,英雄装备!$1:$1,0)-1),装备属性!$A:$C,3,0),VLOOKUP(INDEX(英雄装备!$F:$BZ,MATCH($H44,英雄装备!$F:$F,0),MATCH(L$2,英雄装备!$1:$1,0)),装备属性!$A:$C,3,0))</f>
        <v>34</v>
      </c>
      <c r="M44" s="51">
        <f>MAX(VLOOKUP(INDEX(英雄装备!$F:$BZ,MATCH($H44,英雄装备!$F:$F,0),MATCH(M$2,英雄装备!$1:$1,0)-5),装备属性!$A:$C,3,0),VLOOKUP(INDEX(英雄装备!$F:$BZ,MATCH($H44,英雄装备!$F:$F,0),MATCH(M$2,英雄装备!$1:$1,0)-4),装备属性!$A:$C,3,0),VLOOKUP(INDEX(英雄装备!$F:$BZ,MATCH($H44,英雄装备!$F:$F,0),MATCH(M$2,英雄装备!$1:$1,0)-3),装备属性!$A:$C,3,0),VLOOKUP(INDEX(英雄装备!$F:$BZ,MATCH($H44,英雄装备!$F:$F,0),MATCH(M$2,英雄装备!$1:$1,0)-2),装备属性!$A:$C,3,0),VLOOKUP(INDEX(英雄装备!$F:$BZ,MATCH($H44,英雄装备!$F:$F,0),MATCH(M$2,英雄装备!$1:$1,0)-1),装备属性!$A:$C,3,0),VLOOKUP(INDEX(英雄装备!$F:$BZ,MATCH($H44,英雄装备!$F:$F,0),MATCH(M$2,英雄装备!$1:$1,0)),装备属性!$A:$C,3,0))</f>
        <v>41</v>
      </c>
      <c r="N44" s="51">
        <f>MAX(VLOOKUP(INDEX(英雄装备!$F:$BZ,MATCH($H44,英雄装备!$F:$F,0),MATCH(N$2,英雄装备!$1:$1,0)-5),装备属性!$A:$C,3,0),VLOOKUP(INDEX(英雄装备!$F:$BZ,MATCH($H44,英雄装备!$F:$F,0),MATCH(N$2,英雄装备!$1:$1,0)-4),装备属性!$A:$C,3,0),VLOOKUP(INDEX(英雄装备!$F:$BZ,MATCH($H44,英雄装备!$F:$F,0),MATCH(N$2,英雄装备!$1:$1,0)-3),装备属性!$A:$C,3,0),VLOOKUP(INDEX(英雄装备!$F:$BZ,MATCH($H44,英雄装备!$F:$F,0),MATCH(N$2,英雄装备!$1:$1,0)-2),装备属性!$A:$C,3,0),VLOOKUP(INDEX(英雄装备!$F:$BZ,MATCH($H44,英雄装备!$F:$F,0),MATCH(N$2,英雄装备!$1:$1,0)-1),装备属性!$A:$C,3,0),VLOOKUP(INDEX(英雄装备!$F:$BZ,MATCH($H44,英雄装备!$F:$F,0),MATCH(N$2,英雄装备!$1:$1,0)),装备属性!$A:$C,3,0))</f>
        <v>53</v>
      </c>
      <c r="O44" s="51">
        <f>MAX(VLOOKUP(INDEX(英雄装备!$F:$BZ,MATCH($H44,英雄装备!$F:$F,0),MATCH(O$2,英雄装备!$1:$1,0)-5),装备属性!$A:$C,3,0),VLOOKUP(INDEX(英雄装备!$F:$BZ,MATCH($H44,英雄装备!$F:$F,0),MATCH(O$2,英雄装备!$1:$1,0)-4),装备属性!$A:$C,3,0),VLOOKUP(INDEX(英雄装备!$F:$BZ,MATCH($H44,英雄装备!$F:$F,0),MATCH(O$2,英雄装备!$1:$1,0)-3),装备属性!$A:$C,3,0),VLOOKUP(INDEX(英雄装备!$F:$BZ,MATCH($H44,英雄装备!$F:$F,0),MATCH(O$2,英雄装备!$1:$1,0)-2),装备属性!$A:$C,3,0),VLOOKUP(INDEX(英雄装备!$F:$BZ,MATCH($H44,英雄装备!$F:$F,0),MATCH(O$2,英雄装备!$1:$1,0)-1),装备属性!$A:$C,3,0),VLOOKUP(INDEX(英雄装备!$F:$BZ,MATCH($H44,英雄装备!$F:$F,0),MATCH(O$2,英雄装备!$1:$1,0)),装备属性!$A:$C,3,0))</f>
        <v>63</v>
      </c>
      <c r="P44" s="51">
        <f>MAX(VLOOKUP(INDEX(英雄装备!$F:$BZ,MATCH($H44,英雄装备!$F:$F,0),MATCH(P$2,英雄装备!$1:$1,0)-5),装备属性!$A:$C,3,0),VLOOKUP(INDEX(英雄装备!$F:$BZ,MATCH($H44,英雄装备!$F:$F,0),MATCH(P$2,英雄装备!$1:$1,0)-4),装备属性!$A:$C,3,0),VLOOKUP(INDEX(英雄装备!$F:$BZ,MATCH($H44,英雄装备!$F:$F,0),MATCH(P$2,英雄装备!$1:$1,0)-3),装备属性!$A:$C,3,0),VLOOKUP(INDEX(英雄装备!$F:$BZ,MATCH($H44,英雄装备!$F:$F,0),MATCH(P$2,英雄装备!$1:$1,0)-2),装备属性!$A:$C,3,0),VLOOKUP(INDEX(英雄装备!$F:$BZ,MATCH($H44,英雄装备!$F:$F,0),MATCH(P$2,英雄装备!$1:$1,0)-1),装备属性!$A:$C,3,0),VLOOKUP(INDEX(英雄装备!$F:$BZ,MATCH($H44,英雄装备!$F:$F,0),MATCH(P$2,英雄装备!$1:$1,0)),装备属性!$A:$C,3,0))</f>
        <v>70</v>
      </c>
      <c r="Q44" s="51">
        <f>MAX(VLOOKUP(INDEX(英雄装备!$F:$BZ,MATCH($H44,英雄装备!$F:$F,0),MATCH(Q$2,英雄装备!$1:$1,0)-5),装备属性!$A:$C,3,0),VLOOKUP(INDEX(英雄装备!$F:$BZ,MATCH($H44,英雄装备!$F:$F,0),MATCH(Q$2,英雄装备!$1:$1,0)-4),装备属性!$A:$C,3,0),VLOOKUP(INDEX(英雄装备!$F:$BZ,MATCH($H44,英雄装备!$F:$F,0),MATCH(Q$2,英雄装备!$1:$1,0)-3),装备属性!$A:$C,3,0),VLOOKUP(INDEX(英雄装备!$F:$BZ,MATCH($H44,英雄装备!$F:$F,0),MATCH(Q$2,英雄装备!$1:$1,0)-2),装备属性!$A:$C,3,0),VLOOKUP(INDEX(英雄装备!$F:$BZ,MATCH($H44,英雄装备!$F:$F,0),MATCH(Q$2,英雄装备!$1:$1,0)-1),装备属性!$A:$C,3,0),VLOOKUP(INDEX(英雄装备!$F:$BZ,MATCH($H44,英雄装备!$F:$F,0),MATCH(Q$2,英雄装备!$1:$1,0)),装备属性!$A:$C,3,0))</f>
        <v>78</v>
      </c>
      <c r="R44" s="51">
        <f>MAX(VLOOKUP(INDEX(英雄装备!$F:$BZ,MATCH($H44,英雄装备!$F:$F,0),MATCH(R$2,英雄装备!$1:$1,0)-5),装备属性!$A:$C,3,0),VLOOKUP(INDEX(英雄装备!$F:$BZ,MATCH($H44,英雄装备!$F:$F,0),MATCH(R$2,英雄装备!$1:$1,0)-4),装备属性!$A:$C,3,0),VLOOKUP(INDEX(英雄装备!$F:$BZ,MATCH($H44,英雄装备!$F:$F,0),MATCH(R$2,英雄装备!$1:$1,0)-3),装备属性!$A:$C,3,0),VLOOKUP(INDEX(英雄装备!$F:$BZ,MATCH($H44,英雄装备!$F:$F,0),MATCH(R$2,英雄装备!$1:$1,0)-2),装备属性!$A:$C,3,0),VLOOKUP(INDEX(英雄装备!$F:$BZ,MATCH($H44,英雄装备!$F:$F,0),MATCH(R$2,英雄装备!$1:$1,0)-1),装备属性!$A:$C,3,0),VLOOKUP(INDEX(英雄装备!$F:$BZ,MATCH($H44,英雄装备!$F:$F,0),MATCH(R$2,英雄装备!$1:$1,0)),装备属性!$A:$C,3,0))</f>
        <v>80</v>
      </c>
      <c r="S44" s="51">
        <f>MAX(VLOOKUP(INDEX(英雄装备!$F:$BZ,MATCH($H44,英雄装备!$F:$F,0),MATCH(S$2,英雄装备!$1:$1,0)-5),装备属性!$A:$C,3,0),VLOOKUP(INDEX(英雄装备!$F:$BZ,MATCH($H44,英雄装备!$F:$F,0),MATCH(S$2,英雄装备!$1:$1,0)-4),装备属性!$A:$C,3,0),VLOOKUP(INDEX(英雄装备!$F:$BZ,MATCH($H44,英雄装备!$F:$F,0),MATCH(S$2,英雄装备!$1:$1,0)-3),装备属性!$A:$C,3,0),VLOOKUP(INDEX(英雄装备!$F:$BZ,MATCH($H44,英雄装备!$F:$F,0),MATCH(S$2,英雄装备!$1:$1,0)-2),装备属性!$A:$C,3,0),VLOOKUP(INDEX(英雄装备!$F:$BZ,MATCH($H44,英雄装备!$F:$F,0),MATCH(S$2,英雄装备!$1:$1,0)-1),装备属性!$A:$C,3,0),VLOOKUP(INDEX(英雄装备!$F:$BZ,MATCH($H44,英雄装备!$F:$F,0),MATCH(S$2,英雄装备!$1:$1,0)),装备属性!$A:$C,3,0))</f>
        <v>85</v>
      </c>
      <c r="T44" s="51">
        <f>MAX(VLOOKUP(INDEX(英雄装备!$F:$BZ,MATCH($H44,英雄装备!$F:$F,0),MATCH(T$2,英雄装备!$1:$1,0)-5),装备属性!$A:$C,3,0),VLOOKUP(INDEX(英雄装备!$F:$BZ,MATCH($H44,英雄装备!$F:$F,0),MATCH(T$2,英雄装备!$1:$1,0)-4),装备属性!$A:$C,3,0),VLOOKUP(INDEX(英雄装备!$F:$BZ,MATCH($H44,英雄装备!$F:$F,0),MATCH(T$2,英雄装备!$1:$1,0)-3),装备属性!$A:$C,3,0),VLOOKUP(INDEX(英雄装备!$F:$BZ,MATCH($H44,英雄装备!$F:$F,0),MATCH(T$2,英雄装备!$1:$1,0)-2),装备属性!$A:$C,3,0),VLOOKUP(INDEX(英雄装备!$F:$BZ,MATCH($H44,英雄装备!$F:$F,0),MATCH(T$2,英雄装备!$1:$1,0)-1),装备属性!$A:$C,3,0))</f>
        <v>87</v>
      </c>
      <c r="V44" s="49">
        <v>3</v>
      </c>
      <c r="W44" s="49" t="str">
        <f>IF($V$2&lt;3,"","绿+1")</f>
        <v>绿+1</v>
      </c>
      <c r="X44" s="150" t="str">
        <f t="shared" ref="X44:AC44" si="18">IF(AND(X29=TRUE,$W44&lt;&gt;""),X3,"")</f>
        <v>敏捷之刃</v>
      </c>
      <c r="Y44" s="150" t="str">
        <f t="shared" si="18"/>
        <v>大魔杖</v>
      </c>
      <c r="Z44" s="150" t="str">
        <f t="shared" si="18"/>
        <v>吸血面具</v>
      </c>
      <c r="AA44" s="150" t="str">
        <f t="shared" si="18"/>
        <v>天鹰之戒</v>
      </c>
      <c r="AB44" s="150" t="str">
        <f t="shared" si="18"/>
        <v>敏捷系带</v>
      </c>
      <c r="AC44" s="150" t="str">
        <f t="shared" si="18"/>
        <v>鞋</v>
      </c>
      <c r="AF44" s="49">
        <v>4</v>
      </c>
      <c r="AG44" s="49" t="str">
        <f>AA4</f>
        <v>冲锋盾</v>
      </c>
      <c r="AH44" s="49">
        <f>VLOOKUP($AG44,装备属性!$A:$Y,5,0)</f>
        <v>0</v>
      </c>
      <c r="AI44" s="49">
        <f>VLOOKUP($AG44,装备属性!$A:$Y,6,0)</f>
        <v>0</v>
      </c>
      <c r="AJ44" s="49">
        <f>VLOOKUP($AG44,装备属性!$A:$Y,7,0)</f>
        <v>0</v>
      </c>
      <c r="AK44" s="49">
        <f>VLOOKUP($AG44,装备属性!$A:$Y,8,0)</f>
        <v>280</v>
      </c>
      <c r="AL44" s="49">
        <f>VLOOKUP($AG44,装备属性!$A:$Y,9,0)</f>
        <v>0</v>
      </c>
      <c r="AM44" s="49">
        <f>VLOOKUP($AG44,装备属性!$A:$Y,10,0)</f>
        <v>0</v>
      </c>
      <c r="AN44" s="49">
        <f>VLOOKUP($AG44,装备属性!$A:$Y,11,0)</f>
        <v>4</v>
      </c>
      <c r="AO44" s="49">
        <f>VLOOKUP($AG44,装备属性!$A:$Y,12,0)</f>
        <v>0</v>
      </c>
      <c r="AP44" s="49">
        <f>VLOOKUP($AG44,装备属性!$A:$Y,13,0)</f>
        <v>0</v>
      </c>
      <c r="AQ44" s="49">
        <f>VLOOKUP($AG44,装备属性!$A:$Y,14,0)</f>
        <v>0</v>
      </c>
      <c r="AR44" s="49">
        <f>VLOOKUP($AG44,装备属性!$A:$Y,15,0)</f>
        <v>0</v>
      </c>
      <c r="AS44" s="49">
        <f>VLOOKUP($AG44,装备属性!$A:$Y,16,0)</f>
        <v>0</v>
      </c>
      <c r="AT44" s="49">
        <f>VLOOKUP($AG44,装备属性!$A:$Y,17,0)</f>
        <v>0</v>
      </c>
      <c r="AU44" s="49">
        <f>VLOOKUP($AG44,装备属性!$A:$Y,18,0)</f>
        <v>0</v>
      </c>
      <c r="AV44" s="49">
        <f>VLOOKUP($AG44,装备属性!$A:$Y,19,0)</f>
        <v>0</v>
      </c>
      <c r="AW44" s="49">
        <f>VLOOKUP($AG44,装备属性!$A:$Y,20,0)</f>
        <v>240</v>
      </c>
      <c r="AX44" s="49">
        <f>VLOOKUP($AG44,装备属性!$A:$Y,21,0)</f>
        <v>0</v>
      </c>
      <c r="AY44" s="49">
        <f>VLOOKUP($AG44,装备属性!$A:$Y,22,0)</f>
        <v>0</v>
      </c>
      <c r="AZ44" s="138">
        <f>VLOOKUP($AG44,装备属性!$A:$Y,23,0)</f>
        <v>0</v>
      </c>
      <c r="BA44" s="138">
        <f>VLOOKUP($AG44,装备属性!$A:$Y,24,0)</f>
        <v>0</v>
      </c>
      <c r="BB44" s="138">
        <f>VLOOKUP($AG44,装备属性!$A:$Y,25,0)</f>
        <v>0</v>
      </c>
    </row>
    <row r="45" spans="2:54">
      <c r="B45" s="49" t="str">
        <f>英雄初始!A46</f>
        <v>修补匠</v>
      </c>
      <c r="H45" s="54" t="s">
        <v>198</v>
      </c>
      <c r="I45" s="51">
        <f>MAX(VLOOKUP(INDEX(英雄装备!$F:$BZ,MATCH($H45,英雄装备!$F:$F,0),MATCH(I$2,英雄装备!$1:$1,0)-5),装备属性!$A:$C,3,0),VLOOKUP(INDEX(英雄装备!$F:$BZ,MATCH($H45,英雄装备!$F:$F,0),MATCH(I$2,英雄装备!$1:$1,0)-4),装备属性!$A:$C,3,0),VLOOKUP(INDEX(英雄装备!$F:$BZ,MATCH($H45,英雄装备!$F:$F,0),MATCH(I$2,英雄装备!$1:$1,0)-3),装备属性!$A:$C,3,0),VLOOKUP(INDEX(英雄装备!$F:$BZ,MATCH($H45,英雄装备!$F:$F,0),MATCH(I$2,英雄装备!$1:$1,0)-2),装备属性!$A:$C,3,0),VLOOKUP(INDEX(英雄装备!$F:$BZ,MATCH($H45,英雄装备!$F:$F,0),MATCH(I$2,英雄装备!$1:$1,0)-1),装备属性!$A:$C,3,0),VLOOKUP(INDEX(英雄装备!$F:$BZ,MATCH($H45,英雄装备!$F:$F,0),MATCH(I$2,英雄装备!$1:$1,0)),装备属性!$A:$C,3,0))</f>
        <v>2</v>
      </c>
      <c r="J45" s="51">
        <f>MAX(VLOOKUP(INDEX(英雄装备!$F:$BZ,MATCH($H45,英雄装备!$F:$F,0),MATCH(J$2,英雄装备!$1:$1,0)-5),装备属性!$A:$C,3,0),VLOOKUP(INDEX(英雄装备!$F:$BZ,MATCH($H45,英雄装备!$F:$F,0),MATCH(J$2,英雄装备!$1:$1,0)-4),装备属性!$A:$C,3,0),VLOOKUP(INDEX(英雄装备!$F:$BZ,MATCH($H45,英雄装备!$F:$F,0),MATCH(J$2,英雄装备!$1:$1,0)-3),装备属性!$A:$C,3,0),VLOOKUP(INDEX(英雄装备!$F:$BZ,MATCH($H45,英雄装备!$F:$F,0),MATCH(J$2,英雄装备!$1:$1,0)-2),装备属性!$A:$C,3,0),VLOOKUP(INDEX(英雄装备!$F:$BZ,MATCH($H45,英雄装备!$F:$F,0),MATCH(J$2,英雄装备!$1:$1,0)-1),装备属性!$A:$C,3,0),VLOOKUP(INDEX(英雄装备!$F:$BZ,MATCH($H45,英雄装备!$F:$F,0),MATCH(J$2,英雄装备!$1:$1,0)),装备属性!$A:$C,3,0))</f>
        <v>11</v>
      </c>
      <c r="K45" s="51">
        <f>MAX(VLOOKUP(INDEX(英雄装备!$F:$BZ,MATCH($H45,英雄装备!$F:$F,0),MATCH(K$2,英雄装备!$1:$1,0)-5),装备属性!$A:$C,3,0),VLOOKUP(INDEX(英雄装备!$F:$BZ,MATCH($H45,英雄装备!$F:$F,0),MATCH(K$2,英雄装备!$1:$1,0)-4),装备属性!$A:$C,3,0),VLOOKUP(INDEX(英雄装备!$F:$BZ,MATCH($H45,英雄装备!$F:$F,0),MATCH(K$2,英雄装备!$1:$1,0)-3),装备属性!$A:$C,3,0),VLOOKUP(INDEX(英雄装备!$F:$BZ,MATCH($H45,英雄装备!$F:$F,0),MATCH(K$2,英雄装备!$1:$1,0)-2),装备属性!$A:$C,3,0),VLOOKUP(INDEX(英雄装备!$F:$BZ,MATCH($H45,英雄装备!$F:$F,0),MATCH(K$2,英雄装备!$1:$1,0)-1),装备属性!$A:$C,3,0),VLOOKUP(INDEX(英雄装备!$F:$BZ,MATCH($H45,英雄装备!$F:$F,0),MATCH(K$2,英雄装备!$1:$1,0)),装备属性!$A:$C,3,0))</f>
        <v>21</v>
      </c>
      <c r="L45" s="51">
        <f>MAX(VLOOKUP(INDEX(英雄装备!$F:$BZ,MATCH($H45,英雄装备!$F:$F,0),MATCH(L$2,英雄装备!$1:$1,0)-5),装备属性!$A:$C,3,0),VLOOKUP(INDEX(英雄装备!$F:$BZ,MATCH($H45,英雄装备!$F:$F,0),MATCH(L$2,英雄装备!$1:$1,0)-4),装备属性!$A:$C,3,0),VLOOKUP(INDEX(英雄装备!$F:$BZ,MATCH($H45,英雄装备!$F:$F,0),MATCH(L$2,英雄装备!$1:$1,0)-3),装备属性!$A:$C,3,0),VLOOKUP(INDEX(英雄装备!$F:$BZ,MATCH($H45,英雄装备!$F:$F,0),MATCH(L$2,英雄装备!$1:$1,0)-2),装备属性!$A:$C,3,0),VLOOKUP(INDEX(英雄装备!$F:$BZ,MATCH($H45,英雄装备!$F:$F,0),MATCH(L$2,英雄装备!$1:$1,0)-1),装备属性!$A:$C,3,0),VLOOKUP(INDEX(英雄装备!$F:$BZ,MATCH($H45,英雄装备!$F:$F,0),MATCH(L$2,英雄装备!$1:$1,0)),装备属性!$A:$C,3,0))</f>
        <v>35</v>
      </c>
      <c r="M45" s="51">
        <f>MAX(VLOOKUP(INDEX(英雄装备!$F:$BZ,MATCH($H45,英雄装备!$F:$F,0),MATCH(M$2,英雄装备!$1:$1,0)-5),装备属性!$A:$C,3,0),VLOOKUP(INDEX(英雄装备!$F:$BZ,MATCH($H45,英雄装备!$F:$F,0),MATCH(M$2,英雄装备!$1:$1,0)-4),装备属性!$A:$C,3,0),VLOOKUP(INDEX(英雄装备!$F:$BZ,MATCH($H45,英雄装备!$F:$F,0),MATCH(M$2,英雄装备!$1:$1,0)-3),装备属性!$A:$C,3,0),VLOOKUP(INDEX(英雄装备!$F:$BZ,MATCH($H45,英雄装备!$F:$F,0),MATCH(M$2,英雄装备!$1:$1,0)-2),装备属性!$A:$C,3,0),VLOOKUP(INDEX(英雄装备!$F:$BZ,MATCH($H45,英雄装备!$F:$F,0),MATCH(M$2,英雄装备!$1:$1,0)-1),装备属性!$A:$C,3,0),VLOOKUP(INDEX(英雄装备!$F:$BZ,MATCH($H45,英雄装备!$F:$F,0),MATCH(M$2,英雄装备!$1:$1,0)),装备属性!$A:$C,3,0))</f>
        <v>43</v>
      </c>
      <c r="N45" s="51">
        <f>MAX(VLOOKUP(INDEX(英雄装备!$F:$BZ,MATCH($H45,英雄装备!$F:$F,0),MATCH(N$2,英雄装备!$1:$1,0)-5),装备属性!$A:$C,3,0),VLOOKUP(INDEX(英雄装备!$F:$BZ,MATCH($H45,英雄装备!$F:$F,0),MATCH(N$2,英雄装备!$1:$1,0)-4),装备属性!$A:$C,3,0),VLOOKUP(INDEX(英雄装备!$F:$BZ,MATCH($H45,英雄装备!$F:$F,0),MATCH(N$2,英雄装备!$1:$1,0)-3),装备属性!$A:$C,3,0),VLOOKUP(INDEX(英雄装备!$F:$BZ,MATCH($H45,英雄装备!$F:$F,0),MATCH(N$2,英雄装备!$1:$1,0)-2),装备属性!$A:$C,3,0),VLOOKUP(INDEX(英雄装备!$F:$BZ,MATCH($H45,英雄装备!$F:$F,0),MATCH(N$2,英雄装备!$1:$1,0)-1),装备属性!$A:$C,3,0),VLOOKUP(INDEX(英雄装备!$F:$BZ,MATCH($H45,英雄装备!$F:$F,0),MATCH(N$2,英雄装备!$1:$1,0)),装备属性!$A:$C,3,0))</f>
        <v>51</v>
      </c>
      <c r="O45" s="51">
        <f>MAX(VLOOKUP(INDEX(英雄装备!$F:$BZ,MATCH($H45,英雄装备!$F:$F,0),MATCH(O$2,英雄装备!$1:$1,0)-5),装备属性!$A:$C,3,0),VLOOKUP(INDEX(英雄装备!$F:$BZ,MATCH($H45,英雄装备!$F:$F,0),MATCH(O$2,英雄装备!$1:$1,0)-4),装备属性!$A:$C,3,0),VLOOKUP(INDEX(英雄装备!$F:$BZ,MATCH($H45,英雄装备!$F:$F,0),MATCH(O$2,英雄装备!$1:$1,0)-3),装备属性!$A:$C,3,0),VLOOKUP(INDEX(英雄装备!$F:$BZ,MATCH($H45,英雄装备!$F:$F,0),MATCH(O$2,英雄装备!$1:$1,0)-2),装备属性!$A:$C,3,0),VLOOKUP(INDEX(英雄装备!$F:$BZ,MATCH($H45,英雄装备!$F:$F,0),MATCH(O$2,英雄装备!$1:$1,0)-1),装备属性!$A:$C,3,0),VLOOKUP(INDEX(英雄装备!$F:$BZ,MATCH($H45,英雄装备!$F:$F,0),MATCH(O$2,英雄装备!$1:$1,0)),装备属性!$A:$C,3,0))</f>
        <v>60</v>
      </c>
      <c r="P45" s="51">
        <f>MAX(VLOOKUP(INDEX(英雄装备!$F:$BZ,MATCH($H45,英雄装备!$F:$F,0),MATCH(P$2,英雄装备!$1:$1,0)-5),装备属性!$A:$C,3,0),VLOOKUP(INDEX(英雄装备!$F:$BZ,MATCH($H45,英雄装备!$F:$F,0),MATCH(P$2,英雄装备!$1:$1,0)-4),装备属性!$A:$C,3,0),VLOOKUP(INDEX(英雄装备!$F:$BZ,MATCH($H45,英雄装备!$F:$F,0),MATCH(P$2,英雄装备!$1:$1,0)-3),装备属性!$A:$C,3,0),VLOOKUP(INDEX(英雄装备!$F:$BZ,MATCH($H45,英雄装备!$F:$F,0),MATCH(P$2,英雄装备!$1:$1,0)-2),装备属性!$A:$C,3,0),VLOOKUP(INDEX(英雄装备!$F:$BZ,MATCH($H45,英雄装备!$F:$F,0),MATCH(P$2,英雄装备!$1:$1,0)-1),装备属性!$A:$C,3,0),VLOOKUP(INDEX(英雄装备!$F:$BZ,MATCH($H45,英雄装备!$F:$F,0),MATCH(P$2,英雄装备!$1:$1,0)),装备属性!$A:$C,3,0))</f>
        <v>70</v>
      </c>
      <c r="Q45" s="51">
        <f>MAX(VLOOKUP(INDEX(英雄装备!$F:$BZ,MATCH($H45,英雄装备!$F:$F,0),MATCH(Q$2,英雄装备!$1:$1,0)-5),装备属性!$A:$C,3,0),VLOOKUP(INDEX(英雄装备!$F:$BZ,MATCH($H45,英雄装备!$F:$F,0),MATCH(Q$2,英雄装备!$1:$1,0)-4),装备属性!$A:$C,3,0),VLOOKUP(INDEX(英雄装备!$F:$BZ,MATCH($H45,英雄装备!$F:$F,0),MATCH(Q$2,英雄装备!$1:$1,0)-3),装备属性!$A:$C,3,0),VLOOKUP(INDEX(英雄装备!$F:$BZ,MATCH($H45,英雄装备!$F:$F,0),MATCH(Q$2,英雄装备!$1:$1,0)-2),装备属性!$A:$C,3,0),VLOOKUP(INDEX(英雄装备!$F:$BZ,MATCH($H45,英雄装备!$F:$F,0),MATCH(Q$2,英雄装备!$1:$1,0)-1),装备属性!$A:$C,3,0),VLOOKUP(INDEX(英雄装备!$F:$BZ,MATCH($H45,英雄装备!$F:$F,0),MATCH(Q$2,英雄装备!$1:$1,0)),装备属性!$A:$C,3,0))</f>
        <v>78</v>
      </c>
      <c r="R45" s="51">
        <f>MAX(VLOOKUP(INDEX(英雄装备!$F:$BZ,MATCH($H45,英雄装备!$F:$F,0),MATCH(R$2,英雄装备!$1:$1,0)-5),装备属性!$A:$C,3,0),VLOOKUP(INDEX(英雄装备!$F:$BZ,MATCH($H45,英雄装备!$F:$F,0),MATCH(R$2,英雄装备!$1:$1,0)-4),装备属性!$A:$C,3,0),VLOOKUP(INDEX(英雄装备!$F:$BZ,MATCH($H45,英雄装备!$F:$F,0),MATCH(R$2,英雄装备!$1:$1,0)-3),装备属性!$A:$C,3,0),VLOOKUP(INDEX(英雄装备!$F:$BZ,MATCH($H45,英雄装备!$F:$F,0),MATCH(R$2,英雄装备!$1:$1,0)-2),装备属性!$A:$C,3,0),VLOOKUP(INDEX(英雄装备!$F:$BZ,MATCH($H45,英雄装备!$F:$F,0),MATCH(R$2,英雄装备!$1:$1,0)-1),装备属性!$A:$C,3,0),VLOOKUP(INDEX(英雄装备!$F:$BZ,MATCH($H45,英雄装备!$F:$F,0),MATCH(R$2,英雄装备!$1:$1,0)),装备属性!$A:$C,3,0))</f>
        <v>80</v>
      </c>
      <c r="S45" s="51">
        <f>MAX(VLOOKUP(INDEX(英雄装备!$F:$BZ,MATCH($H45,英雄装备!$F:$F,0),MATCH(S$2,英雄装备!$1:$1,0)-5),装备属性!$A:$C,3,0),VLOOKUP(INDEX(英雄装备!$F:$BZ,MATCH($H45,英雄装备!$F:$F,0),MATCH(S$2,英雄装备!$1:$1,0)-4),装备属性!$A:$C,3,0),VLOOKUP(INDEX(英雄装备!$F:$BZ,MATCH($H45,英雄装备!$F:$F,0),MATCH(S$2,英雄装备!$1:$1,0)-3),装备属性!$A:$C,3,0),VLOOKUP(INDEX(英雄装备!$F:$BZ,MATCH($H45,英雄装备!$F:$F,0),MATCH(S$2,英雄装备!$1:$1,0)-2),装备属性!$A:$C,3,0),VLOOKUP(INDEX(英雄装备!$F:$BZ,MATCH($H45,英雄装备!$F:$F,0),MATCH(S$2,英雄装备!$1:$1,0)-1),装备属性!$A:$C,3,0),VLOOKUP(INDEX(英雄装备!$F:$BZ,MATCH($H45,英雄装备!$F:$F,0),MATCH(S$2,英雄装备!$1:$1,0)),装备属性!$A:$C,3,0))</f>
        <v>85</v>
      </c>
      <c r="T45" s="51">
        <f>MAX(VLOOKUP(INDEX(英雄装备!$F:$BZ,MATCH($H45,英雄装备!$F:$F,0),MATCH(T$2,英雄装备!$1:$1,0)-5),装备属性!$A:$C,3,0),VLOOKUP(INDEX(英雄装备!$F:$BZ,MATCH($H45,英雄装备!$F:$F,0),MATCH(T$2,英雄装备!$1:$1,0)-4),装备属性!$A:$C,3,0),VLOOKUP(INDEX(英雄装备!$F:$BZ,MATCH($H45,英雄装备!$F:$F,0),MATCH(T$2,英雄装备!$1:$1,0)-3),装备属性!$A:$C,3,0),VLOOKUP(INDEX(英雄装备!$F:$BZ,MATCH($H45,英雄装备!$F:$F,0),MATCH(T$2,英雄装备!$1:$1,0)-2),装备属性!$A:$C,3,0),VLOOKUP(INDEX(英雄装备!$F:$BZ,MATCH($H45,英雄装备!$F:$F,0),MATCH(T$2,英雄装备!$1:$1,0)-1),装备属性!$A:$C,3,0))</f>
        <v>88</v>
      </c>
      <c r="V45" s="49">
        <v>4</v>
      </c>
      <c r="W45" s="49" t="str">
        <f>IF($V$2&lt;4,"","蓝")</f>
        <v>蓝</v>
      </c>
      <c r="X45" s="150" t="str">
        <f t="shared" ref="X45:AC45" si="19">IF(AND(X30=TRUE,$W45&lt;&gt;""),X4,"")</f>
        <v>散华</v>
      </c>
      <c r="Y45" s="150" t="str">
        <f t="shared" si="19"/>
        <v>蓝杖</v>
      </c>
      <c r="Z45" s="150" t="str">
        <f t="shared" si="19"/>
        <v>秘银锤</v>
      </c>
      <c r="AA45" s="150" t="str">
        <f t="shared" si="19"/>
        <v>冲锋盾</v>
      </c>
      <c r="AB45" s="150" t="str">
        <f t="shared" si="19"/>
        <v>圣殿指环</v>
      </c>
      <c r="AC45" s="150" t="str">
        <f t="shared" si="19"/>
        <v>相位鞋</v>
      </c>
      <c r="AF45" s="49">
        <v>4</v>
      </c>
      <c r="AG45" s="49" t="str">
        <f>AB4</f>
        <v>圣殿指环</v>
      </c>
      <c r="AH45" s="49">
        <f>VLOOKUP($AG45,装备属性!$A:$Y,5,0)</f>
        <v>0</v>
      </c>
      <c r="AI45" s="49">
        <f>VLOOKUP($AG45,装备属性!$A:$Y,6,0)</f>
        <v>0</v>
      </c>
      <c r="AJ45" s="49">
        <f>VLOOKUP($AG45,装备属性!$A:$Y,7,0)</f>
        <v>0</v>
      </c>
      <c r="AK45" s="49">
        <f>VLOOKUP($AG45,装备属性!$A:$Y,8,0)</f>
        <v>0</v>
      </c>
      <c r="AL45" s="49">
        <f>VLOOKUP($AG45,装备属性!$A:$Y,9,0)</f>
        <v>0</v>
      </c>
      <c r="AM45" s="49">
        <f>VLOOKUP($AG45,装备属性!$A:$Y,10,0)</f>
        <v>0</v>
      </c>
      <c r="AN45" s="49">
        <f>VLOOKUP($AG45,装备属性!$A:$Y,11,0)</f>
        <v>2</v>
      </c>
      <c r="AO45" s="49">
        <f>VLOOKUP($AG45,装备属性!$A:$Y,12,0)</f>
        <v>0</v>
      </c>
      <c r="AP45" s="49">
        <f>VLOOKUP($AG45,装备属性!$A:$Y,13,0)</f>
        <v>0</v>
      </c>
      <c r="AQ45" s="49">
        <f>VLOOKUP($AG45,装备属性!$A:$Y,14,0)</f>
        <v>0</v>
      </c>
      <c r="AR45" s="49">
        <f>VLOOKUP($AG45,装备属性!$A:$Y,15,0)</f>
        <v>0</v>
      </c>
      <c r="AS45" s="49">
        <f>VLOOKUP($AG45,装备属性!$A:$Y,16,0)</f>
        <v>0</v>
      </c>
      <c r="AT45" s="49">
        <f>VLOOKUP($AG45,装备属性!$A:$Y,17,0)</f>
        <v>0</v>
      </c>
      <c r="AU45" s="49">
        <f>VLOOKUP($AG45,装备属性!$A:$Y,18,0)</f>
        <v>0</v>
      </c>
      <c r="AV45" s="49">
        <f>VLOOKUP($AG45,装备属性!$A:$Y,19,0)</f>
        <v>0</v>
      </c>
      <c r="AW45" s="49">
        <f>VLOOKUP($AG45,装备属性!$A:$Y,20,0)</f>
        <v>0</v>
      </c>
      <c r="AX45" s="49">
        <f>VLOOKUP($AG45,装备属性!$A:$Y,21,0)</f>
        <v>30</v>
      </c>
      <c r="AY45" s="49">
        <f>VLOOKUP($AG45,装备属性!$A:$Y,22,0)</f>
        <v>0</v>
      </c>
      <c r="AZ45" s="138">
        <f>VLOOKUP($AG45,装备属性!$A:$Y,23,0)</f>
        <v>0</v>
      </c>
      <c r="BA45" s="138">
        <f>VLOOKUP($AG45,装备属性!$A:$Y,24,0)</f>
        <v>0</v>
      </c>
      <c r="BB45" s="138">
        <f>VLOOKUP($AG45,装备属性!$A:$Y,25,0)</f>
        <v>0</v>
      </c>
    </row>
    <row r="46" spans="2:54">
      <c r="B46" s="49" t="str">
        <f>英雄初始!A47</f>
        <v>宙斯</v>
      </c>
      <c r="H46" s="54" t="s">
        <v>199</v>
      </c>
      <c r="I46" s="51">
        <f>MAX(VLOOKUP(INDEX(英雄装备!$F:$BZ,MATCH($H46,英雄装备!$F:$F,0),MATCH(I$2,英雄装备!$1:$1,0)-5),装备属性!$A:$C,3,0),VLOOKUP(INDEX(英雄装备!$F:$BZ,MATCH($H46,英雄装备!$F:$F,0),MATCH(I$2,英雄装备!$1:$1,0)-4),装备属性!$A:$C,3,0),VLOOKUP(INDEX(英雄装备!$F:$BZ,MATCH($H46,英雄装备!$F:$F,0),MATCH(I$2,英雄装备!$1:$1,0)-3),装备属性!$A:$C,3,0),VLOOKUP(INDEX(英雄装备!$F:$BZ,MATCH($H46,英雄装备!$F:$F,0),MATCH(I$2,英雄装备!$1:$1,0)-2),装备属性!$A:$C,3,0),VLOOKUP(INDEX(英雄装备!$F:$BZ,MATCH($H46,英雄装备!$F:$F,0),MATCH(I$2,英雄装备!$1:$1,0)-1),装备属性!$A:$C,3,0),VLOOKUP(INDEX(英雄装备!$F:$BZ,MATCH($H46,英雄装备!$F:$F,0),MATCH(I$2,英雄装备!$1:$1,0)),装备属性!$A:$C,3,0))</f>
        <v>2</v>
      </c>
      <c r="J46" s="51">
        <f>MAX(VLOOKUP(INDEX(英雄装备!$F:$BZ,MATCH($H46,英雄装备!$F:$F,0),MATCH(J$2,英雄装备!$1:$1,0)-5),装备属性!$A:$C,3,0),VLOOKUP(INDEX(英雄装备!$F:$BZ,MATCH($H46,英雄装备!$F:$F,0),MATCH(J$2,英雄装备!$1:$1,0)-4),装备属性!$A:$C,3,0),VLOOKUP(INDEX(英雄装备!$F:$BZ,MATCH($H46,英雄装备!$F:$F,0),MATCH(J$2,英雄装备!$1:$1,0)-3),装备属性!$A:$C,3,0),VLOOKUP(INDEX(英雄装备!$F:$BZ,MATCH($H46,英雄装备!$F:$F,0),MATCH(J$2,英雄装备!$1:$1,0)-2),装备属性!$A:$C,3,0),VLOOKUP(INDEX(英雄装备!$F:$BZ,MATCH($H46,英雄装备!$F:$F,0),MATCH(J$2,英雄装备!$1:$1,0)-1),装备属性!$A:$C,3,0),VLOOKUP(INDEX(英雄装备!$F:$BZ,MATCH($H46,英雄装备!$F:$F,0),MATCH(J$2,英雄装备!$1:$1,0)),装备属性!$A:$C,3,0))</f>
        <v>11</v>
      </c>
      <c r="K46" s="51">
        <f>MAX(VLOOKUP(INDEX(英雄装备!$F:$BZ,MATCH($H46,英雄装备!$F:$F,0),MATCH(K$2,英雄装备!$1:$1,0)-5),装备属性!$A:$C,3,0),VLOOKUP(INDEX(英雄装备!$F:$BZ,MATCH($H46,英雄装备!$F:$F,0),MATCH(K$2,英雄装备!$1:$1,0)-4),装备属性!$A:$C,3,0),VLOOKUP(INDEX(英雄装备!$F:$BZ,MATCH($H46,英雄装备!$F:$F,0),MATCH(K$2,英雄装备!$1:$1,0)-3),装备属性!$A:$C,3,0),VLOOKUP(INDEX(英雄装备!$F:$BZ,MATCH($H46,英雄装备!$F:$F,0),MATCH(K$2,英雄装备!$1:$1,0)-2),装备属性!$A:$C,3,0),VLOOKUP(INDEX(英雄装备!$F:$BZ,MATCH($H46,英雄装备!$F:$F,0),MATCH(K$2,英雄装备!$1:$1,0)-1),装备属性!$A:$C,3,0),VLOOKUP(INDEX(英雄装备!$F:$BZ,MATCH($H46,英雄装备!$F:$F,0),MATCH(K$2,英雄装备!$1:$1,0)),装备属性!$A:$C,3,0))</f>
        <v>21</v>
      </c>
      <c r="L46" s="51">
        <f>MAX(VLOOKUP(INDEX(英雄装备!$F:$BZ,MATCH($H46,英雄装备!$F:$F,0),MATCH(L$2,英雄装备!$1:$1,0)-5),装备属性!$A:$C,3,0),VLOOKUP(INDEX(英雄装备!$F:$BZ,MATCH($H46,英雄装备!$F:$F,0),MATCH(L$2,英雄装备!$1:$1,0)-4),装备属性!$A:$C,3,0),VLOOKUP(INDEX(英雄装备!$F:$BZ,MATCH($H46,英雄装备!$F:$F,0),MATCH(L$2,英雄装备!$1:$1,0)-3),装备属性!$A:$C,3,0),VLOOKUP(INDEX(英雄装备!$F:$BZ,MATCH($H46,英雄装备!$F:$F,0),MATCH(L$2,英雄装备!$1:$1,0)-2),装备属性!$A:$C,3,0),VLOOKUP(INDEX(英雄装备!$F:$BZ,MATCH($H46,英雄装备!$F:$F,0),MATCH(L$2,英雄装备!$1:$1,0)-1),装备属性!$A:$C,3,0),VLOOKUP(INDEX(英雄装备!$F:$BZ,MATCH($H46,英雄装备!$F:$F,0),MATCH(L$2,英雄装备!$1:$1,0)),装备属性!$A:$C,3,0))</f>
        <v>35</v>
      </c>
      <c r="M46" s="51">
        <f>MAX(VLOOKUP(INDEX(英雄装备!$F:$BZ,MATCH($H46,英雄装备!$F:$F,0),MATCH(M$2,英雄装备!$1:$1,0)-5),装备属性!$A:$C,3,0),VLOOKUP(INDEX(英雄装备!$F:$BZ,MATCH($H46,英雄装备!$F:$F,0),MATCH(M$2,英雄装备!$1:$1,0)-4),装备属性!$A:$C,3,0),VLOOKUP(INDEX(英雄装备!$F:$BZ,MATCH($H46,英雄装备!$F:$F,0),MATCH(M$2,英雄装备!$1:$1,0)-3),装备属性!$A:$C,3,0),VLOOKUP(INDEX(英雄装备!$F:$BZ,MATCH($H46,英雄装备!$F:$F,0),MATCH(M$2,英雄装备!$1:$1,0)-2),装备属性!$A:$C,3,0),VLOOKUP(INDEX(英雄装备!$F:$BZ,MATCH($H46,英雄装备!$F:$F,0),MATCH(M$2,英雄装备!$1:$1,0)-1),装备属性!$A:$C,3,0),VLOOKUP(INDEX(英雄装备!$F:$BZ,MATCH($H46,英雄装备!$F:$F,0),MATCH(M$2,英雄装备!$1:$1,0)),装备属性!$A:$C,3,0))</f>
        <v>41</v>
      </c>
      <c r="N46" s="51">
        <f>MAX(VLOOKUP(INDEX(英雄装备!$F:$BZ,MATCH($H46,英雄装备!$F:$F,0),MATCH(N$2,英雄装备!$1:$1,0)-5),装备属性!$A:$C,3,0),VLOOKUP(INDEX(英雄装备!$F:$BZ,MATCH($H46,英雄装备!$F:$F,0),MATCH(N$2,英雄装备!$1:$1,0)-4),装备属性!$A:$C,3,0),VLOOKUP(INDEX(英雄装备!$F:$BZ,MATCH($H46,英雄装备!$F:$F,0),MATCH(N$2,英雄装备!$1:$1,0)-3),装备属性!$A:$C,3,0),VLOOKUP(INDEX(英雄装备!$F:$BZ,MATCH($H46,英雄装备!$F:$F,0),MATCH(N$2,英雄装备!$1:$1,0)-2),装备属性!$A:$C,3,0),VLOOKUP(INDEX(英雄装备!$F:$BZ,MATCH($H46,英雄装备!$F:$F,0),MATCH(N$2,英雄装备!$1:$1,0)-1),装备属性!$A:$C,3,0),VLOOKUP(INDEX(英雄装备!$F:$BZ,MATCH($H46,英雄装备!$F:$F,0),MATCH(N$2,英雄装备!$1:$1,0)),装备属性!$A:$C,3,0))</f>
        <v>52</v>
      </c>
      <c r="O46" s="51">
        <f>MAX(VLOOKUP(INDEX(英雄装备!$F:$BZ,MATCH($H46,英雄装备!$F:$F,0),MATCH(O$2,英雄装备!$1:$1,0)-5),装备属性!$A:$C,3,0),VLOOKUP(INDEX(英雄装备!$F:$BZ,MATCH($H46,英雄装备!$F:$F,0),MATCH(O$2,英雄装备!$1:$1,0)-4),装备属性!$A:$C,3,0),VLOOKUP(INDEX(英雄装备!$F:$BZ,MATCH($H46,英雄装备!$F:$F,0),MATCH(O$2,英雄装备!$1:$1,0)-3),装备属性!$A:$C,3,0),VLOOKUP(INDEX(英雄装备!$F:$BZ,MATCH($H46,英雄装备!$F:$F,0),MATCH(O$2,英雄装备!$1:$1,0)-2),装备属性!$A:$C,3,0),VLOOKUP(INDEX(英雄装备!$F:$BZ,MATCH($H46,英雄装备!$F:$F,0),MATCH(O$2,英雄装备!$1:$1,0)-1),装备属性!$A:$C,3,0),VLOOKUP(INDEX(英雄装备!$F:$BZ,MATCH($H46,英雄装备!$F:$F,0),MATCH(O$2,英雄装备!$1:$1,0)),装备属性!$A:$C,3,0))</f>
        <v>62</v>
      </c>
      <c r="P46" s="51">
        <f>MAX(VLOOKUP(INDEX(英雄装备!$F:$BZ,MATCH($H46,英雄装备!$F:$F,0),MATCH(P$2,英雄装备!$1:$1,0)-5),装备属性!$A:$C,3,0),VLOOKUP(INDEX(英雄装备!$F:$BZ,MATCH($H46,英雄装备!$F:$F,0),MATCH(P$2,英雄装备!$1:$1,0)-4),装备属性!$A:$C,3,0),VLOOKUP(INDEX(英雄装备!$F:$BZ,MATCH($H46,英雄装备!$F:$F,0),MATCH(P$2,英雄装备!$1:$1,0)-3),装备属性!$A:$C,3,0),VLOOKUP(INDEX(英雄装备!$F:$BZ,MATCH($H46,英雄装备!$F:$F,0),MATCH(P$2,英雄装备!$1:$1,0)-2),装备属性!$A:$C,3,0),VLOOKUP(INDEX(英雄装备!$F:$BZ,MATCH($H46,英雄装备!$F:$F,0),MATCH(P$2,英雄装备!$1:$1,0)-1),装备属性!$A:$C,3,0),VLOOKUP(INDEX(英雄装备!$F:$BZ,MATCH($H46,英雄装备!$F:$F,0),MATCH(P$2,英雄装备!$1:$1,0)),装备属性!$A:$C,3,0))</f>
        <v>72</v>
      </c>
      <c r="Q46" s="51">
        <f>MAX(VLOOKUP(INDEX(英雄装备!$F:$BZ,MATCH($H46,英雄装备!$F:$F,0),MATCH(Q$2,英雄装备!$1:$1,0)-5),装备属性!$A:$C,3,0),VLOOKUP(INDEX(英雄装备!$F:$BZ,MATCH($H46,英雄装备!$F:$F,0),MATCH(Q$2,英雄装备!$1:$1,0)-4),装备属性!$A:$C,3,0),VLOOKUP(INDEX(英雄装备!$F:$BZ,MATCH($H46,英雄装备!$F:$F,0),MATCH(Q$2,英雄装备!$1:$1,0)-3),装备属性!$A:$C,3,0),VLOOKUP(INDEX(英雄装备!$F:$BZ,MATCH($H46,英雄装备!$F:$F,0),MATCH(Q$2,英雄装备!$1:$1,0)-2),装备属性!$A:$C,3,0),VLOOKUP(INDEX(英雄装备!$F:$BZ,MATCH($H46,英雄装备!$F:$F,0),MATCH(Q$2,英雄装备!$1:$1,0)-1),装备属性!$A:$C,3,0),VLOOKUP(INDEX(英雄装备!$F:$BZ,MATCH($H46,英雄装备!$F:$F,0),MATCH(Q$2,英雄装备!$1:$1,0)),装备属性!$A:$C,3,0))</f>
        <v>77</v>
      </c>
      <c r="R46" s="51">
        <f>MAX(VLOOKUP(INDEX(英雄装备!$F:$BZ,MATCH($H46,英雄装备!$F:$F,0),MATCH(R$2,英雄装备!$1:$1,0)-5),装备属性!$A:$C,3,0),VLOOKUP(INDEX(英雄装备!$F:$BZ,MATCH($H46,英雄装备!$F:$F,0),MATCH(R$2,英雄装备!$1:$1,0)-4),装备属性!$A:$C,3,0),VLOOKUP(INDEX(英雄装备!$F:$BZ,MATCH($H46,英雄装备!$F:$F,0),MATCH(R$2,英雄装备!$1:$1,0)-3),装备属性!$A:$C,3,0),VLOOKUP(INDEX(英雄装备!$F:$BZ,MATCH($H46,英雄装备!$F:$F,0),MATCH(R$2,英雄装备!$1:$1,0)-2),装备属性!$A:$C,3,0),VLOOKUP(INDEX(英雄装备!$F:$BZ,MATCH($H46,英雄装备!$F:$F,0),MATCH(R$2,英雄装备!$1:$1,0)-1),装备属性!$A:$C,3,0),VLOOKUP(INDEX(英雄装备!$F:$BZ,MATCH($H46,英雄装备!$F:$F,0),MATCH(R$2,英雄装备!$1:$1,0)),装备属性!$A:$C,3,0))</f>
        <v>70</v>
      </c>
      <c r="S46" s="51">
        <f>MAX(VLOOKUP(INDEX(英雄装备!$F:$BZ,MATCH($H46,英雄装备!$F:$F,0),MATCH(S$2,英雄装备!$1:$1,0)-5),装备属性!$A:$C,3,0),VLOOKUP(INDEX(英雄装备!$F:$BZ,MATCH($H46,英雄装备!$F:$F,0),MATCH(S$2,英雄装备!$1:$1,0)-4),装备属性!$A:$C,3,0),VLOOKUP(INDEX(英雄装备!$F:$BZ,MATCH($H46,英雄装备!$F:$F,0),MATCH(S$2,英雄装备!$1:$1,0)-3),装备属性!$A:$C,3,0),VLOOKUP(INDEX(英雄装备!$F:$BZ,MATCH($H46,英雄装备!$F:$F,0),MATCH(S$2,英雄装备!$1:$1,0)-2),装备属性!$A:$C,3,0),VLOOKUP(INDEX(英雄装备!$F:$BZ,MATCH($H46,英雄装备!$F:$F,0),MATCH(S$2,英雄装备!$1:$1,0)-1),装备属性!$A:$C,3,0),VLOOKUP(INDEX(英雄装备!$F:$BZ,MATCH($H46,英雄装备!$F:$F,0),MATCH(S$2,英雄装备!$1:$1,0)),装备属性!$A:$C,3,0))</f>
        <v>84</v>
      </c>
      <c r="T46" s="51">
        <f>MAX(VLOOKUP(INDEX(英雄装备!$F:$BZ,MATCH($H46,英雄装备!$F:$F,0),MATCH(T$2,英雄装备!$1:$1,0)-5),装备属性!$A:$C,3,0),VLOOKUP(INDEX(英雄装备!$F:$BZ,MATCH($H46,英雄装备!$F:$F,0),MATCH(T$2,英雄装备!$1:$1,0)-4),装备属性!$A:$C,3,0),VLOOKUP(INDEX(英雄装备!$F:$BZ,MATCH($H46,英雄装备!$F:$F,0),MATCH(T$2,英雄装备!$1:$1,0)-3),装备属性!$A:$C,3,0),VLOOKUP(INDEX(英雄装备!$F:$BZ,MATCH($H46,英雄装备!$F:$F,0),MATCH(T$2,英雄装备!$1:$1,0)-2),装备属性!$A:$C,3,0),VLOOKUP(INDEX(英雄装备!$F:$BZ,MATCH($H46,英雄装备!$F:$F,0),MATCH(T$2,英雄装备!$1:$1,0)-1),装备属性!$A:$C,3,0))</f>
        <v>88</v>
      </c>
      <c r="V46" s="49">
        <v>5</v>
      </c>
      <c r="W46" s="49" t="str">
        <f>IF($V$2&lt;5,"","蓝+1")</f>
        <v>蓝+1</v>
      </c>
      <c r="X46" s="150" t="str">
        <f t="shared" ref="X46:AC46" si="20">IF(AND(X31=TRUE,$W46&lt;&gt;""),X5,"")</f>
        <v>双刀</v>
      </c>
      <c r="Y46" s="150" t="str">
        <f t="shared" si="20"/>
        <v>黑黄</v>
      </c>
      <c r="Z46" s="150" t="str">
        <f t="shared" si="20"/>
        <v>支配</v>
      </c>
      <c r="AA46" s="150" t="str">
        <f t="shared" si="20"/>
        <v>古之耐歌</v>
      </c>
      <c r="AB46" s="150" t="str">
        <f t="shared" si="20"/>
        <v>敏捷系带</v>
      </c>
      <c r="AC46" s="150" t="str">
        <f t="shared" si="20"/>
        <v>相位鞋</v>
      </c>
      <c r="AF46" s="49">
        <v>4</v>
      </c>
      <c r="AG46" s="49" t="str">
        <f>AC4</f>
        <v>相位鞋</v>
      </c>
      <c r="AH46" s="49">
        <f>VLOOKUP($AG46,装备属性!$A:$Y,5,0)</f>
        <v>9</v>
      </c>
      <c r="AI46" s="49">
        <f>VLOOKUP($AG46,装备属性!$A:$Y,6,0)</f>
        <v>9</v>
      </c>
      <c r="AJ46" s="49">
        <f>VLOOKUP($AG46,装备属性!$A:$Y,7,0)</f>
        <v>9</v>
      </c>
      <c r="AK46" s="49">
        <f>VLOOKUP($AG46,装备属性!$A:$Y,8,0)</f>
        <v>0</v>
      </c>
      <c r="AL46" s="49">
        <f>VLOOKUP($AG46,装备属性!$A:$Y,9,0)</f>
        <v>24</v>
      </c>
      <c r="AM46" s="49">
        <f>VLOOKUP($AG46,装备属性!$A:$Y,10,0)</f>
        <v>0</v>
      </c>
      <c r="AN46" s="49">
        <f>VLOOKUP($AG46,装备属性!$A:$Y,11,0)</f>
        <v>0</v>
      </c>
      <c r="AO46" s="49">
        <f>VLOOKUP($AG46,装备属性!$A:$Y,12,0)</f>
        <v>0</v>
      </c>
      <c r="AP46" s="49">
        <f>VLOOKUP($AG46,装备属性!$A:$Y,13,0)</f>
        <v>0</v>
      </c>
      <c r="AQ46" s="49">
        <f>VLOOKUP($AG46,装备属性!$A:$Y,14,0)</f>
        <v>0</v>
      </c>
      <c r="AR46" s="49">
        <f>VLOOKUP($AG46,装备属性!$A:$Y,15,0)</f>
        <v>0</v>
      </c>
      <c r="AS46" s="49">
        <f>VLOOKUP($AG46,装备属性!$A:$Y,16,0)</f>
        <v>0</v>
      </c>
      <c r="AT46" s="49">
        <f>VLOOKUP($AG46,装备属性!$A:$Y,17,0)</f>
        <v>0</v>
      </c>
      <c r="AU46" s="49">
        <f>VLOOKUP($AG46,装备属性!$A:$Y,18,0)</f>
        <v>0</v>
      </c>
      <c r="AV46" s="49">
        <f>VLOOKUP($AG46,装备属性!$A:$Y,19,0)</f>
        <v>0</v>
      </c>
      <c r="AW46" s="49">
        <f>VLOOKUP($AG46,装备属性!$A:$Y,20,0)</f>
        <v>0</v>
      </c>
      <c r="AX46" s="49">
        <f>VLOOKUP($AG46,装备属性!$A:$Y,21,0)</f>
        <v>0</v>
      </c>
      <c r="AY46" s="49">
        <f>VLOOKUP($AG46,装备属性!$A:$Y,22,0)</f>
        <v>0</v>
      </c>
      <c r="AZ46" s="138">
        <f>VLOOKUP($AG46,装备属性!$A:$Y,23,0)</f>
        <v>0</v>
      </c>
      <c r="BA46" s="138">
        <f>VLOOKUP($AG46,装备属性!$A:$Y,24,0)</f>
        <v>0</v>
      </c>
      <c r="BB46" s="138">
        <f>VLOOKUP($AG46,装备属性!$A:$Y,25,0)</f>
        <v>0</v>
      </c>
    </row>
    <row r="47" spans="2:54">
      <c r="B47" s="49" t="s">
        <v>1308</v>
      </c>
      <c r="H47" s="54" t="s">
        <v>200</v>
      </c>
      <c r="I47" s="51">
        <f>MAX(VLOOKUP(INDEX(英雄装备!$F:$BZ,MATCH($H47,英雄装备!$F:$F,0),MATCH(I$2,英雄装备!$1:$1,0)-5),装备属性!$A:$C,3,0),VLOOKUP(INDEX(英雄装备!$F:$BZ,MATCH($H47,英雄装备!$F:$F,0),MATCH(I$2,英雄装备!$1:$1,0)-4),装备属性!$A:$C,3,0),VLOOKUP(INDEX(英雄装备!$F:$BZ,MATCH($H47,英雄装备!$F:$F,0),MATCH(I$2,英雄装备!$1:$1,0)-3),装备属性!$A:$C,3,0),VLOOKUP(INDEX(英雄装备!$F:$BZ,MATCH($H47,英雄装备!$F:$F,0),MATCH(I$2,英雄装备!$1:$1,0)-2),装备属性!$A:$C,3,0),VLOOKUP(INDEX(英雄装备!$F:$BZ,MATCH($H47,英雄装备!$F:$F,0),MATCH(I$2,英雄装备!$1:$1,0)-1),装备属性!$A:$C,3,0),VLOOKUP(INDEX(英雄装备!$F:$BZ,MATCH($H47,英雄装备!$F:$F,0),MATCH(I$2,英雄装备!$1:$1,0)),装备属性!$A:$C,3,0))</f>
        <v>2</v>
      </c>
      <c r="J47" s="51">
        <f>MAX(VLOOKUP(INDEX(英雄装备!$F:$BZ,MATCH($H47,英雄装备!$F:$F,0),MATCH(J$2,英雄装备!$1:$1,0)-5),装备属性!$A:$C,3,0),VLOOKUP(INDEX(英雄装备!$F:$BZ,MATCH($H47,英雄装备!$F:$F,0),MATCH(J$2,英雄装备!$1:$1,0)-4),装备属性!$A:$C,3,0),VLOOKUP(INDEX(英雄装备!$F:$BZ,MATCH($H47,英雄装备!$F:$F,0),MATCH(J$2,英雄装备!$1:$1,0)-3),装备属性!$A:$C,3,0),VLOOKUP(INDEX(英雄装备!$F:$BZ,MATCH($H47,英雄装备!$F:$F,0),MATCH(J$2,英雄装备!$1:$1,0)-2),装备属性!$A:$C,3,0),VLOOKUP(INDEX(英雄装备!$F:$BZ,MATCH($H47,英雄装备!$F:$F,0),MATCH(J$2,英雄装备!$1:$1,0)-1),装备属性!$A:$C,3,0),VLOOKUP(INDEX(英雄装备!$F:$BZ,MATCH($H47,英雄装备!$F:$F,0),MATCH(J$2,英雄装备!$1:$1,0)),装备属性!$A:$C,3,0))</f>
        <v>10</v>
      </c>
      <c r="K47" s="51">
        <f>MAX(VLOOKUP(INDEX(英雄装备!$F:$BZ,MATCH($H47,英雄装备!$F:$F,0),MATCH(K$2,英雄装备!$1:$1,0)-5),装备属性!$A:$C,3,0),VLOOKUP(INDEX(英雄装备!$F:$BZ,MATCH($H47,英雄装备!$F:$F,0),MATCH(K$2,英雄装备!$1:$1,0)-4),装备属性!$A:$C,3,0),VLOOKUP(INDEX(英雄装备!$F:$BZ,MATCH($H47,英雄装备!$F:$F,0),MATCH(K$2,英雄装备!$1:$1,0)-3),装备属性!$A:$C,3,0),VLOOKUP(INDEX(英雄装备!$F:$BZ,MATCH($H47,英雄装备!$F:$F,0),MATCH(K$2,英雄装备!$1:$1,0)-2),装备属性!$A:$C,3,0),VLOOKUP(INDEX(英雄装备!$F:$BZ,MATCH($H47,英雄装备!$F:$F,0),MATCH(K$2,英雄装备!$1:$1,0)-1),装备属性!$A:$C,3,0),VLOOKUP(INDEX(英雄装备!$F:$BZ,MATCH($H47,英雄装备!$F:$F,0),MATCH(K$2,英雄装备!$1:$1,0)),装备属性!$A:$C,3,0))</f>
        <v>20</v>
      </c>
      <c r="L47" s="51">
        <f>MAX(VLOOKUP(INDEX(英雄装备!$F:$BZ,MATCH($H47,英雄装备!$F:$F,0),MATCH(L$2,英雄装备!$1:$1,0)-5),装备属性!$A:$C,3,0),VLOOKUP(INDEX(英雄装备!$F:$BZ,MATCH($H47,英雄装备!$F:$F,0),MATCH(L$2,英雄装备!$1:$1,0)-4),装备属性!$A:$C,3,0),VLOOKUP(INDEX(英雄装备!$F:$BZ,MATCH($H47,英雄装备!$F:$F,0),MATCH(L$2,英雄装备!$1:$1,0)-3),装备属性!$A:$C,3,0),VLOOKUP(INDEX(英雄装备!$F:$BZ,MATCH($H47,英雄装备!$F:$F,0),MATCH(L$2,英雄装备!$1:$1,0)-2),装备属性!$A:$C,3,0),VLOOKUP(INDEX(英雄装备!$F:$BZ,MATCH($H47,英雄装备!$F:$F,0),MATCH(L$2,英雄装备!$1:$1,0)-1),装备属性!$A:$C,3,0),VLOOKUP(INDEX(英雄装备!$F:$BZ,MATCH($H47,英雄装备!$F:$F,0),MATCH(L$2,英雄装备!$1:$1,0)),装备属性!$A:$C,3,0))</f>
        <v>33</v>
      </c>
      <c r="M47" s="51">
        <f>MAX(VLOOKUP(INDEX(英雄装备!$F:$BZ,MATCH($H47,英雄装备!$F:$F,0),MATCH(M$2,英雄装备!$1:$1,0)-5),装备属性!$A:$C,3,0),VLOOKUP(INDEX(英雄装备!$F:$BZ,MATCH($H47,英雄装备!$F:$F,0),MATCH(M$2,英雄装备!$1:$1,0)-4),装备属性!$A:$C,3,0),VLOOKUP(INDEX(英雄装备!$F:$BZ,MATCH($H47,英雄装备!$F:$F,0),MATCH(M$2,英雄装备!$1:$1,0)-3),装备属性!$A:$C,3,0),VLOOKUP(INDEX(英雄装备!$F:$BZ,MATCH($H47,英雄装备!$F:$F,0),MATCH(M$2,英雄装备!$1:$1,0)-2),装备属性!$A:$C,3,0),VLOOKUP(INDEX(英雄装备!$F:$BZ,MATCH($H47,英雄装备!$F:$F,0),MATCH(M$2,英雄装备!$1:$1,0)-1),装备属性!$A:$C,3,0),VLOOKUP(INDEX(英雄装备!$F:$BZ,MATCH($H47,英雄装备!$F:$F,0),MATCH(M$2,英雄装备!$1:$1,0)),装备属性!$A:$C,3,0))</f>
        <v>34</v>
      </c>
      <c r="N47" s="51">
        <f>MAX(VLOOKUP(INDEX(英雄装备!$F:$BZ,MATCH($H47,英雄装备!$F:$F,0),MATCH(N$2,英雄装备!$1:$1,0)-5),装备属性!$A:$C,3,0),VLOOKUP(INDEX(英雄装备!$F:$BZ,MATCH($H47,英雄装备!$F:$F,0),MATCH(N$2,英雄装备!$1:$1,0)-4),装备属性!$A:$C,3,0),VLOOKUP(INDEX(英雄装备!$F:$BZ,MATCH($H47,英雄装备!$F:$F,0),MATCH(N$2,英雄装备!$1:$1,0)-3),装备属性!$A:$C,3,0),VLOOKUP(INDEX(英雄装备!$F:$BZ,MATCH($H47,英雄装备!$F:$F,0),MATCH(N$2,英雄装备!$1:$1,0)-2),装备属性!$A:$C,3,0),VLOOKUP(INDEX(英雄装备!$F:$BZ,MATCH($H47,英雄装备!$F:$F,0),MATCH(N$2,英雄装备!$1:$1,0)-1),装备属性!$A:$C,3,0),VLOOKUP(INDEX(英雄装备!$F:$BZ,MATCH($H47,英雄装备!$F:$F,0),MATCH(N$2,英雄装备!$1:$1,0)),装备属性!$A:$C,3,0))</f>
        <v>53</v>
      </c>
      <c r="O47" s="51">
        <f>MAX(VLOOKUP(INDEX(英雄装备!$F:$BZ,MATCH($H47,英雄装备!$F:$F,0),MATCH(O$2,英雄装备!$1:$1,0)-5),装备属性!$A:$C,3,0),VLOOKUP(INDEX(英雄装备!$F:$BZ,MATCH($H47,英雄装备!$F:$F,0),MATCH(O$2,英雄装备!$1:$1,0)-4),装备属性!$A:$C,3,0),VLOOKUP(INDEX(英雄装备!$F:$BZ,MATCH($H47,英雄装备!$F:$F,0),MATCH(O$2,英雄装备!$1:$1,0)-3),装备属性!$A:$C,3,0),VLOOKUP(INDEX(英雄装备!$F:$BZ,MATCH($H47,英雄装备!$F:$F,0),MATCH(O$2,英雄装备!$1:$1,0)-2),装备属性!$A:$C,3,0),VLOOKUP(INDEX(英雄装备!$F:$BZ,MATCH($H47,英雄装备!$F:$F,0),MATCH(O$2,英雄装备!$1:$1,0)-1),装备属性!$A:$C,3,0),VLOOKUP(INDEX(英雄装备!$F:$BZ,MATCH($H47,英雄装备!$F:$F,0),MATCH(O$2,英雄装备!$1:$1,0)),装备属性!$A:$C,3,0))</f>
        <v>59</v>
      </c>
      <c r="P47" s="51">
        <f>MAX(VLOOKUP(INDEX(英雄装备!$F:$BZ,MATCH($H47,英雄装备!$F:$F,0),MATCH(P$2,英雄装备!$1:$1,0)-5),装备属性!$A:$C,3,0),VLOOKUP(INDEX(英雄装备!$F:$BZ,MATCH($H47,英雄装备!$F:$F,0),MATCH(P$2,英雄装备!$1:$1,0)-4),装备属性!$A:$C,3,0),VLOOKUP(INDEX(英雄装备!$F:$BZ,MATCH($H47,英雄装备!$F:$F,0),MATCH(P$2,英雄装备!$1:$1,0)-3),装备属性!$A:$C,3,0),VLOOKUP(INDEX(英雄装备!$F:$BZ,MATCH($H47,英雄装备!$F:$F,0),MATCH(P$2,英雄装备!$1:$1,0)-2),装备属性!$A:$C,3,0),VLOOKUP(INDEX(英雄装备!$F:$BZ,MATCH($H47,英雄装备!$F:$F,0),MATCH(P$2,英雄装备!$1:$1,0)-1),装备属性!$A:$C,3,0),VLOOKUP(INDEX(英雄装备!$F:$BZ,MATCH($H47,英雄装备!$F:$F,0),MATCH(P$2,英雄装备!$1:$1,0)),装备属性!$A:$C,3,0))</f>
        <v>70</v>
      </c>
      <c r="Q47" s="51">
        <f>MAX(VLOOKUP(INDEX(英雄装备!$F:$BZ,MATCH($H47,英雄装备!$F:$F,0),MATCH(Q$2,英雄装备!$1:$1,0)-5),装备属性!$A:$C,3,0),VLOOKUP(INDEX(英雄装备!$F:$BZ,MATCH($H47,英雄装备!$F:$F,0),MATCH(Q$2,英雄装备!$1:$1,0)-4),装备属性!$A:$C,3,0),VLOOKUP(INDEX(英雄装备!$F:$BZ,MATCH($H47,英雄装备!$F:$F,0),MATCH(Q$2,英雄装备!$1:$1,0)-3),装备属性!$A:$C,3,0),VLOOKUP(INDEX(英雄装备!$F:$BZ,MATCH($H47,英雄装备!$F:$F,0),MATCH(Q$2,英雄装备!$1:$1,0)-2),装备属性!$A:$C,3,0),VLOOKUP(INDEX(英雄装备!$F:$BZ,MATCH($H47,英雄装备!$F:$F,0),MATCH(Q$2,英雄装备!$1:$1,0)-1),装备属性!$A:$C,3,0),VLOOKUP(INDEX(英雄装备!$F:$BZ,MATCH($H47,英雄装备!$F:$F,0),MATCH(Q$2,英雄装备!$1:$1,0)),装备属性!$A:$C,3,0))</f>
        <v>78</v>
      </c>
      <c r="R47" s="51">
        <f>MAX(VLOOKUP(INDEX(英雄装备!$F:$BZ,MATCH($H47,英雄装备!$F:$F,0),MATCH(R$2,英雄装备!$1:$1,0)-5),装备属性!$A:$C,3,0),VLOOKUP(INDEX(英雄装备!$F:$BZ,MATCH($H47,英雄装备!$F:$F,0),MATCH(R$2,英雄装备!$1:$1,0)-4),装备属性!$A:$C,3,0),VLOOKUP(INDEX(英雄装备!$F:$BZ,MATCH($H47,英雄装备!$F:$F,0),MATCH(R$2,英雄装备!$1:$1,0)-3),装备属性!$A:$C,3,0),VLOOKUP(INDEX(英雄装备!$F:$BZ,MATCH($H47,英雄装备!$F:$F,0),MATCH(R$2,英雄装备!$1:$1,0)-2),装备属性!$A:$C,3,0),VLOOKUP(INDEX(英雄装备!$F:$BZ,MATCH($H47,英雄装备!$F:$F,0),MATCH(R$2,英雄装备!$1:$1,0)-1),装备属性!$A:$C,3,0),VLOOKUP(INDEX(英雄装备!$F:$BZ,MATCH($H47,英雄装备!$F:$F,0),MATCH(R$2,英雄装备!$1:$1,0)),装备属性!$A:$C,3,0))</f>
        <v>80</v>
      </c>
      <c r="S47" s="51">
        <f>MAX(VLOOKUP(INDEX(英雄装备!$F:$BZ,MATCH($H47,英雄装备!$F:$F,0),MATCH(S$2,英雄装备!$1:$1,0)-5),装备属性!$A:$C,3,0),VLOOKUP(INDEX(英雄装备!$F:$BZ,MATCH($H47,英雄装备!$F:$F,0),MATCH(S$2,英雄装备!$1:$1,0)-4),装备属性!$A:$C,3,0),VLOOKUP(INDEX(英雄装备!$F:$BZ,MATCH($H47,英雄装备!$F:$F,0),MATCH(S$2,英雄装备!$1:$1,0)-3),装备属性!$A:$C,3,0),VLOOKUP(INDEX(英雄装备!$F:$BZ,MATCH($H47,英雄装备!$F:$F,0),MATCH(S$2,英雄装备!$1:$1,0)-2),装备属性!$A:$C,3,0),VLOOKUP(INDEX(英雄装备!$F:$BZ,MATCH($H47,英雄装备!$F:$F,0),MATCH(S$2,英雄装备!$1:$1,0)-1),装备属性!$A:$C,3,0),VLOOKUP(INDEX(英雄装备!$F:$BZ,MATCH($H47,英雄装备!$F:$F,0),MATCH(S$2,英雄装备!$1:$1,0)),装备属性!$A:$C,3,0))</f>
        <v>85</v>
      </c>
      <c r="T47" s="51">
        <f>MAX(VLOOKUP(INDEX(英雄装备!$F:$BZ,MATCH($H47,英雄装备!$F:$F,0),MATCH(T$2,英雄装备!$1:$1,0)-5),装备属性!$A:$C,3,0),VLOOKUP(INDEX(英雄装备!$F:$BZ,MATCH($H47,英雄装备!$F:$F,0),MATCH(T$2,英雄装备!$1:$1,0)-4),装备属性!$A:$C,3,0),VLOOKUP(INDEX(英雄装备!$F:$BZ,MATCH($H47,英雄装备!$F:$F,0),MATCH(T$2,英雄装备!$1:$1,0)-3),装备属性!$A:$C,3,0),VLOOKUP(INDEX(英雄装备!$F:$BZ,MATCH($H47,英雄装备!$F:$F,0),MATCH(T$2,英雄装备!$1:$1,0)-2),装备属性!$A:$C,3,0),VLOOKUP(INDEX(英雄装备!$F:$BZ,MATCH($H47,英雄装备!$F:$F,0),MATCH(T$2,英雄装备!$1:$1,0)-1),装备属性!$A:$C,3,0))</f>
        <v>88</v>
      </c>
      <c r="V47" s="49">
        <v>6</v>
      </c>
      <c r="W47" s="49" t="str">
        <f>IF($V$2&lt;6,"","蓝+2")</f>
        <v>蓝+2</v>
      </c>
      <c r="X47" s="150" t="str">
        <f t="shared" ref="X47:AC47" si="21">IF(AND(X32=TRUE,$W47&lt;&gt;""),X6,"")</f>
        <v>分身斧</v>
      </c>
      <c r="Y47" s="150" t="str">
        <f t="shared" si="21"/>
        <v>洛萨</v>
      </c>
      <c r="Z47" s="150" t="str">
        <f t="shared" si="21"/>
        <v>暗灭</v>
      </c>
      <c r="AA47" s="150" t="str">
        <f t="shared" si="21"/>
        <v>散华</v>
      </c>
      <c r="AB47" s="150" t="str">
        <f t="shared" si="21"/>
        <v>吸血面具</v>
      </c>
      <c r="AC47" s="150" t="str">
        <f t="shared" si="21"/>
        <v>敏捷假腿</v>
      </c>
      <c r="AF47" s="49">
        <v>5</v>
      </c>
      <c r="AG47" s="49" t="str">
        <f>X5</f>
        <v>双刀</v>
      </c>
      <c r="AH47" s="49">
        <f>VLOOKUP($AG47,装备属性!$A:$Y,5,0)</f>
        <v>16</v>
      </c>
      <c r="AI47" s="49">
        <f>VLOOKUP($AG47,装备属性!$A:$Y,6,0)</f>
        <v>16</v>
      </c>
      <c r="AJ47" s="49">
        <f>VLOOKUP($AG47,装备属性!$A:$Y,7,0)</f>
        <v>0</v>
      </c>
      <c r="AK47" s="49">
        <f>VLOOKUP($AG47,装备属性!$A:$Y,8,0)</f>
        <v>0</v>
      </c>
      <c r="AL47" s="49">
        <f>VLOOKUP($AG47,装备属性!$A:$Y,9,0)</f>
        <v>12</v>
      </c>
      <c r="AM47" s="49">
        <f>VLOOKUP($AG47,装备属性!$A:$Y,10,0)</f>
        <v>0</v>
      </c>
      <c r="AN47" s="49">
        <f>VLOOKUP($AG47,装备属性!$A:$Y,11,0)</f>
        <v>0</v>
      </c>
      <c r="AO47" s="49">
        <f>VLOOKUP($AG47,装备属性!$A:$Y,12,0)</f>
        <v>0</v>
      </c>
      <c r="AP47" s="49">
        <f>VLOOKUP($AG47,装备属性!$A:$Y,13,0)</f>
        <v>12</v>
      </c>
      <c r="AQ47" s="49">
        <f>VLOOKUP($AG47,装备属性!$A:$Y,14,0)</f>
        <v>0</v>
      </c>
      <c r="AR47" s="49">
        <f>VLOOKUP($AG47,装备属性!$A:$Y,15,0)</f>
        <v>0</v>
      </c>
      <c r="AS47" s="49">
        <f>VLOOKUP($AG47,装备属性!$A:$Y,16,0)</f>
        <v>0</v>
      </c>
      <c r="AT47" s="49">
        <f>VLOOKUP($AG47,装备属性!$A:$Y,17,0)</f>
        <v>0</v>
      </c>
      <c r="AU47" s="49">
        <f>VLOOKUP($AG47,装备属性!$A:$Y,18,0)</f>
        <v>0</v>
      </c>
      <c r="AV47" s="49">
        <f>VLOOKUP($AG47,装备属性!$A:$Y,19,0)</f>
        <v>0</v>
      </c>
      <c r="AW47" s="49">
        <f>VLOOKUP($AG47,装备属性!$A:$Y,20,0)</f>
        <v>0</v>
      </c>
      <c r="AX47" s="49">
        <f>VLOOKUP($AG47,装备属性!$A:$Y,21,0)</f>
        <v>0</v>
      </c>
      <c r="AY47" s="49">
        <f>VLOOKUP($AG47,装备属性!$A:$Y,22,0)</f>
        <v>0</v>
      </c>
      <c r="AZ47" s="138">
        <f>VLOOKUP($AG47,装备属性!$A:$Y,23,0)</f>
        <v>0</v>
      </c>
      <c r="BA47" s="138">
        <f>VLOOKUP($AG47,装备属性!$A:$Y,24,0)</f>
        <v>0</v>
      </c>
      <c r="BB47" s="138">
        <f>VLOOKUP($AG47,装备属性!$A:$Y,25,0)</f>
        <v>0</v>
      </c>
    </row>
    <row r="48" spans="2:54">
      <c r="B48" s="108" t="s">
        <v>1795</v>
      </c>
      <c r="H48" s="54" t="s">
        <v>201</v>
      </c>
      <c r="I48" s="51">
        <f>MAX(VLOOKUP(INDEX(英雄装备!$F:$BZ,MATCH($H48,英雄装备!$F:$F,0),MATCH(I$2,英雄装备!$1:$1,0)-5),装备属性!$A:$C,3,0),VLOOKUP(INDEX(英雄装备!$F:$BZ,MATCH($H48,英雄装备!$F:$F,0),MATCH(I$2,英雄装备!$1:$1,0)-4),装备属性!$A:$C,3,0),VLOOKUP(INDEX(英雄装备!$F:$BZ,MATCH($H48,英雄装备!$F:$F,0),MATCH(I$2,英雄装备!$1:$1,0)-3),装备属性!$A:$C,3,0),VLOOKUP(INDEX(英雄装备!$F:$BZ,MATCH($H48,英雄装备!$F:$F,0),MATCH(I$2,英雄装备!$1:$1,0)-2),装备属性!$A:$C,3,0),VLOOKUP(INDEX(英雄装备!$F:$BZ,MATCH($H48,英雄装备!$F:$F,0),MATCH(I$2,英雄装备!$1:$1,0)-1),装备属性!$A:$C,3,0),VLOOKUP(INDEX(英雄装备!$F:$BZ,MATCH($H48,英雄装备!$F:$F,0),MATCH(I$2,英雄装备!$1:$1,0)),装备属性!$A:$C,3,0))</f>
        <v>2</v>
      </c>
      <c r="J48" s="51">
        <f>MAX(VLOOKUP(INDEX(英雄装备!$F:$BZ,MATCH($H48,英雄装备!$F:$F,0),MATCH(J$2,英雄装备!$1:$1,0)-5),装备属性!$A:$C,3,0),VLOOKUP(INDEX(英雄装备!$F:$BZ,MATCH($H48,英雄装备!$F:$F,0),MATCH(J$2,英雄装备!$1:$1,0)-4),装备属性!$A:$C,3,0),VLOOKUP(INDEX(英雄装备!$F:$BZ,MATCH($H48,英雄装备!$F:$F,0),MATCH(J$2,英雄装备!$1:$1,0)-3),装备属性!$A:$C,3,0),VLOOKUP(INDEX(英雄装备!$F:$BZ,MATCH($H48,英雄装备!$F:$F,0),MATCH(J$2,英雄装备!$1:$1,0)-2),装备属性!$A:$C,3,0),VLOOKUP(INDEX(英雄装备!$F:$BZ,MATCH($H48,英雄装备!$F:$F,0),MATCH(J$2,英雄装备!$1:$1,0)-1),装备属性!$A:$C,3,0),VLOOKUP(INDEX(英雄装备!$F:$BZ,MATCH($H48,英雄装备!$F:$F,0),MATCH(J$2,英雄装备!$1:$1,0)),装备属性!$A:$C,3,0))</f>
        <v>11</v>
      </c>
      <c r="K48" s="51">
        <f>MAX(VLOOKUP(INDEX(英雄装备!$F:$BZ,MATCH($H48,英雄装备!$F:$F,0),MATCH(K$2,英雄装备!$1:$1,0)-5),装备属性!$A:$C,3,0),VLOOKUP(INDEX(英雄装备!$F:$BZ,MATCH($H48,英雄装备!$F:$F,0),MATCH(K$2,英雄装备!$1:$1,0)-4),装备属性!$A:$C,3,0),VLOOKUP(INDEX(英雄装备!$F:$BZ,MATCH($H48,英雄装备!$F:$F,0),MATCH(K$2,英雄装备!$1:$1,0)-3),装备属性!$A:$C,3,0),VLOOKUP(INDEX(英雄装备!$F:$BZ,MATCH($H48,英雄装备!$F:$F,0),MATCH(K$2,英雄装备!$1:$1,0)-2),装备属性!$A:$C,3,0),VLOOKUP(INDEX(英雄装备!$F:$BZ,MATCH($H48,英雄装备!$F:$F,0),MATCH(K$2,英雄装备!$1:$1,0)-1),装备属性!$A:$C,3,0),VLOOKUP(INDEX(英雄装备!$F:$BZ,MATCH($H48,英雄装备!$F:$F,0),MATCH(K$2,英雄装备!$1:$1,0)),装备属性!$A:$C,3,0))</f>
        <v>20</v>
      </c>
      <c r="L48" s="51">
        <f>MAX(VLOOKUP(INDEX(英雄装备!$F:$BZ,MATCH($H48,英雄装备!$F:$F,0),MATCH(L$2,英雄装备!$1:$1,0)-5),装备属性!$A:$C,3,0),VLOOKUP(INDEX(英雄装备!$F:$BZ,MATCH($H48,英雄装备!$F:$F,0),MATCH(L$2,英雄装备!$1:$1,0)-4),装备属性!$A:$C,3,0),VLOOKUP(INDEX(英雄装备!$F:$BZ,MATCH($H48,英雄装备!$F:$F,0),MATCH(L$2,英雄装备!$1:$1,0)-3),装备属性!$A:$C,3,0),VLOOKUP(INDEX(英雄装备!$F:$BZ,MATCH($H48,英雄装备!$F:$F,0),MATCH(L$2,英雄装备!$1:$1,0)-2),装备属性!$A:$C,3,0),VLOOKUP(INDEX(英雄装备!$F:$BZ,MATCH($H48,英雄装备!$F:$F,0),MATCH(L$2,英雄装备!$1:$1,0)-1),装备属性!$A:$C,3,0),VLOOKUP(INDEX(英雄装备!$F:$BZ,MATCH($H48,英雄装备!$F:$F,0),MATCH(L$2,英雄装备!$1:$1,0)),装备属性!$A:$C,3,0))</f>
        <v>35</v>
      </c>
      <c r="M48" s="51">
        <f>MAX(VLOOKUP(INDEX(英雄装备!$F:$BZ,MATCH($H48,英雄装备!$F:$F,0),MATCH(M$2,英雄装备!$1:$1,0)-5),装备属性!$A:$C,3,0),VLOOKUP(INDEX(英雄装备!$F:$BZ,MATCH($H48,英雄装备!$F:$F,0),MATCH(M$2,英雄装备!$1:$1,0)-4),装备属性!$A:$C,3,0),VLOOKUP(INDEX(英雄装备!$F:$BZ,MATCH($H48,英雄装备!$F:$F,0),MATCH(M$2,英雄装备!$1:$1,0)-3),装备属性!$A:$C,3,0),VLOOKUP(INDEX(英雄装备!$F:$BZ,MATCH($H48,英雄装备!$F:$F,0),MATCH(M$2,英雄装备!$1:$1,0)-2),装备属性!$A:$C,3,0),VLOOKUP(INDEX(英雄装备!$F:$BZ,MATCH($H48,英雄装备!$F:$F,0),MATCH(M$2,英雄装备!$1:$1,0)-1),装备属性!$A:$C,3,0),VLOOKUP(INDEX(英雄装备!$F:$BZ,MATCH($H48,英雄装备!$F:$F,0),MATCH(M$2,英雄装备!$1:$1,0)),装备属性!$A:$C,3,0))</f>
        <v>43</v>
      </c>
      <c r="N48" s="51">
        <f>MAX(VLOOKUP(INDEX(英雄装备!$F:$BZ,MATCH($H48,英雄装备!$F:$F,0),MATCH(N$2,英雄装备!$1:$1,0)-5),装备属性!$A:$C,3,0),VLOOKUP(INDEX(英雄装备!$F:$BZ,MATCH($H48,英雄装备!$F:$F,0),MATCH(N$2,英雄装备!$1:$1,0)-4),装备属性!$A:$C,3,0),VLOOKUP(INDEX(英雄装备!$F:$BZ,MATCH($H48,英雄装备!$F:$F,0),MATCH(N$2,英雄装备!$1:$1,0)-3),装备属性!$A:$C,3,0),VLOOKUP(INDEX(英雄装备!$F:$BZ,MATCH($H48,英雄装备!$F:$F,0),MATCH(N$2,英雄装备!$1:$1,0)-2),装备属性!$A:$C,3,0),VLOOKUP(INDEX(英雄装备!$F:$BZ,MATCH($H48,英雄装备!$F:$F,0),MATCH(N$2,英雄装备!$1:$1,0)-1),装备属性!$A:$C,3,0),VLOOKUP(INDEX(英雄装备!$F:$BZ,MATCH($H48,英雄装备!$F:$F,0),MATCH(N$2,英雄装备!$1:$1,0)),装备属性!$A:$C,3,0))</f>
        <v>49</v>
      </c>
      <c r="O48" s="51">
        <f>MAX(VLOOKUP(INDEX(英雄装备!$F:$BZ,MATCH($H48,英雄装备!$F:$F,0),MATCH(O$2,英雄装备!$1:$1,0)-5),装备属性!$A:$C,3,0),VLOOKUP(INDEX(英雄装备!$F:$BZ,MATCH($H48,英雄装备!$F:$F,0),MATCH(O$2,英雄装备!$1:$1,0)-4),装备属性!$A:$C,3,0),VLOOKUP(INDEX(英雄装备!$F:$BZ,MATCH($H48,英雄装备!$F:$F,0),MATCH(O$2,英雄装备!$1:$1,0)-3),装备属性!$A:$C,3,0),VLOOKUP(INDEX(英雄装备!$F:$BZ,MATCH($H48,英雄装备!$F:$F,0),MATCH(O$2,英雄装备!$1:$1,0)-2),装备属性!$A:$C,3,0),VLOOKUP(INDEX(英雄装备!$F:$BZ,MATCH($H48,英雄装备!$F:$F,0),MATCH(O$2,英雄装备!$1:$1,0)-1),装备属性!$A:$C,3,0),VLOOKUP(INDEX(英雄装备!$F:$BZ,MATCH($H48,英雄装备!$F:$F,0),MATCH(O$2,英雄装备!$1:$1,0)),装备属性!$A:$C,3,0))</f>
        <v>63</v>
      </c>
      <c r="P48" s="51">
        <f>MAX(VLOOKUP(INDEX(英雄装备!$F:$BZ,MATCH($H48,英雄装备!$F:$F,0),MATCH(P$2,英雄装备!$1:$1,0)-5),装备属性!$A:$C,3,0),VLOOKUP(INDEX(英雄装备!$F:$BZ,MATCH($H48,英雄装备!$F:$F,0),MATCH(P$2,英雄装备!$1:$1,0)-4),装备属性!$A:$C,3,0),VLOOKUP(INDEX(英雄装备!$F:$BZ,MATCH($H48,英雄装备!$F:$F,0),MATCH(P$2,英雄装备!$1:$1,0)-3),装备属性!$A:$C,3,0),VLOOKUP(INDEX(英雄装备!$F:$BZ,MATCH($H48,英雄装备!$F:$F,0),MATCH(P$2,英雄装备!$1:$1,0)-2),装备属性!$A:$C,3,0),VLOOKUP(INDEX(英雄装备!$F:$BZ,MATCH($H48,英雄装备!$F:$F,0),MATCH(P$2,英雄装备!$1:$1,0)-1),装备属性!$A:$C,3,0),VLOOKUP(INDEX(英雄装备!$F:$BZ,MATCH($H48,英雄装备!$F:$F,0),MATCH(P$2,英雄装备!$1:$1,0)),装备属性!$A:$C,3,0))</f>
        <v>74</v>
      </c>
      <c r="Q48" s="51">
        <f>MAX(VLOOKUP(INDEX(英雄装备!$F:$BZ,MATCH($H48,英雄装备!$F:$F,0),MATCH(Q$2,英雄装备!$1:$1,0)-5),装备属性!$A:$C,3,0),VLOOKUP(INDEX(英雄装备!$F:$BZ,MATCH($H48,英雄装备!$F:$F,0),MATCH(Q$2,英雄装备!$1:$1,0)-4),装备属性!$A:$C,3,0),VLOOKUP(INDEX(英雄装备!$F:$BZ,MATCH($H48,英雄装备!$F:$F,0),MATCH(Q$2,英雄装备!$1:$1,0)-3),装备属性!$A:$C,3,0),VLOOKUP(INDEX(英雄装备!$F:$BZ,MATCH($H48,英雄装备!$F:$F,0),MATCH(Q$2,英雄装备!$1:$1,0)-2),装备属性!$A:$C,3,0),VLOOKUP(INDEX(英雄装备!$F:$BZ,MATCH($H48,英雄装备!$F:$F,0),MATCH(Q$2,英雄装备!$1:$1,0)-1),装备属性!$A:$C,3,0),VLOOKUP(INDEX(英雄装备!$F:$BZ,MATCH($H48,英雄装备!$F:$F,0),MATCH(Q$2,英雄装备!$1:$1,0)),装备属性!$A:$C,3,0))</f>
        <v>78</v>
      </c>
      <c r="R48" s="51">
        <f>MAX(VLOOKUP(INDEX(英雄装备!$F:$BZ,MATCH($H48,英雄装备!$F:$F,0),MATCH(R$2,英雄装备!$1:$1,0)-5),装备属性!$A:$C,3,0),VLOOKUP(INDEX(英雄装备!$F:$BZ,MATCH($H48,英雄装备!$F:$F,0),MATCH(R$2,英雄装备!$1:$1,0)-4),装备属性!$A:$C,3,0),VLOOKUP(INDEX(英雄装备!$F:$BZ,MATCH($H48,英雄装备!$F:$F,0),MATCH(R$2,英雄装备!$1:$1,0)-3),装备属性!$A:$C,3,0),VLOOKUP(INDEX(英雄装备!$F:$BZ,MATCH($H48,英雄装备!$F:$F,0),MATCH(R$2,英雄装备!$1:$1,0)-2),装备属性!$A:$C,3,0),VLOOKUP(INDEX(英雄装备!$F:$BZ,MATCH($H48,英雄装备!$F:$F,0),MATCH(R$2,英雄装备!$1:$1,0)-1),装备属性!$A:$C,3,0),VLOOKUP(INDEX(英雄装备!$F:$BZ,MATCH($H48,英雄装备!$F:$F,0),MATCH(R$2,英雄装备!$1:$1,0)),装备属性!$A:$C,3,0))</f>
        <v>72</v>
      </c>
      <c r="S48" s="51">
        <f>MAX(VLOOKUP(INDEX(英雄装备!$F:$BZ,MATCH($H48,英雄装备!$F:$F,0),MATCH(S$2,英雄装备!$1:$1,0)-5),装备属性!$A:$C,3,0),VLOOKUP(INDEX(英雄装备!$F:$BZ,MATCH($H48,英雄装备!$F:$F,0),MATCH(S$2,英雄装备!$1:$1,0)-4),装备属性!$A:$C,3,0),VLOOKUP(INDEX(英雄装备!$F:$BZ,MATCH($H48,英雄装备!$F:$F,0),MATCH(S$2,英雄装备!$1:$1,0)-3),装备属性!$A:$C,3,0),VLOOKUP(INDEX(英雄装备!$F:$BZ,MATCH($H48,英雄装备!$F:$F,0),MATCH(S$2,英雄装备!$1:$1,0)-2),装备属性!$A:$C,3,0),VLOOKUP(INDEX(英雄装备!$F:$BZ,MATCH($H48,英雄装备!$F:$F,0),MATCH(S$2,英雄装备!$1:$1,0)-1),装备属性!$A:$C,3,0),VLOOKUP(INDEX(英雄装备!$F:$BZ,MATCH($H48,英雄装备!$F:$F,0),MATCH(S$2,英雄装备!$1:$1,0)),装备属性!$A:$C,3,0))</f>
        <v>85</v>
      </c>
      <c r="T48" s="51">
        <f>MAX(VLOOKUP(INDEX(英雄装备!$F:$BZ,MATCH($H48,英雄装备!$F:$F,0),MATCH(T$2,英雄装备!$1:$1,0)-5),装备属性!$A:$C,3,0),VLOOKUP(INDEX(英雄装备!$F:$BZ,MATCH($H48,英雄装备!$F:$F,0),MATCH(T$2,英雄装备!$1:$1,0)-4),装备属性!$A:$C,3,0),VLOOKUP(INDEX(英雄装备!$F:$BZ,MATCH($H48,英雄装备!$F:$F,0),MATCH(T$2,英雄装备!$1:$1,0)-3),装备属性!$A:$C,3,0),VLOOKUP(INDEX(英雄装备!$F:$BZ,MATCH($H48,英雄装备!$F:$F,0),MATCH(T$2,英雄装备!$1:$1,0)-2),装备属性!$A:$C,3,0),VLOOKUP(INDEX(英雄装备!$F:$BZ,MATCH($H48,英雄装备!$F:$F,0),MATCH(T$2,英雄装备!$1:$1,0)-1),装备属性!$A:$C,3,0))</f>
        <v>87</v>
      </c>
      <c r="V48" s="49">
        <v>7</v>
      </c>
      <c r="W48" s="49" t="str">
        <f>IF($V$2&lt;7,"","紫")</f>
        <v>紫</v>
      </c>
      <c r="X48" s="150" t="str">
        <f t="shared" ref="X48:AC48" si="22">IF(AND(X33=TRUE,$W48&lt;&gt;""),X7,"")</f>
        <v>金箍棒</v>
      </c>
      <c r="Y48" s="150" t="str">
        <f t="shared" si="22"/>
        <v>狂战斧</v>
      </c>
      <c r="Z48" s="150" t="str">
        <f t="shared" si="22"/>
        <v>疯脸</v>
      </c>
      <c r="AA48" s="150" t="str">
        <f t="shared" si="22"/>
        <v>冲锋盾</v>
      </c>
      <c r="AB48" s="150" t="str">
        <f t="shared" si="22"/>
        <v>敏捷系带</v>
      </c>
      <c r="AC48" s="150" t="str">
        <f t="shared" si="22"/>
        <v>敏捷假腿</v>
      </c>
      <c r="AF48" s="49">
        <v>5</v>
      </c>
      <c r="AG48" s="49" t="str">
        <f>Y5</f>
        <v>黑黄</v>
      </c>
      <c r="AH48" s="49">
        <f>VLOOKUP($AG48,装备属性!$A:$Y,5,0)</f>
        <v>10</v>
      </c>
      <c r="AI48" s="49">
        <f>VLOOKUP($AG48,装备属性!$A:$Y,6,0)</f>
        <v>0</v>
      </c>
      <c r="AJ48" s="49">
        <f>VLOOKUP($AG48,装备属性!$A:$Y,7,0)</f>
        <v>0</v>
      </c>
      <c r="AK48" s="49">
        <f>VLOOKUP($AG48,装备属性!$A:$Y,8,0)</f>
        <v>0</v>
      </c>
      <c r="AL48" s="49">
        <f>VLOOKUP($AG48,装备属性!$A:$Y,9,0)</f>
        <v>24</v>
      </c>
      <c r="AM48" s="49">
        <f>VLOOKUP($AG48,装备属性!$A:$Y,10,0)</f>
        <v>0</v>
      </c>
      <c r="AN48" s="49">
        <f>VLOOKUP($AG48,装备属性!$A:$Y,11,0)</f>
        <v>0</v>
      </c>
      <c r="AO48" s="49">
        <f>VLOOKUP($AG48,装备属性!$A:$Y,12,0)</f>
        <v>10</v>
      </c>
      <c r="AP48" s="49">
        <f>VLOOKUP($AG48,装备属性!$A:$Y,13,0)</f>
        <v>0</v>
      </c>
      <c r="AQ48" s="49">
        <f>VLOOKUP($AG48,装备属性!$A:$Y,14,0)</f>
        <v>0</v>
      </c>
      <c r="AR48" s="49">
        <f>VLOOKUP($AG48,装备属性!$A:$Y,15,0)</f>
        <v>0</v>
      </c>
      <c r="AS48" s="49">
        <f>VLOOKUP($AG48,装备属性!$A:$Y,16,0)</f>
        <v>0</v>
      </c>
      <c r="AT48" s="49">
        <f>VLOOKUP($AG48,装备属性!$A:$Y,17,0)</f>
        <v>0</v>
      </c>
      <c r="AU48" s="49">
        <f>VLOOKUP($AG48,装备属性!$A:$Y,18,0)</f>
        <v>0</v>
      </c>
      <c r="AV48" s="49">
        <f>VLOOKUP($AG48,装备属性!$A:$Y,19,0)</f>
        <v>0</v>
      </c>
      <c r="AW48" s="49">
        <f>VLOOKUP($AG48,装备属性!$A:$Y,20,0)</f>
        <v>0</v>
      </c>
      <c r="AX48" s="49">
        <f>VLOOKUP($AG48,装备属性!$A:$Y,21,0)</f>
        <v>0</v>
      </c>
      <c r="AY48" s="49">
        <f>VLOOKUP($AG48,装备属性!$A:$Y,22,0)</f>
        <v>0</v>
      </c>
      <c r="AZ48" s="138">
        <f>VLOOKUP($AG48,装备属性!$A:$Y,23,0)</f>
        <v>0</v>
      </c>
      <c r="BA48" s="138">
        <f>VLOOKUP($AG48,装备属性!$A:$Y,24,0)</f>
        <v>0</v>
      </c>
      <c r="BB48" s="138">
        <f>VLOOKUP($AG48,装备属性!$A:$Y,25,0)</f>
        <v>0</v>
      </c>
    </row>
    <row r="49" spans="2:54">
      <c r="B49" s="112" t="s">
        <v>1814</v>
      </c>
      <c r="H49" s="50" t="s">
        <v>1308</v>
      </c>
      <c r="I49" s="51">
        <f>MAX(VLOOKUP(INDEX(英雄装备!$F:$BZ,MATCH($H49,英雄装备!$F:$F,0),MATCH(I$2,英雄装备!$1:$1,0)-5),装备属性!$A:$C,3,0),VLOOKUP(INDEX(英雄装备!$F:$BZ,MATCH($H49,英雄装备!$F:$F,0),MATCH(I$2,英雄装备!$1:$1,0)-4),装备属性!$A:$C,3,0),VLOOKUP(INDEX(英雄装备!$F:$BZ,MATCH($H49,英雄装备!$F:$F,0),MATCH(I$2,英雄装备!$1:$1,0)-3),装备属性!$A:$C,3,0),VLOOKUP(INDEX(英雄装备!$F:$BZ,MATCH($H49,英雄装备!$F:$F,0),MATCH(I$2,英雄装备!$1:$1,0)-2),装备属性!$A:$C,3,0),VLOOKUP(INDEX(英雄装备!$F:$BZ,MATCH($H49,英雄装备!$F:$F,0),MATCH(I$2,英雄装备!$1:$1,0)-1),装备属性!$A:$C,3,0),VLOOKUP(INDEX(英雄装备!$F:$BZ,MATCH($H49,英雄装备!$F:$F,0),MATCH(I$2,英雄装备!$1:$1,0)),装备属性!$A:$C,3,0))</f>
        <v>2</v>
      </c>
      <c r="J49" s="51">
        <f>MAX(VLOOKUP(INDEX(英雄装备!$F:$BZ,MATCH($H49,英雄装备!$F:$F,0),MATCH(J$2,英雄装备!$1:$1,0)-5),装备属性!$A:$C,3,0),VLOOKUP(INDEX(英雄装备!$F:$BZ,MATCH($H49,英雄装备!$F:$F,0),MATCH(J$2,英雄装备!$1:$1,0)-4),装备属性!$A:$C,3,0),VLOOKUP(INDEX(英雄装备!$F:$BZ,MATCH($H49,英雄装备!$F:$F,0),MATCH(J$2,英雄装备!$1:$1,0)-3),装备属性!$A:$C,3,0),VLOOKUP(INDEX(英雄装备!$F:$BZ,MATCH($H49,英雄装备!$F:$F,0),MATCH(J$2,英雄装备!$1:$1,0)-2),装备属性!$A:$C,3,0),VLOOKUP(INDEX(英雄装备!$F:$BZ,MATCH($H49,英雄装备!$F:$F,0),MATCH(J$2,英雄装备!$1:$1,0)-1),装备属性!$A:$C,3,0),VLOOKUP(INDEX(英雄装备!$F:$BZ,MATCH($H49,英雄装备!$F:$F,0),MATCH(J$2,英雄装备!$1:$1,0)),装备属性!$A:$C,3,0))</f>
        <v>10</v>
      </c>
      <c r="K49" s="51">
        <f>MAX(VLOOKUP(INDEX(英雄装备!$F:$BZ,MATCH($H49,英雄装备!$F:$F,0),MATCH(K$2,英雄装备!$1:$1,0)-5),装备属性!$A:$C,3,0),VLOOKUP(INDEX(英雄装备!$F:$BZ,MATCH($H49,英雄装备!$F:$F,0),MATCH(K$2,英雄装备!$1:$1,0)-4),装备属性!$A:$C,3,0),VLOOKUP(INDEX(英雄装备!$F:$BZ,MATCH($H49,英雄装备!$F:$F,0),MATCH(K$2,英雄装备!$1:$1,0)-3),装备属性!$A:$C,3,0),VLOOKUP(INDEX(英雄装备!$F:$BZ,MATCH($H49,英雄装备!$F:$F,0),MATCH(K$2,英雄装备!$1:$1,0)-2),装备属性!$A:$C,3,0),VLOOKUP(INDEX(英雄装备!$F:$BZ,MATCH($H49,英雄装备!$F:$F,0),MATCH(K$2,英雄装备!$1:$1,0)-1),装备属性!$A:$C,3,0),VLOOKUP(INDEX(英雄装备!$F:$BZ,MATCH($H49,英雄装备!$F:$F,0),MATCH(K$2,英雄装备!$1:$1,0)),装备属性!$A:$C,3,0))</f>
        <v>20</v>
      </c>
      <c r="L49" s="51">
        <f>MAX(VLOOKUP(INDEX(英雄装备!$F:$BZ,MATCH($H49,英雄装备!$F:$F,0),MATCH(L$2,英雄装备!$1:$1,0)-5),装备属性!$A:$C,3,0),VLOOKUP(INDEX(英雄装备!$F:$BZ,MATCH($H49,英雄装备!$F:$F,0),MATCH(L$2,英雄装备!$1:$1,0)-4),装备属性!$A:$C,3,0),VLOOKUP(INDEX(英雄装备!$F:$BZ,MATCH($H49,英雄装备!$F:$F,0),MATCH(L$2,英雄装备!$1:$1,0)-3),装备属性!$A:$C,3,0),VLOOKUP(INDEX(英雄装备!$F:$BZ,MATCH($H49,英雄装备!$F:$F,0),MATCH(L$2,英雄装备!$1:$1,0)-2),装备属性!$A:$C,3,0),VLOOKUP(INDEX(英雄装备!$F:$BZ,MATCH($H49,英雄装备!$F:$F,0),MATCH(L$2,英雄装备!$1:$1,0)-1),装备属性!$A:$C,3,0),VLOOKUP(INDEX(英雄装备!$F:$BZ,MATCH($H49,英雄装备!$F:$F,0),MATCH(L$2,英雄装备!$1:$1,0)),装备属性!$A:$C,3,0))</f>
        <v>36</v>
      </c>
      <c r="M49" s="51">
        <f>MAX(VLOOKUP(INDEX(英雄装备!$F:$BZ,MATCH($H49,英雄装备!$F:$F,0),MATCH(M$2,英雄装备!$1:$1,0)-5),装备属性!$A:$C,3,0),VLOOKUP(INDEX(英雄装备!$F:$BZ,MATCH($H49,英雄装备!$F:$F,0),MATCH(M$2,英雄装备!$1:$1,0)-4),装备属性!$A:$C,3,0),VLOOKUP(INDEX(英雄装备!$F:$BZ,MATCH($H49,英雄装备!$F:$F,0),MATCH(M$2,英雄装备!$1:$1,0)-3),装备属性!$A:$C,3,0),VLOOKUP(INDEX(英雄装备!$F:$BZ,MATCH($H49,英雄装备!$F:$F,0),MATCH(M$2,英雄装备!$1:$1,0)-2),装备属性!$A:$C,3,0),VLOOKUP(INDEX(英雄装备!$F:$BZ,MATCH($H49,英雄装备!$F:$F,0),MATCH(M$2,英雄装备!$1:$1,0)-1),装备属性!$A:$C,3,0),VLOOKUP(INDEX(英雄装备!$F:$BZ,MATCH($H49,英雄装备!$F:$F,0),MATCH(M$2,英雄装备!$1:$1,0)),装备属性!$A:$C,3,0))</f>
        <v>43</v>
      </c>
      <c r="N49" s="51">
        <f>MAX(VLOOKUP(INDEX(英雄装备!$F:$BZ,MATCH($H49,英雄装备!$F:$F,0),MATCH(N$2,英雄装备!$1:$1,0)-5),装备属性!$A:$C,3,0),VLOOKUP(INDEX(英雄装备!$F:$BZ,MATCH($H49,英雄装备!$F:$F,0),MATCH(N$2,英雄装备!$1:$1,0)-4),装备属性!$A:$C,3,0),VLOOKUP(INDEX(英雄装备!$F:$BZ,MATCH($H49,英雄装备!$F:$F,0),MATCH(N$2,英雄装备!$1:$1,0)-3),装备属性!$A:$C,3,0),VLOOKUP(INDEX(英雄装备!$F:$BZ,MATCH($H49,英雄装备!$F:$F,0),MATCH(N$2,英雄装备!$1:$1,0)-2),装备属性!$A:$C,3,0),VLOOKUP(INDEX(英雄装备!$F:$BZ,MATCH($H49,英雄装备!$F:$F,0),MATCH(N$2,英雄装备!$1:$1,0)-1),装备属性!$A:$C,3,0),VLOOKUP(INDEX(英雄装备!$F:$BZ,MATCH($H49,英雄装备!$F:$F,0),MATCH(N$2,英雄装备!$1:$1,0)),装备属性!$A:$C,3,0))</f>
        <v>51</v>
      </c>
      <c r="O49" s="51">
        <f>MAX(VLOOKUP(INDEX(英雄装备!$F:$BZ,MATCH($H49,英雄装备!$F:$F,0),MATCH(O$2,英雄装备!$1:$1,0)-5),装备属性!$A:$C,3,0),VLOOKUP(INDEX(英雄装备!$F:$BZ,MATCH($H49,英雄装备!$F:$F,0),MATCH(O$2,英雄装备!$1:$1,0)-4),装备属性!$A:$C,3,0),VLOOKUP(INDEX(英雄装备!$F:$BZ,MATCH($H49,英雄装备!$F:$F,0),MATCH(O$2,英雄装备!$1:$1,0)-3),装备属性!$A:$C,3,0),VLOOKUP(INDEX(英雄装备!$F:$BZ,MATCH($H49,英雄装备!$F:$F,0),MATCH(O$2,英雄装备!$1:$1,0)-2),装备属性!$A:$C,3,0),VLOOKUP(INDEX(英雄装备!$F:$BZ,MATCH($H49,英雄装备!$F:$F,0),MATCH(O$2,英雄装备!$1:$1,0)-1),装备属性!$A:$C,3,0),VLOOKUP(INDEX(英雄装备!$F:$BZ,MATCH($H49,英雄装备!$F:$F,0),MATCH(O$2,英雄装备!$1:$1,0)),装备属性!$A:$C,3,0))</f>
        <v>59</v>
      </c>
      <c r="P49" s="51">
        <f>MAX(VLOOKUP(INDEX(英雄装备!$F:$BZ,MATCH($H49,英雄装备!$F:$F,0),MATCH(P$2,英雄装备!$1:$1,0)-5),装备属性!$A:$C,3,0),VLOOKUP(INDEX(英雄装备!$F:$BZ,MATCH($H49,英雄装备!$F:$F,0),MATCH(P$2,英雄装备!$1:$1,0)-4),装备属性!$A:$C,3,0),VLOOKUP(INDEX(英雄装备!$F:$BZ,MATCH($H49,英雄装备!$F:$F,0),MATCH(P$2,英雄装备!$1:$1,0)-3),装备属性!$A:$C,3,0),VLOOKUP(INDEX(英雄装备!$F:$BZ,MATCH($H49,英雄装备!$F:$F,0),MATCH(P$2,英雄装备!$1:$1,0)-2),装备属性!$A:$C,3,0),VLOOKUP(INDEX(英雄装备!$F:$BZ,MATCH($H49,英雄装备!$F:$F,0),MATCH(P$2,英雄装备!$1:$1,0)-1),装备属性!$A:$C,3,0),VLOOKUP(INDEX(英雄装备!$F:$BZ,MATCH($H49,英雄装备!$F:$F,0),MATCH(P$2,英雄装备!$1:$1,0)),装备属性!$A:$C,3,0))</f>
        <v>72</v>
      </c>
      <c r="Q49" s="51">
        <f>MAX(VLOOKUP(INDEX(英雄装备!$F:$BZ,MATCH($H49,英雄装备!$F:$F,0),MATCH(Q$2,英雄装备!$1:$1,0)-5),装备属性!$A:$C,3,0),VLOOKUP(INDEX(英雄装备!$F:$BZ,MATCH($H49,英雄装备!$F:$F,0),MATCH(Q$2,英雄装备!$1:$1,0)-4),装备属性!$A:$C,3,0),VLOOKUP(INDEX(英雄装备!$F:$BZ,MATCH($H49,英雄装备!$F:$F,0),MATCH(Q$2,英雄装备!$1:$1,0)-3),装备属性!$A:$C,3,0),VLOOKUP(INDEX(英雄装备!$F:$BZ,MATCH($H49,英雄装备!$F:$F,0),MATCH(Q$2,英雄装备!$1:$1,0)-2),装备属性!$A:$C,3,0),VLOOKUP(INDEX(英雄装备!$F:$BZ,MATCH($H49,英雄装备!$F:$F,0),MATCH(Q$2,英雄装备!$1:$1,0)-1),装备属性!$A:$C,3,0),VLOOKUP(INDEX(英雄装备!$F:$BZ,MATCH($H49,英雄装备!$F:$F,0),MATCH(Q$2,英雄装备!$1:$1,0)),装备属性!$A:$C,3,0))</f>
        <v>80</v>
      </c>
      <c r="R49" s="51">
        <f>MAX(VLOOKUP(INDEX(英雄装备!$F:$BZ,MATCH($H49,英雄装备!$F:$F,0),MATCH(R$2,英雄装备!$1:$1,0)-5),装备属性!$A:$C,3,0),VLOOKUP(INDEX(英雄装备!$F:$BZ,MATCH($H49,英雄装备!$F:$F,0),MATCH(R$2,英雄装备!$1:$1,0)-4),装备属性!$A:$C,3,0),VLOOKUP(INDEX(英雄装备!$F:$BZ,MATCH($H49,英雄装备!$F:$F,0),MATCH(R$2,英雄装备!$1:$1,0)-3),装备属性!$A:$C,3,0),VLOOKUP(INDEX(英雄装备!$F:$BZ,MATCH($H49,英雄装备!$F:$F,0),MATCH(R$2,英雄装备!$1:$1,0)-2),装备属性!$A:$C,3,0),VLOOKUP(INDEX(英雄装备!$F:$BZ,MATCH($H49,英雄装备!$F:$F,0),MATCH(R$2,英雄装备!$1:$1,0)-1),装备属性!$A:$C,3,0),VLOOKUP(INDEX(英雄装备!$F:$BZ,MATCH($H49,英雄装备!$F:$F,0),MATCH(R$2,英雄装备!$1:$1,0)),装备属性!$A:$C,3,0))</f>
        <v>80</v>
      </c>
      <c r="S49" s="51">
        <f>MAX(VLOOKUP(INDEX(英雄装备!$F:$BZ,MATCH($H49,英雄装备!$F:$F,0),MATCH(S$2,英雄装备!$1:$1,0)-5),装备属性!$A:$C,3,0),VLOOKUP(INDEX(英雄装备!$F:$BZ,MATCH($H49,英雄装备!$F:$F,0),MATCH(S$2,英雄装备!$1:$1,0)-4),装备属性!$A:$C,3,0),VLOOKUP(INDEX(英雄装备!$F:$BZ,MATCH($H49,英雄装备!$F:$F,0),MATCH(S$2,英雄装备!$1:$1,0)-3),装备属性!$A:$C,3,0),VLOOKUP(INDEX(英雄装备!$F:$BZ,MATCH($H49,英雄装备!$F:$F,0),MATCH(S$2,英雄装备!$1:$1,0)-2),装备属性!$A:$C,3,0),VLOOKUP(INDEX(英雄装备!$F:$BZ,MATCH($H49,英雄装备!$F:$F,0),MATCH(S$2,英雄装备!$1:$1,0)-1),装备属性!$A:$C,3,0),VLOOKUP(INDEX(英雄装备!$F:$BZ,MATCH($H49,英雄装备!$F:$F,0),MATCH(S$2,英雄装备!$1:$1,0)),装备属性!$A:$C,3,0))</f>
        <v>85</v>
      </c>
      <c r="T49" s="51">
        <f>MAX(VLOOKUP(INDEX(英雄装备!$F:$BZ,MATCH($H49,英雄装备!$F:$F,0),MATCH(T$2,英雄装备!$1:$1,0)-5),装备属性!$A:$C,3,0),VLOOKUP(INDEX(英雄装备!$F:$BZ,MATCH($H49,英雄装备!$F:$F,0),MATCH(T$2,英雄装备!$1:$1,0)-4),装备属性!$A:$C,3,0),VLOOKUP(INDEX(英雄装备!$F:$BZ,MATCH($H49,英雄装备!$F:$F,0),MATCH(T$2,英雄装备!$1:$1,0)-3),装备属性!$A:$C,3,0),VLOOKUP(INDEX(英雄装备!$F:$BZ,MATCH($H49,英雄装备!$F:$F,0),MATCH(T$2,英雄装备!$1:$1,0)-2),装备属性!$A:$C,3,0),VLOOKUP(INDEX(英雄装备!$F:$BZ,MATCH($H49,英雄装备!$F:$F,0),MATCH(T$2,英雄装备!$1:$1,0)-1),装备属性!$A:$C,3,0))</f>
        <v>88</v>
      </c>
      <c r="V49" s="49">
        <v>8</v>
      </c>
      <c r="W49" s="49" t="str">
        <f>IF($V$2&lt;8,"","紫+1")</f>
        <v>紫+1</v>
      </c>
      <c r="X49" s="150" t="str">
        <f t="shared" ref="X49:AC49" si="23">IF(AND(X34=TRUE,$W49&lt;&gt;""),X8,"")</f>
        <v>蝴蝶</v>
      </c>
      <c r="Y49" s="150" t="str">
        <f t="shared" si="23"/>
        <v>强袭</v>
      </c>
      <c r="Z49" s="150" t="str">
        <f t="shared" si="23"/>
        <v>碎骨锤</v>
      </c>
      <c r="AA49" s="150" t="str">
        <f t="shared" si="23"/>
        <v>大剑</v>
      </c>
      <c r="AB49" s="150" t="str">
        <f t="shared" si="23"/>
        <v>支配</v>
      </c>
      <c r="AC49" s="150" t="str">
        <f t="shared" si="23"/>
        <v>飞鞋</v>
      </c>
      <c r="AF49" s="49">
        <v>5</v>
      </c>
      <c r="AG49" s="49" t="str">
        <f>Z5</f>
        <v>支配</v>
      </c>
      <c r="AH49" s="49">
        <f>VLOOKUP($AG49,装备属性!$A:$Y,5,0)</f>
        <v>0</v>
      </c>
      <c r="AI49" s="49">
        <f>VLOOKUP($AG49,装备属性!$A:$Y,6,0)</f>
        <v>0</v>
      </c>
      <c r="AJ49" s="49">
        <f>VLOOKUP($AG49,装备属性!$A:$Y,7,0)</f>
        <v>0</v>
      </c>
      <c r="AK49" s="49">
        <f>VLOOKUP($AG49,装备属性!$A:$Y,8,0)</f>
        <v>0</v>
      </c>
      <c r="AL49" s="49">
        <f>VLOOKUP($AG49,装备属性!$A:$Y,9,0)</f>
        <v>20</v>
      </c>
      <c r="AM49" s="49">
        <f>VLOOKUP($AG49,装备属性!$A:$Y,10,0)</f>
        <v>0</v>
      </c>
      <c r="AN49" s="49">
        <f>VLOOKUP($AG49,装备属性!$A:$Y,11,0)</f>
        <v>5</v>
      </c>
      <c r="AO49" s="49">
        <f>VLOOKUP($AG49,装备属性!$A:$Y,12,0)</f>
        <v>0</v>
      </c>
      <c r="AP49" s="49">
        <f>VLOOKUP($AG49,装备属性!$A:$Y,13,0)</f>
        <v>0</v>
      </c>
      <c r="AQ49" s="49">
        <f>VLOOKUP($AG49,装备属性!$A:$Y,14,0)</f>
        <v>0</v>
      </c>
      <c r="AR49" s="49">
        <f>VLOOKUP($AG49,装备属性!$A:$Y,15,0)</f>
        <v>0</v>
      </c>
      <c r="AS49" s="49">
        <f>VLOOKUP($AG49,装备属性!$A:$Y,16,0)</f>
        <v>0</v>
      </c>
      <c r="AT49" s="49">
        <f>VLOOKUP($AG49,装备属性!$A:$Y,17,0)</f>
        <v>15</v>
      </c>
      <c r="AU49" s="49">
        <f>VLOOKUP($AG49,装备属性!$A:$Y,18,0)</f>
        <v>0</v>
      </c>
      <c r="AV49" s="49">
        <f>VLOOKUP($AG49,装备属性!$A:$Y,19,0)</f>
        <v>0</v>
      </c>
      <c r="AW49" s="49">
        <f>VLOOKUP($AG49,装备属性!$A:$Y,20,0)</f>
        <v>0</v>
      </c>
      <c r="AX49" s="49">
        <f>VLOOKUP($AG49,装备属性!$A:$Y,21,0)</f>
        <v>0</v>
      </c>
      <c r="AY49" s="49">
        <f>VLOOKUP($AG49,装备属性!$A:$Y,22,0)</f>
        <v>0</v>
      </c>
      <c r="AZ49" s="138">
        <f>VLOOKUP($AG49,装备属性!$A:$Y,23,0)</f>
        <v>0</v>
      </c>
      <c r="BA49" s="138">
        <f>VLOOKUP($AG49,装备属性!$A:$Y,24,0)</f>
        <v>0</v>
      </c>
      <c r="BB49" s="138">
        <f>VLOOKUP($AG49,装备属性!$A:$Y,25,0)</f>
        <v>0</v>
      </c>
    </row>
    <row r="50" spans="2:54">
      <c r="B50" s="49" t="s">
        <v>2012</v>
      </c>
      <c r="H50" s="109" t="s">
        <v>1795</v>
      </c>
      <c r="I50" s="51">
        <f>MAX(VLOOKUP(INDEX(英雄装备!$F:$BZ,MATCH($H50,英雄装备!$F:$F,0),MATCH(I$2,英雄装备!$1:$1,0)-5),装备属性!$A:$C,3,0),VLOOKUP(INDEX(英雄装备!$F:$BZ,MATCH($H50,英雄装备!$F:$F,0),MATCH(I$2,英雄装备!$1:$1,0)-4),装备属性!$A:$C,3,0),VLOOKUP(INDEX(英雄装备!$F:$BZ,MATCH($H50,英雄装备!$F:$F,0),MATCH(I$2,英雄装备!$1:$1,0)-3),装备属性!$A:$C,3,0),VLOOKUP(INDEX(英雄装备!$F:$BZ,MATCH($H50,英雄装备!$F:$F,0),MATCH(I$2,英雄装备!$1:$1,0)-2),装备属性!$A:$C,3,0),VLOOKUP(INDEX(英雄装备!$F:$BZ,MATCH($H50,英雄装备!$F:$F,0),MATCH(I$2,英雄装备!$1:$1,0)-1),装备属性!$A:$C,3,0),VLOOKUP(INDEX(英雄装备!$F:$BZ,MATCH($H50,英雄装备!$F:$F,0),MATCH(I$2,英雄装备!$1:$1,0)),装备属性!$A:$C,3,0))</f>
        <v>2</v>
      </c>
      <c r="J50" s="51">
        <f>MAX(VLOOKUP(INDEX(英雄装备!$F:$BZ,MATCH($H50,英雄装备!$F:$F,0),MATCH(J$2,英雄装备!$1:$1,0)-5),装备属性!$A:$C,3,0),VLOOKUP(INDEX(英雄装备!$F:$BZ,MATCH($H50,英雄装备!$F:$F,0),MATCH(J$2,英雄装备!$1:$1,0)-4),装备属性!$A:$C,3,0),VLOOKUP(INDEX(英雄装备!$F:$BZ,MATCH($H50,英雄装备!$F:$F,0),MATCH(J$2,英雄装备!$1:$1,0)-3),装备属性!$A:$C,3,0),VLOOKUP(INDEX(英雄装备!$F:$BZ,MATCH($H50,英雄装备!$F:$F,0),MATCH(J$2,英雄装备!$1:$1,0)-2),装备属性!$A:$C,3,0),VLOOKUP(INDEX(英雄装备!$F:$BZ,MATCH($H50,英雄装备!$F:$F,0),MATCH(J$2,英雄装备!$1:$1,0)-1),装备属性!$A:$C,3,0),VLOOKUP(INDEX(英雄装备!$F:$BZ,MATCH($H50,英雄装备!$F:$F,0),MATCH(J$2,英雄装备!$1:$1,0)),装备属性!$A:$C,3,0))</f>
        <v>11</v>
      </c>
      <c r="K50" s="51">
        <f>MAX(VLOOKUP(INDEX(英雄装备!$F:$BZ,MATCH($H50,英雄装备!$F:$F,0),MATCH(K$2,英雄装备!$1:$1,0)-5),装备属性!$A:$C,3,0),VLOOKUP(INDEX(英雄装备!$F:$BZ,MATCH($H50,英雄装备!$F:$F,0),MATCH(K$2,英雄装备!$1:$1,0)-4),装备属性!$A:$C,3,0),VLOOKUP(INDEX(英雄装备!$F:$BZ,MATCH($H50,英雄装备!$F:$F,0),MATCH(K$2,英雄装备!$1:$1,0)-3),装备属性!$A:$C,3,0),VLOOKUP(INDEX(英雄装备!$F:$BZ,MATCH($H50,英雄装备!$F:$F,0),MATCH(K$2,英雄装备!$1:$1,0)-2),装备属性!$A:$C,3,0),VLOOKUP(INDEX(英雄装备!$F:$BZ,MATCH($H50,英雄装备!$F:$F,0),MATCH(K$2,英雄装备!$1:$1,0)-1),装备属性!$A:$C,3,0),VLOOKUP(INDEX(英雄装备!$F:$BZ,MATCH($H50,英雄装备!$F:$F,0),MATCH(K$2,英雄装备!$1:$1,0)),装备属性!$A:$C,3,0))</f>
        <v>24</v>
      </c>
      <c r="L50" s="51">
        <f>MAX(VLOOKUP(INDEX(英雄装备!$F:$BZ,MATCH($H50,英雄装备!$F:$F,0),MATCH(L$2,英雄装备!$1:$1,0)-5),装备属性!$A:$C,3,0),VLOOKUP(INDEX(英雄装备!$F:$BZ,MATCH($H50,英雄装备!$F:$F,0),MATCH(L$2,英雄装备!$1:$1,0)-4),装备属性!$A:$C,3,0),VLOOKUP(INDEX(英雄装备!$F:$BZ,MATCH($H50,英雄装备!$F:$F,0),MATCH(L$2,英雄装备!$1:$1,0)-3),装备属性!$A:$C,3,0),VLOOKUP(INDEX(英雄装备!$F:$BZ,MATCH($H50,英雄装备!$F:$F,0),MATCH(L$2,英雄装备!$1:$1,0)-2),装备属性!$A:$C,3,0),VLOOKUP(INDEX(英雄装备!$F:$BZ,MATCH($H50,英雄装备!$F:$F,0),MATCH(L$2,英雄装备!$1:$1,0)-1),装备属性!$A:$C,3,0),VLOOKUP(INDEX(英雄装备!$F:$BZ,MATCH($H50,英雄装备!$F:$F,0),MATCH(L$2,英雄装备!$1:$1,0)),装备属性!$A:$C,3,0))</f>
        <v>37</v>
      </c>
      <c r="M50" s="51">
        <f>MAX(VLOOKUP(INDEX(英雄装备!$F:$BZ,MATCH($H50,英雄装备!$F:$F,0),MATCH(M$2,英雄装备!$1:$1,0)-5),装备属性!$A:$C,3,0),VLOOKUP(INDEX(英雄装备!$F:$BZ,MATCH($H50,英雄装备!$F:$F,0),MATCH(M$2,英雄装备!$1:$1,0)-4),装备属性!$A:$C,3,0),VLOOKUP(INDEX(英雄装备!$F:$BZ,MATCH($H50,英雄装备!$F:$F,0),MATCH(M$2,英雄装备!$1:$1,0)-3),装备属性!$A:$C,3,0),VLOOKUP(INDEX(英雄装备!$F:$BZ,MATCH($H50,英雄装备!$F:$F,0),MATCH(M$2,英雄装备!$1:$1,0)-2),装备属性!$A:$C,3,0),VLOOKUP(INDEX(英雄装备!$F:$BZ,MATCH($H50,英雄装备!$F:$F,0),MATCH(M$2,英雄装备!$1:$1,0)-1),装备属性!$A:$C,3,0),VLOOKUP(INDEX(英雄装备!$F:$BZ,MATCH($H50,英雄装备!$F:$F,0),MATCH(M$2,英雄装备!$1:$1,0)),装备属性!$A:$C,3,0))</f>
        <v>44</v>
      </c>
      <c r="N50" s="51">
        <f>MAX(VLOOKUP(INDEX(英雄装备!$F:$BZ,MATCH($H50,英雄装备!$F:$F,0),MATCH(N$2,英雄装备!$1:$1,0)-5),装备属性!$A:$C,3,0),VLOOKUP(INDEX(英雄装备!$F:$BZ,MATCH($H50,英雄装备!$F:$F,0),MATCH(N$2,英雄装备!$1:$1,0)-4),装备属性!$A:$C,3,0),VLOOKUP(INDEX(英雄装备!$F:$BZ,MATCH($H50,英雄装备!$F:$F,0),MATCH(N$2,英雄装备!$1:$1,0)-3),装备属性!$A:$C,3,0),VLOOKUP(INDEX(英雄装备!$F:$BZ,MATCH($H50,英雄装备!$F:$F,0),MATCH(N$2,英雄装备!$1:$1,0)-2),装备属性!$A:$C,3,0),VLOOKUP(INDEX(英雄装备!$F:$BZ,MATCH($H50,英雄装备!$F:$F,0),MATCH(N$2,英雄装备!$1:$1,0)-1),装备属性!$A:$C,3,0),VLOOKUP(INDEX(英雄装备!$F:$BZ,MATCH($H50,英雄装备!$F:$F,0),MATCH(N$2,英雄装备!$1:$1,0)),装备属性!$A:$C,3,0))</f>
        <v>53</v>
      </c>
      <c r="O50" s="51">
        <f>MAX(VLOOKUP(INDEX(英雄装备!$F:$BZ,MATCH($H50,英雄装备!$F:$F,0),MATCH(O$2,英雄装备!$1:$1,0)-5),装备属性!$A:$C,3,0),VLOOKUP(INDEX(英雄装备!$F:$BZ,MATCH($H50,英雄装备!$F:$F,0),MATCH(O$2,英雄装备!$1:$1,0)-4),装备属性!$A:$C,3,0),VLOOKUP(INDEX(英雄装备!$F:$BZ,MATCH($H50,英雄装备!$F:$F,0),MATCH(O$2,英雄装备!$1:$1,0)-3),装备属性!$A:$C,3,0),VLOOKUP(INDEX(英雄装备!$F:$BZ,MATCH($H50,英雄装备!$F:$F,0),MATCH(O$2,英雄装备!$1:$1,0)-2),装备属性!$A:$C,3,0),VLOOKUP(INDEX(英雄装备!$F:$BZ,MATCH($H50,英雄装备!$F:$F,0),MATCH(O$2,英雄装备!$1:$1,0)-1),装备属性!$A:$C,3,0),VLOOKUP(INDEX(英雄装备!$F:$BZ,MATCH($H50,英雄装备!$F:$F,0),MATCH(O$2,英雄装备!$1:$1,0)),装备属性!$A:$C,3,0))</f>
        <v>64</v>
      </c>
      <c r="P50" s="51">
        <f>MAX(VLOOKUP(INDEX(英雄装备!$F:$BZ,MATCH($H50,英雄装备!$F:$F,0),MATCH(P$2,英雄装备!$1:$1,0)-5),装备属性!$A:$C,3,0),VLOOKUP(INDEX(英雄装备!$F:$BZ,MATCH($H50,英雄装备!$F:$F,0),MATCH(P$2,英雄装备!$1:$1,0)-4),装备属性!$A:$C,3,0),VLOOKUP(INDEX(英雄装备!$F:$BZ,MATCH($H50,英雄装备!$F:$F,0),MATCH(P$2,英雄装备!$1:$1,0)-3),装备属性!$A:$C,3,0),VLOOKUP(INDEX(英雄装备!$F:$BZ,MATCH($H50,英雄装备!$F:$F,0),MATCH(P$2,英雄装备!$1:$1,0)-2),装备属性!$A:$C,3,0),VLOOKUP(INDEX(英雄装备!$F:$BZ,MATCH($H50,英雄装备!$F:$F,0),MATCH(P$2,英雄装备!$1:$1,0)-1),装备属性!$A:$C,3,0),VLOOKUP(INDEX(英雄装备!$F:$BZ,MATCH($H50,英雄装备!$F:$F,0),MATCH(P$2,英雄装备!$1:$1,0)),装备属性!$A:$C,3,0))</f>
        <v>73</v>
      </c>
      <c r="Q50" s="51">
        <f>MAX(VLOOKUP(INDEX(英雄装备!$F:$BZ,MATCH($H50,英雄装备!$F:$F,0),MATCH(Q$2,英雄装备!$1:$1,0)-5),装备属性!$A:$C,3,0),VLOOKUP(INDEX(英雄装备!$F:$BZ,MATCH($H50,英雄装备!$F:$F,0),MATCH(Q$2,英雄装备!$1:$1,0)-4),装备属性!$A:$C,3,0),VLOOKUP(INDEX(英雄装备!$F:$BZ,MATCH($H50,英雄装备!$F:$F,0),MATCH(Q$2,英雄装备!$1:$1,0)-3),装备属性!$A:$C,3,0),VLOOKUP(INDEX(英雄装备!$F:$BZ,MATCH($H50,英雄装备!$F:$F,0),MATCH(Q$2,英雄装备!$1:$1,0)-2),装备属性!$A:$C,3,0),VLOOKUP(INDEX(英雄装备!$F:$BZ,MATCH($H50,英雄装备!$F:$F,0),MATCH(Q$2,英雄装备!$1:$1,0)-1),装备属性!$A:$C,3,0),VLOOKUP(INDEX(英雄装备!$F:$BZ,MATCH($H50,英雄装备!$F:$F,0),MATCH(Q$2,英雄装备!$1:$1,0)),装备属性!$A:$C,3,0))</f>
        <v>80</v>
      </c>
      <c r="R50" s="51">
        <f>MAX(VLOOKUP(INDEX(英雄装备!$F:$BZ,MATCH($H50,英雄装备!$F:$F,0),MATCH(R$2,英雄装备!$1:$1,0)-5),装备属性!$A:$C,3,0),VLOOKUP(INDEX(英雄装备!$F:$BZ,MATCH($H50,英雄装备!$F:$F,0),MATCH(R$2,英雄装备!$1:$1,0)-4),装备属性!$A:$C,3,0),VLOOKUP(INDEX(英雄装备!$F:$BZ,MATCH($H50,英雄装备!$F:$F,0),MATCH(R$2,英雄装备!$1:$1,0)-3),装备属性!$A:$C,3,0),VLOOKUP(INDEX(英雄装备!$F:$BZ,MATCH($H50,英雄装备!$F:$F,0),MATCH(R$2,英雄装备!$1:$1,0)-2),装备属性!$A:$C,3,0),VLOOKUP(INDEX(英雄装备!$F:$BZ,MATCH($H50,英雄装备!$F:$F,0),MATCH(R$2,英雄装备!$1:$1,0)-1),装备属性!$A:$C,3,0),VLOOKUP(INDEX(英雄装备!$F:$BZ,MATCH($H50,英雄装备!$F:$F,0),MATCH(R$2,英雄装备!$1:$1,0)),装备属性!$A:$C,3,0))</f>
        <v>79</v>
      </c>
      <c r="S50" s="51">
        <f>MAX(VLOOKUP(INDEX(英雄装备!$F:$BZ,MATCH($H50,英雄装备!$F:$F,0),MATCH(S$2,英雄装备!$1:$1,0)-5),装备属性!$A:$C,3,0),VLOOKUP(INDEX(英雄装备!$F:$BZ,MATCH($H50,英雄装备!$F:$F,0),MATCH(S$2,英雄装备!$1:$1,0)-4),装备属性!$A:$C,3,0),VLOOKUP(INDEX(英雄装备!$F:$BZ,MATCH($H50,英雄装备!$F:$F,0),MATCH(S$2,英雄装备!$1:$1,0)-3),装备属性!$A:$C,3,0),VLOOKUP(INDEX(英雄装备!$F:$BZ,MATCH($H50,英雄装备!$F:$F,0),MATCH(S$2,英雄装备!$1:$1,0)-2),装备属性!$A:$C,3,0),VLOOKUP(INDEX(英雄装备!$F:$BZ,MATCH($H50,英雄装备!$F:$F,0),MATCH(S$2,英雄装备!$1:$1,0)-1),装备属性!$A:$C,3,0),VLOOKUP(INDEX(英雄装备!$F:$BZ,MATCH($H50,英雄装备!$F:$F,0),MATCH(S$2,英雄装备!$1:$1,0)),装备属性!$A:$C,3,0))</f>
        <v>85</v>
      </c>
      <c r="T50" s="51">
        <f>MAX(VLOOKUP(INDEX(英雄装备!$F:$BZ,MATCH($H50,英雄装备!$F:$F,0),MATCH(T$2,英雄装备!$1:$1,0)-5),装备属性!$A:$C,3,0),VLOOKUP(INDEX(英雄装备!$F:$BZ,MATCH($H50,英雄装备!$F:$F,0),MATCH(T$2,英雄装备!$1:$1,0)-4),装备属性!$A:$C,3,0),VLOOKUP(INDEX(英雄装备!$F:$BZ,MATCH($H50,英雄装备!$F:$F,0),MATCH(T$2,英雄装备!$1:$1,0)-3),装备属性!$A:$C,3,0),VLOOKUP(INDEX(英雄装备!$F:$BZ,MATCH($H50,英雄装备!$F:$F,0),MATCH(T$2,英雄装备!$1:$1,0)-2),装备属性!$A:$C,3,0),VLOOKUP(INDEX(英雄装备!$F:$BZ,MATCH($H50,英雄装备!$F:$F,0),MATCH(T$2,英雄装备!$1:$1,0)-1),装备属性!$A:$C,3,0))</f>
        <v>89</v>
      </c>
      <c r="V50" s="49">
        <v>9</v>
      </c>
      <c r="W50" s="49" t="str">
        <f>IF($V$2&lt;9,"","紫+2")</f>
        <v>紫+2</v>
      </c>
      <c r="X50" s="150" t="str">
        <f t="shared" ref="X50:AC50" si="24">IF(AND(X35=TRUE,$W50&lt;&gt;""),X9,"")</f>
        <v>撒旦</v>
      </c>
      <c r="Y50" s="150" t="str">
        <f t="shared" si="24"/>
        <v>刷新珠</v>
      </c>
      <c r="Z50" s="150" t="str">
        <f t="shared" si="24"/>
        <v>分身斧</v>
      </c>
      <c r="AA50" s="150" t="str">
        <f t="shared" si="24"/>
        <v>蓝杖</v>
      </c>
      <c r="AB50" s="150" t="str">
        <f t="shared" si="24"/>
        <v>敏捷系带</v>
      </c>
      <c r="AC50" s="150" t="str">
        <f t="shared" si="24"/>
        <v>飞鞋</v>
      </c>
      <c r="AF50" s="49">
        <v>5</v>
      </c>
      <c r="AG50" s="49" t="str">
        <f>AA5</f>
        <v>古之耐歌</v>
      </c>
      <c r="AH50" s="49">
        <f>VLOOKUP($AG50,装备属性!$A:$Y,5,0)</f>
        <v>9</v>
      </c>
      <c r="AI50" s="49">
        <f>VLOOKUP($AG50,装备属性!$A:$Y,6,0)</f>
        <v>9</v>
      </c>
      <c r="AJ50" s="49">
        <f>VLOOKUP($AG50,装备属性!$A:$Y,7,0)</f>
        <v>9</v>
      </c>
      <c r="AK50" s="49">
        <f>VLOOKUP($AG50,装备属性!$A:$Y,8,0)</f>
        <v>0</v>
      </c>
      <c r="AL50" s="49">
        <f>VLOOKUP($AG50,装备属性!$A:$Y,9,0)</f>
        <v>3</v>
      </c>
      <c r="AM50" s="49">
        <f>VLOOKUP($AG50,装备属性!$A:$Y,10,0)</f>
        <v>0</v>
      </c>
      <c r="AN50" s="49">
        <f>VLOOKUP($AG50,装备属性!$A:$Y,11,0)</f>
        <v>0</v>
      </c>
      <c r="AO50" s="49">
        <f>VLOOKUP($AG50,装备属性!$A:$Y,12,0)</f>
        <v>0</v>
      </c>
      <c r="AP50" s="49">
        <f>VLOOKUP($AG50,装备属性!$A:$Y,13,0)</f>
        <v>0</v>
      </c>
      <c r="AQ50" s="49">
        <f>VLOOKUP($AG50,装备属性!$A:$Y,14,0)</f>
        <v>0</v>
      </c>
      <c r="AR50" s="49">
        <f>VLOOKUP($AG50,装备属性!$A:$Y,15,0)</f>
        <v>0</v>
      </c>
      <c r="AS50" s="49">
        <f>VLOOKUP($AG50,装备属性!$A:$Y,16,0)</f>
        <v>0</v>
      </c>
      <c r="AT50" s="49">
        <f>VLOOKUP($AG50,装备属性!$A:$Y,17,0)</f>
        <v>0</v>
      </c>
      <c r="AU50" s="49">
        <f>VLOOKUP($AG50,装备属性!$A:$Y,18,0)</f>
        <v>0</v>
      </c>
      <c r="AV50" s="49">
        <f>VLOOKUP($AG50,装备属性!$A:$Y,19,0)</f>
        <v>0</v>
      </c>
      <c r="AW50" s="49">
        <f>VLOOKUP($AG50,装备属性!$A:$Y,20,0)</f>
        <v>0</v>
      </c>
      <c r="AX50" s="49">
        <f>VLOOKUP($AG50,装备属性!$A:$Y,21,0)</f>
        <v>0</v>
      </c>
      <c r="AY50" s="49">
        <f>VLOOKUP($AG50,装备属性!$A:$Y,22,0)</f>
        <v>0</v>
      </c>
      <c r="AZ50" s="138">
        <f>VLOOKUP($AG50,装备属性!$A:$Y,23,0)</f>
        <v>0</v>
      </c>
      <c r="BA50" s="138">
        <f>VLOOKUP($AG50,装备属性!$A:$Y,24,0)</f>
        <v>0</v>
      </c>
      <c r="BB50" s="138">
        <f>VLOOKUP($AG50,装备属性!$A:$Y,25,0)</f>
        <v>0</v>
      </c>
    </row>
    <row r="51" spans="2:54">
      <c r="B51" s="186" t="s">
        <v>2128</v>
      </c>
      <c r="H51" s="119" t="s">
        <v>1824</v>
      </c>
      <c r="I51" s="51">
        <f>MAX(VLOOKUP(INDEX(英雄装备!$F:$BZ,MATCH($H51,英雄装备!$F:$F,0),MATCH(I$2,英雄装备!$1:$1,0)-5),装备属性!$A:$C,3,0),VLOOKUP(INDEX(英雄装备!$F:$BZ,MATCH($H51,英雄装备!$F:$F,0),MATCH(I$2,英雄装备!$1:$1,0)-4),装备属性!$A:$C,3,0),VLOOKUP(INDEX(英雄装备!$F:$BZ,MATCH($H51,英雄装备!$F:$F,0),MATCH(I$2,英雄装备!$1:$1,0)-3),装备属性!$A:$C,3,0),VLOOKUP(INDEX(英雄装备!$F:$BZ,MATCH($H51,英雄装备!$F:$F,0),MATCH(I$2,英雄装备!$1:$1,0)-2),装备属性!$A:$C,3,0),VLOOKUP(INDEX(英雄装备!$F:$BZ,MATCH($H51,英雄装备!$F:$F,0),MATCH(I$2,英雄装备!$1:$1,0)-1),装备属性!$A:$C,3,0),VLOOKUP(INDEX(英雄装备!$F:$BZ,MATCH($H51,英雄装备!$F:$F,0),MATCH(I$2,英雄装备!$1:$1,0)),装备属性!$A:$C,3,0))</f>
        <v>2</v>
      </c>
      <c r="J51" s="51">
        <f>MAX(VLOOKUP(INDEX(英雄装备!$F:$BZ,MATCH($H51,英雄装备!$F:$F,0),MATCH(J$2,英雄装备!$1:$1,0)-5),装备属性!$A:$C,3,0),VLOOKUP(INDEX(英雄装备!$F:$BZ,MATCH($H51,英雄装备!$F:$F,0),MATCH(J$2,英雄装备!$1:$1,0)-4),装备属性!$A:$C,3,0),VLOOKUP(INDEX(英雄装备!$F:$BZ,MATCH($H51,英雄装备!$F:$F,0),MATCH(J$2,英雄装备!$1:$1,0)-3),装备属性!$A:$C,3,0),VLOOKUP(INDEX(英雄装备!$F:$BZ,MATCH($H51,英雄装备!$F:$F,0),MATCH(J$2,英雄装备!$1:$1,0)-2),装备属性!$A:$C,3,0),VLOOKUP(INDEX(英雄装备!$F:$BZ,MATCH($H51,英雄装备!$F:$F,0),MATCH(J$2,英雄装备!$1:$1,0)-1),装备属性!$A:$C,3,0),VLOOKUP(INDEX(英雄装备!$F:$BZ,MATCH($H51,英雄装备!$F:$F,0),MATCH(J$2,英雄装备!$1:$1,0)),装备属性!$A:$C,3,0))</f>
        <v>12</v>
      </c>
      <c r="K51" s="51">
        <f>MAX(VLOOKUP(INDEX(英雄装备!$F:$BZ,MATCH($H51,英雄装备!$F:$F,0),MATCH(K$2,英雄装备!$1:$1,0)-5),装备属性!$A:$C,3,0),VLOOKUP(INDEX(英雄装备!$F:$BZ,MATCH($H51,英雄装备!$F:$F,0),MATCH(K$2,英雄装备!$1:$1,0)-4),装备属性!$A:$C,3,0),VLOOKUP(INDEX(英雄装备!$F:$BZ,MATCH($H51,英雄装备!$F:$F,0),MATCH(K$2,英雄装备!$1:$1,0)-3),装备属性!$A:$C,3,0),VLOOKUP(INDEX(英雄装备!$F:$BZ,MATCH($H51,英雄装备!$F:$F,0),MATCH(K$2,英雄装备!$1:$1,0)-2),装备属性!$A:$C,3,0),VLOOKUP(INDEX(英雄装备!$F:$BZ,MATCH($H51,英雄装备!$F:$F,0),MATCH(K$2,英雄装备!$1:$1,0)-1),装备属性!$A:$C,3,0),VLOOKUP(INDEX(英雄装备!$F:$BZ,MATCH($H51,英雄装备!$F:$F,0),MATCH(K$2,英雄装备!$1:$1,0)),装备属性!$A:$C,3,0))</f>
        <v>20</v>
      </c>
      <c r="L51" s="51">
        <f>MAX(VLOOKUP(INDEX(英雄装备!$F:$BZ,MATCH($H51,英雄装备!$F:$F,0),MATCH(L$2,英雄装备!$1:$1,0)-5),装备属性!$A:$C,3,0),VLOOKUP(INDEX(英雄装备!$F:$BZ,MATCH($H51,英雄装备!$F:$F,0),MATCH(L$2,英雄装备!$1:$1,0)-4),装备属性!$A:$C,3,0),VLOOKUP(INDEX(英雄装备!$F:$BZ,MATCH($H51,英雄装备!$F:$F,0),MATCH(L$2,英雄装备!$1:$1,0)-3),装备属性!$A:$C,3,0),VLOOKUP(INDEX(英雄装备!$F:$BZ,MATCH($H51,英雄装备!$F:$F,0),MATCH(L$2,英雄装备!$1:$1,0)-2),装备属性!$A:$C,3,0),VLOOKUP(INDEX(英雄装备!$F:$BZ,MATCH($H51,英雄装备!$F:$F,0),MATCH(L$2,英雄装备!$1:$1,0)-1),装备属性!$A:$C,3,0),VLOOKUP(INDEX(英雄装备!$F:$BZ,MATCH($H51,英雄装备!$F:$F,0),MATCH(L$2,英雄装备!$1:$1,0)),装备属性!$A:$C,3,0))</f>
        <v>36</v>
      </c>
      <c r="M51" s="51">
        <f>MAX(VLOOKUP(INDEX(英雄装备!$F:$BZ,MATCH($H51,英雄装备!$F:$F,0),MATCH(M$2,英雄装备!$1:$1,0)-5),装备属性!$A:$C,3,0),VLOOKUP(INDEX(英雄装备!$F:$BZ,MATCH($H51,英雄装备!$F:$F,0),MATCH(M$2,英雄装备!$1:$1,0)-4),装备属性!$A:$C,3,0),VLOOKUP(INDEX(英雄装备!$F:$BZ,MATCH($H51,英雄装备!$F:$F,0),MATCH(M$2,英雄装备!$1:$1,0)-3),装备属性!$A:$C,3,0),VLOOKUP(INDEX(英雄装备!$F:$BZ,MATCH($H51,英雄装备!$F:$F,0),MATCH(M$2,英雄装备!$1:$1,0)-2),装备属性!$A:$C,3,0),VLOOKUP(INDEX(英雄装备!$F:$BZ,MATCH($H51,英雄装备!$F:$F,0),MATCH(M$2,英雄装备!$1:$1,0)-1),装备属性!$A:$C,3,0),VLOOKUP(INDEX(英雄装备!$F:$BZ,MATCH($H51,英雄装备!$F:$F,0),MATCH(M$2,英雄装备!$1:$1,0)),装备属性!$A:$C,3,0))</f>
        <v>43</v>
      </c>
      <c r="N51" s="51">
        <f>MAX(VLOOKUP(INDEX(英雄装备!$F:$BZ,MATCH($H51,英雄装备!$F:$F,0),MATCH(N$2,英雄装备!$1:$1,0)-5),装备属性!$A:$C,3,0),VLOOKUP(INDEX(英雄装备!$F:$BZ,MATCH($H51,英雄装备!$F:$F,0),MATCH(N$2,英雄装备!$1:$1,0)-4),装备属性!$A:$C,3,0),VLOOKUP(INDEX(英雄装备!$F:$BZ,MATCH($H51,英雄装备!$F:$F,0),MATCH(N$2,英雄装备!$1:$1,0)-3),装备属性!$A:$C,3,0),VLOOKUP(INDEX(英雄装备!$F:$BZ,MATCH($H51,英雄装备!$F:$F,0),MATCH(N$2,英雄装备!$1:$1,0)-2),装备属性!$A:$C,3,0),VLOOKUP(INDEX(英雄装备!$F:$BZ,MATCH($H51,英雄装备!$F:$F,0),MATCH(N$2,英雄装备!$1:$1,0)-1),装备属性!$A:$C,3,0),VLOOKUP(INDEX(英雄装备!$F:$BZ,MATCH($H51,英雄装备!$F:$F,0),MATCH(N$2,英雄装备!$1:$1,0)),装备属性!$A:$C,3,0))</f>
        <v>51</v>
      </c>
      <c r="O51" s="51">
        <f>MAX(VLOOKUP(INDEX(英雄装备!$F:$BZ,MATCH($H51,英雄装备!$F:$F,0),MATCH(O$2,英雄装备!$1:$1,0)-5),装备属性!$A:$C,3,0),VLOOKUP(INDEX(英雄装备!$F:$BZ,MATCH($H51,英雄装备!$F:$F,0),MATCH(O$2,英雄装备!$1:$1,0)-4),装备属性!$A:$C,3,0),VLOOKUP(INDEX(英雄装备!$F:$BZ,MATCH($H51,英雄装备!$F:$F,0),MATCH(O$2,英雄装备!$1:$1,0)-3),装备属性!$A:$C,3,0),VLOOKUP(INDEX(英雄装备!$F:$BZ,MATCH($H51,英雄装备!$F:$F,0),MATCH(O$2,英雄装备!$1:$1,0)-2),装备属性!$A:$C,3,0),VLOOKUP(INDEX(英雄装备!$F:$BZ,MATCH($H51,英雄装备!$F:$F,0),MATCH(O$2,英雄装备!$1:$1,0)-1),装备属性!$A:$C,3,0),VLOOKUP(INDEX(英雄装备!$F:$BZ,MATCH($H51,英雄装备!$F:$F,0),MATCH(O$2,英雄装备!$1:$1,0)),装备属性!$A:$C,3,0))</f>
        <v>59</v>
      </c>
      <c r="P51" s="51">
        <f>MAX(VLOOKUP(INDEX(英雄装备!$F:$BZ,MATCH($H51,英雄装备!$F:$F,0),MATCH(P$2,英雄装备!$1:$1,0)-5),装备属性!$A:$C,3,0),VLOOKUP(INDEX(英雄装备!$F:$BZ,MATCH($H51,英雄装备!$F:$F,0),MATCH(P$2,英雄装备!$1:$1,0)-4),装备属性!$A:$C,3,0),VLOOKUP(INDEX(英雄装备!$F:$BZ,MATCH($H51,英雄装备!$F:$F,0),MATCH(P$2,英雄装备!$1:$1,0)-3),装备属性!$A:$C,3,0),VLOOKUP(INDEX(英雄装备!$F:$BZ,MATCH($H51,英雄装备!$F:$F,0),MATCH(P$2,英雄装备!$1:$1,0)-2),装备属性!$A:$C,3,0),VLOOKUP(INDEX(英雄装备!$F:$BZ,MATCH($H51,英雄装备!$F:$F,0),MATCH(P$2,英雄装备!$1:$1,0)-1),装备属性!$A:$C,3,0),VLOOKUP(INDEX(英雄装备!$F:$BZ,MATCH($H51,英雄装备!$F:$F,0),MATCH(P$2,英雄装备!$1:$1,0)),装备属性!$A:$C,3,0))</f>
        <v>70</v>
      </c>
      <c r="Q51" s="51">
        <f>MAX(VLOOKUP(INDEX(英雄装备!$F:$BZ,MATCH($H51,英雄装备!$F:$F,0),MATCH(Q$2,英雄装备!$1:$1,0)-5),装备属性!$A:$C,3,0),VLOOKUP(INDEX(英雄装备!$F:$BZ,MATCH($H51,英雄装备!$F:$F,0),MATCH(Q$2,英雄装备!$1:$1,0)-4),装备属性!$A:$C,3,0),VLOOKUP(INDEX(英雄装备!$F:$BZ,MATCH($H51,英雄装备!$F:$F,0),MATCH(Q$2,英雄装备!$1:$1,0)-3),装备属性!$A:$C,3,0),VLOOKUP(INDEX(英雄装备!$F:$BZ,MATCH($H51,英雄装备!$F:$F,0),MATCH(Q$2,英雄装备!$1:$1,0)-2),装备属性!$A:$C,3,0),VLOOKUP(INDEX(英雄装备!$F:$BZ,MATCH($H51,英雄装备!$F:$F,0),MATCH(Q$2,英雄装备!$1:$1,0)-1),装备属性!$A:$C,3,0),VLOOKUP(INDEX(英雄装备!$F:$BZ,MATCH($H51,英雄装备!$F:$F,0),MATCH(Q$2,英雄装备!$1:$1,0)),装备属性!$A:$C,3,0))</f>
        <v>80</v>
      </c>
      <c r="R51" s="51">
        <f>MAX(VLOOKUP(INDEX(英雄装备!$F:$BZ,MATCH($H51,英雄装备!$F:$F,0),MATCH(R$2,英雄装备!$1:$1,0)-5),装备属性!$A:$C,3,0),VLOOKUP(INDEX(英雄装备!$F:$BZ,MATCH($H51,英雄装备!$F:$F,0),MATCH(R$2,英雄装备!$1:$1,0)-4),装备属性!$A:$C,3,0),VLOOKUP(INDEX(英雄装备!$F:$BZ,MATCH($H51,英雄装备!$F:$F,0),MATCH(R$2,英雄装备!$1:$1,0)-3),装备属性!$A:$C,3,0),VLOOKUP(INDEX(英雄装备!$F:$BZ,MATCH($H51,英雄装备!$F:$F,0),MATCH(R$2,英雄装备!$1:$1,0)-2),装备属性!$A:$C,3,0),VLOOKUP(INDEX(英雄装备!$F:$BZ,MATCH($H51,英雄装备!$F:$F,0),MATCH(R$2,英雄装备!$1:$1,0)-1),装备属性!$A:$C,3,0),VLOOKUP(INDEX(英雄装备!$F:$BZ,MATCH($H51,英雄装备!$F:$F,0),MATCH(R$2,英雄装备!$1:$1,0)),装备属性!$A:$C,3,0))</f>
        <v>80</v>
      </c>
      <c r="S51" s="51">
        <f>MAX(VLOOKUP(INDEX(英雄装备!$F:$BZ,MATCH($H51,英雄装备!$F:$F,0),MATCH(S$2,英雄装备!$1:$1,0)-5),装备属性!$A:$C,3,0),VLOOKUP(INDEX(英雄装备!$F:$BZ,MATCH($H51,英雄装备!$F:$F,0),MATCH(S$2,英雄装备!$1:$1,0)-4),装备属性!$A:$C,3,0),VLOOKUP(INDEX(英雄装备!$F:$BZ,MATCH($H51,英雄装备!$F:$F,0),MATCH(S$2,英雄装备!$1:$1,0)-3),装备属性!$A:$C,3,0),VLOOKUP(INDEX(英雄装备!$F:$BZ,MATCH($H51,英雄装备!$F:$F,0),MATCH(S$2,英雄装备!$1:$1,0)-2),装备属性!$A:$C,3,0),VLOOKUP(INDEX(英雄装备!$F:$BZ,MATCH($H51,英雄装备!$F:$F,0),MATCH(S$2,英雄装备!$1:$1,0)-1),装备属性!$A:$C,3,0),VLOOKUP(INDEX(英雄装备!$F:$BZ,MATCH($H51,英雄装备!$F:$F,0),MATCH(S$2,英雄装备!$1:$1,0)),装备属性!$A:$C,3,0))</f>
        <v>85</v>
      </c>
      <c r="T51" s="51">
        <f>MAX(VLOOKUP(INDEX(英雄装备!$F:$BZ,MATCH($H51,英雄装备!$F:$F,0),MATCH(T$2,英雄装备!$1:$1,0)-5),装备属性!$A:$C,3,0),VLOOKUP(INDEX(英雄装备!$F:$BZ,MATCH($H51,英雄装备!$F:$F,0),MATCH(T$2,英雄装备!$1:$1,0)-4),装备属性!$A:$C,3,0),VLOOKUP(INDEX(英雄装备!$F:$BZ,MATCH($H51,英雄装备!$F:$F,0),MATCH(T$2,英雄装备!$1:$1,0)-3),装备属性!$A:$C,3,0),VLOOKUP(INDEX(英雄装备!$F:$BZ,MATCH($H51,英雄装备!$F:$F,0),MATCH(T$2,英雄装备!$1:$1,0)-2),装备属性!$A:$C,3,0),VLOOKUP(INDEX(英雄装备!$F:$BZ,MATCH($H51,英雄装备!$F:$F,0),MATCH(T$2,英雄装备!$1:$1,0)-1),装备属性!$A:$C,3,0))</f>
        <v>88</v>
      </c>
      <c r="V51" s="49">
        <v>10</v>
      </c>
      <c r="W51" s="49" t="str">
        <f>IF($V$2&lt;10,"","紫+3")</f>
        <v>紫+3</v>
      </c>
      <c r="X51" s="150" t="str">
        <f t="shared" ref="X51:AC51" si="25">IF(AND(X36=TRUE,$W51&lt;&gt;""),X10,"")</f>
        <v>深渊之刃</v>
      </c>
      <c r="Y51" s="150" t="str">
        <f t="shared" si="25"/>
        <v>龙心</v>
      </c>
      <c r="Z51" s="150" t="str">
        <f t="shared" si="25"/>
        <v>狂战斧</v>
      </c>
      <c r="AA51" s="150" t="str">
        <f t="shared" si="25"/>
        <v>黑黄</v>
      </c>
      <c r="AB51" s="150" t="str">
        <f t="shared" si="25"/>
        <v>冲锋盾</v>
      </c>
      <c r="AC51" s="150" t="str">
        <f t="shared" si="25"/>
        <v>飞鞋</v>
      </c>
      <c r="AF51" s="49">
        <v>5</v>
      </c>
      <c r="AG51" s="49" t="str">
        <f>AB5</f>
        <v>敏捷系带</v>
      </c>
      <c r="AH51" s="49">
        <f>VLOOKUP($AG51,装备属性!$A:$Y,5,0)</f>
        <v>3</v>
      </c>
      <c r="AI51" s="49">
        <f>VLOOKUP($AG51,装备属性!$A:$Y,6,0)</f>
        <v>6</v>
      </c>
      <c r="AJ51" s="49">
        <f>VLOOKUP($AG51,装备属性!$A:$Y,7,0)</f>
        <v>3</v>
      </c>
      <c r="AK51" s="49">
        <f>VLOOKUP($AG51,装备属性!$A:$Y,8,0)</f>
        <v>0</v>
      </c>
      <c r="AL51" s="49">
        <f>VLOOKUP($AG51,装备属性!$A:$Y,9,0)</f>
        <v>3</v>
      </c>
      <c r="AM51" s="49">
        <f>VLOOKUP($AG51,装备属性!$A:$Y,10,0)</f>
        <v>0</v>
      </c>
      <c r="AN51" s="49">
        <f>VLOOKUP($AG51,装备属性!$A:$Y,11,0)</f>
        <v>0</v>
      </c>
      <c r="AO51" s="49">
        <f>VLOOKUP($AG51,装备属性!$A:$Y,12,0)</f>
        <v>0</v>
      </c>
      <c r="AP51" s="49">
        <f>VLOOKUP($AG51,装备属性!$A:$Y,13,0)</f>
        <v>0</v>
      </c>
      <c r="AQ51" s="49">
        <f>VLOOKUP($AG51,装备属性!$A:$Y,14,0)</f>
        <v>0</v>
      </c>
      <c r="AR51" s="49">
        <f>VLOOKUP($AG51,装备属性!$A:$Y,15,0)</f>
        <v>0</v>
      </c>
      <c r="AS51" s="49">
        <f>VLOOKUP($AG51,装备属性!$A:$Y,16,0)</f>
        <v>0</v>
      </c>
      <c r="AT51" s="49">
        <f>VLOOKUP($AG51,装备属性!$A:$Y,17,0)</f>
        <v>0</v>
      </c>
      <c r="AU51" s="49">
        <f>VLOOKUP($AG51,装备属性!$A:$Y,18,0)</f>
        <v>0</v>
      </c>
      <c r="AV51" s="49">
        <f>VLOOKUP($AG51,装备属性!$A:$Y,19,0)</f>
        <v>0</v>
      </c>
      <c r="AW51" s="49">
        <f>VLOOKUP($AG51,装备属性!$A:$Y,20,0)</f>
        <v>0</v>
      </c>
      <c r="AX51" s="49">
        <f>VLOOKUP($AG51,装备属性!$A:$Y,21,0)</f>
        <v>0</v>
      </c>
      <c r="AY51" s="49">
        <f>VLOOKUP($AG51,装备属性!$A:$Y,22,0)</f>
        <v>0</v>
      </c>
      <c r="AZ51" s="138">
        <f>VLOOKUP($AG51,装备属性!$A:$Y,23,0)</f>
        <v>0</v>
      </c>
      <c r="BA51" s="138">
        <f>VLOOKUP($AG51,装备属性!$A:$Y,24,0)</f>
        <v>0</v>
      </c>
      <c r="BB51" s="138">
        <f>VLOOKUP($AG51,装备属性!$A:$Y,25,0)</f>
        <v>0</v>
      </c>
    </row>
    <row r="52" spans="2:54">
      <c r="H52" s="119" t="s">
        <v>2093</v>
      </c>
      <c r="I52" s="51">
        <f>MAX(VLOOKUP(INDEX(英雄装备!$F:$BZ,MATCH($H52,英雄装备!$F:$F,0),MATCH(I$2,英雄装备!$1:$1,0)-5),装备属性!$A:$C,3,0),VLOOKUP(INDEX(英雄装备!$F:$BZ,MATCH($H52,英雄装备!$F:$F,0),MATCH(I$2,英雄装备!$1:$1,0)-4),装备属性!$A:$C,3,0),VLOOKUP(INDEX(英雄装备!$F:$BZ,MATCH($H52,英雄装备!$F:$F,0),MATCH(I$2,英雄装备!$1:$1,0)-3),装备属性!$A:$C,3,0),VLOOKUP(INDEX(英雄装备!$F:$BZ,MATCH($H52,英雄装备!$F:$F,0),MATCH(I$2,英雄装备!$1:$1,0)-2),装备属性!$A:$C,3,0),VLOOKUP(INDEX(英雄装备!$F:$BZ,MATCH($H52,英雄装备!$F:$F,0),MATCH(I$2,英雄装备!$1:$1,0)-1),装备属性!$A:$C,3,0),VLOOKUP(INDEX(英雄装备!$F:$BZ,MATCH($H52,英雄装备!$F:$F,0),MATCH(I$2,英雄装备!$1:$1,0)),装备属性!$A:$C,3,0))</f>
        <v>2</v>
      </c>
      <c r="J52" s="51">
        <f>MAX(VLOOKUP(INDEX(英雄装备!$F:$BZ,MATCH($H52,英雄装备!$F:$F,0),MATCH(J$2,英雄装备!$1:$1,0)-5),装备属性!$A:$C,3,0),VLOOKUP(INDEX(英雄装备!$F:$BZ,MATCH($H52,英雄装备!$F:$F,0),MATCH(J$2,英雄装备!$1:$1,0)-4),装备属性!$A:$C,3,0),VLOOKUP(INDEX(英雄装备!$F:$BZ,MATCH($H52,英雄装备!$F:$F,0),MATCH(J$2,英雄装备!$1:$1,0)-3),装备属性!$A:$C,3,0),VLOOKUP(INDEX(英雄装备!$F:$BZ,MATCH($H52,英雄装备!$F:$F,0),MATCH(J$2,英雄装备!$1:$1,0)-2),装备属性!$A:$C,3,0),VLOOKUP(INDEX(英雄装备!$F:$BZ,MATCH($H52,英雄装备!$F:$F,0),MATCH(J$2,英雄装备!$1:$1,0)-1),装备属性!$A:$C,3,0),VLOOKUP(INDEX(英雄装备!$F:$BZ,MATCH($H52,英雄装备!$F:$F,0),MATCH(J$2,英雄装备!$1:$1,0)),装备属性!$A:$C,3,0))</f>
        <v>10</v>
      </c>
      <c r="K52" s="51">
        <f>MAX(VLOOKUP(INDEX(英雄装备!$F:$BZ,MATCH($H52,英雄装备!$F:$F,0),MATCH(K$2,英雄装备!$1:$1,0)-5),装备属性!$A:$C,3,0),VLOOKUP(INDEX(英雄装备!$F:$BZ,MATCH($H52,英雄装备!$F:$F,0),MATCH(K$2,英雄装备!$1:$1,0)-4),装备属性!$A:$C,3,0),VLOOKUP(INDEX(英雄装备!$F:$BZ,MATCH($H52,英雄装备!$F:$F,0),MATCH(K$2,英雄装备!$1:$1,0)-3),装备属性!$A:$C,3,0),VLOOKUP(INDEX(英雄装备!$F:$BZ,MATCH($H52,英雄装备!$F:$F,0),MATCH(K$2,英雄装备!$1:$1,0)-2),装备属性!$A:$C,3,0),VLOOKUP(INDEX(英雄装备!$F:$BZ,MATCH($H52,英雄装备!$F:$F,0),MATCH(K$2,英雄装备!$1:$1,0)-1),装备属性!$A:$C,3,0),VLOOKUP(INDEX(英雄装备!$F:$BZ,MATCH($H52,英雄装备!$F:$F,0),MATCH(K$2,英雄装备!$1:$1,0)),装备属性!$A:$C,3,0))</f>
        <v>20</v>
      </c>
      <c r="L52" s="51">
        <f>MAX(VLOOKUP(INDEX(英雄装备!$F:$BZ,MATCH($H52,英雄装备!$F:$F,0),MATCH(L$2,英雄装备!$1:$1,0)-5),装备属性!$A:$C,3,0),VLOOKUP(INDEX(英雄装备!$F:$BZ,MATCH($H52,英雄装备!$F:$F,0),MATCH(L$2,英雄装备!$1:$1,0)-4),装备属性!$A:$C,3,0),VLOOKUP(INDEX(英雄装备!$F:$BZ,MATCH($H52,英雄装备!$F:$F,0),MATCH(L$2,英雄装备!$1:$1,0)-3),装备属性!$A:$C,3,0),VLOOKUP(INDEX(英雄装备!$F:$BZ,MATCH($H52,英雄装备!$F:$F,0),MATCH(L$2,英雄装备!$1:$1,0)-2),装备属性!$A:$C,3,0),VLOOKUP(INDEX(英雄装备!$F:$BZ,MATCH($H52,英雄装备!$F:$F,0),MATCH(L$2,英雄装备!$1:$1,0)-1),装备属性!$A:$C,3,0),VLOOKUP(INDEX(英雄装备!$F:$BZ,MATCH($H52,英雄装备!$F:$F,0),MATCH(L$2,英雄装备!$1:$1,0)),装备属性!$A:$C,3,0))</f>
        <v>35</v>
      </c>
      <c r="M52" s="51">
        <f>MAX(VLOOKUP(INDEX(英雄装备!$F:$BZ,MATCH($H52,英雄装备!$F:$F,0),MATCH(M$2,英雄装备!$1:$1,0)-5),装备属性!$A:$C,3,0),VLOOKUP(INDEX(英雄装备!$F:$BZ,MATCH($H52,英雄装备!$F:$F,0),MATCH(M$2,英雄装备!$1:$1,0)-4),装备属性!$A:$C,3,0),VLOOKUP(INDEX(英雄装备!$F:$BZ,MATCH($H52,英雄装备!$F:$F,0),MATCH(M$2,英雄装备!$1:$1,0)-3),装备属性!$A:$C,3,0),VLOOKUP(INDEX(英雄装备!$F:$BZ,MATCH($H52,英雄装备!$F:$F,0),MATCH(M$2,英雄装备!$1:$1,0)-2),装备属性!$A:$C,3,0),VLOOKUP(INDEX(英雄装备!$F:$BZ,MATCH($H52,英雄装备!$F:$F,0),MATCH(M$2,英雄装备!$1:$1,0)-1),装备属性!$A:$C,3,0),VLOOKUP(INDEX(英雄装备!$F:$BZ,MATCH($H52,英雄装备!$F:$F,0),MATCH(M$2,英雄装备!$1:$1,0)),装备属性!$A:$C,3,0))</f>
        <v>44</v>
      </c>
      <c r="N52" s="51">
        <f>MAX(VLOOKUP(INDEX(英雄装备!$F:$BZ,MATCH($H52,英雄装备!$F:$F,0),MATCH(N$2,英雄装备!$1:$1,0)-5),装备属性!$A:$C,3,0),VLOOKUP(INDEX(英雄装备!$F:$BZ,MATCH($H52,英雄装备!$F:$F,0),MATCH(N$2,英雄装备!$1:$1,0)-4),装备属性!$A:$C,3,0),VLOOKUP(INDEX(英雄装备!$F:$BZ,MATCH($H52,英雄装备!$F:$F,0),MATCH(N$2,英雄装备!$1:$1,0)-3),装备属性!$A:$C,3,0),VLOOKUP(INDEX(英雄装备!$F:$BZ,MATCH($H52,英雄装备!$F:$F,0),MATCH(N$2,英雄装备!$1:$1,0)-2),装备属性!$A:$C,3,0),VLOOKUP(INDEX(英雄装备!$F:$BZ,MATCH($H52,英雄装备!$F:$F,0),MATCH(N$2,英雄装备!$1:$1,0)-1),装备属性!$A:$C,3,0),VLOOKUP(INDEX(英雄装备!$F:$BZ,MATCH($H52,英雄装备!$F:$F,0),MATCH(N$2,英雄装备!$1:$1,0)),装备属性!$A:$C,3,0))</f>
        <v>53</v>
      </c>
      <c r="O52" s="51">
        <f>MAX(VLOOKUP(INDEX(英雄装备!$F:$BZ,MATCH($H52,英雄装备!$F:$F,0),MATCH(O$2,英雄装备!$1:$1,0)-5),装备属性!$A:$C,3,0),VLOOKUP(INDEX(英雄装备!$F:$BZ,MATCH($H52,英雄装备!$F:$F,0),MATCH(O$2,英雄装备!$1:$1,0)-4),装备属性!$A:$C,3,0),VLOOKUP(INDEX(英雄装备!$F:$BZ,MATCH($H52,英雄装备!$F:$F,0),MATCH(O$2,英雄装备!$1:$1,0)-3),装备属性!$A:$C,3,0),VLOOKUP(INDEX(英雄装备!$F:$BZ,MATCH($H52,英雄装备!$F:$F,0),MATCH(O$2,英雄装备!$1:$1,0)-2),装备属性!$A:$C,3,0),VLOOKUP(INDEX(英雄装备!$F:$BZ,MATCH($H52,英雄装备!$F:$F,0),MATCH(O$2,英雄装备!$1:$1,0)-1),装备属性!$A:$C,3,0),VLOOKUP(INDEX(英雄装备!$F:$BZ,MATCH($H52,英雄装备!$F:$F,0),MATCH(O$2,英雄装备!$1:$1,0)),装备属性!$A:$C,3,0))</f>
        <v>64</v>
      </c>
      <c r="P52" s="51">
        <f>MAX(VLOOKUP(INDEX(英雄装备!$F:$BZ,MATCH($H52,英雄装备!$F:$F,0),MATCH(P$2,英雄装备!$1:$1,0)-5),装备属性!$A:$C,3,0),VLOOKUP(INDEX(英雄装备!$F:$BZ,MATCH($H52,英雄装备!$F:$F,0),MATCH(P$2,英雄装备!$1:$1,0)-4),装备属性!$A:$C,3,0),VLOOKUP(INDEX(英雄装备!$F:$BZ,MATCH($H52,英雄装备!$F:$F,0),MATCH(P$2,英雄装备!$1:$1,0)-3),装备属性!$A:$C,3,0),VLOOKUP(INDEX(英雄装备!$F:$BZ,MATCH($H52,英雄装备!$F:$F,0),MATCH(P$2,英雄装备!$1:$1,0)-2),装备属性!$A:$C,3,0),VLOOKUP(INDEX(英雄装备!$F:$BZ,MATCH($H52,英雄装备!$F:$F,0),MATCH(P$2,英雄装备!$1:$1,0)-1),装备属性!$A:$C,3,0),VLOOKUP(INDEX(英雄装备!$F:$BZ,MATCH($H52,英雄装备!$F:$F,0),MATCH(P$2,英雄装备!$1:$1,0)),装备属性!$A:$C,3,0))</f>
        <v>73</v>
      </c>
      <c r="Q52" s="51">
        <f>MAX(VLOOKUP(INDEX(英雄装备!$F:$BZ,MATCH($H52,英雄装备!$F:$F,0),MATCH(Q$2,英雄装备!$1:$1,0)-5),装备属性!$A:$C,3,0),VLOOKUP(INDEX(英雄装备!$F:$BZ,MATCH($H52,英雄装备!$F:$F,0),MATCH(Q$2,英雄装备!$1:$1,0)-4),装备属性!$A:$C,3,0),VLOOKUP(INDEX(英雄装备!$F:$BZ,MATCH($H52,英雄装备!$F:$F,0),MATCH(Q$2,英雄装备!$1:$1,0)-3),装备属性!$A:$C,3,0),VLOOKUP(INDEX(英雄装备!$F:$BZ,MATCH($H52,英雄装备!$F:$F,0),MATCH(Q$2,英雄装备!$1:$1,0)-2),装备属性!$A:$C,3,0),VLOOKUP(INDEX(英雄装备!$F:$BZ,MATCH($H52,英雄装备!$F:$F,0),MATCH(Q$2,英雄装备!$1:$1,0)-1),装备属性!$A:$C,3,0),VLOOKUP(INDEX(英雄装备!$F:$BZ,MATCH($H52,英雄装备!$F:$F,0),MATCH(Q$2,英雄装备!$1:$1,0)),装备属性!$A:$C,3,0))</f>
        <v>79</v>
      </c>
      <c r="R52" s="51">
        <f>MAX(VLOOKUP(INDEX(英雄装备!$F:$BZ,MATCH($H52,英雄装备!$F:$F,0),MATCH(R$2,英雄装备!$1:$1,0)-5),装备属性!$A:$C,3,0),VLOOKUP(INDEX(英雄装备!$F:$BZ,MATCH($H52,英雄装备!$F:$F,0),MATCH(R$2,英雄装备!$1:$1,0)-4),装备属性!$A:$C,3,0),VLOOKUP(INDEX(英雄装备!$F:$BZ,MATCH($H52,英雄装备!$F:$F,0),MATCH(R$2,英雄装备!$1:$1,0)-3),装备属性!$A:$C,3,0),VLOOKUP(INDEX(英雄装备!$F:$BZ,MATCH($H52,英雄装备!$F:$F,0),MATCH(R$2,英雄装备!$1:$1,0)-2),装备属性!$A:$C,3,0),VLOOKUP(INDEX(英雄装备!$F:$BZ,MATCH($H52,英雄装备!$F:$F,0),MATCH(R$2,英雄装备!$1:$1,0)-1),装备属性!$A:$C,3,0),VLOOKUP(INDEX(英雄装备!$F:$BZ,MATCH($H52,英雄装备!$F:$F,0),MATCH(R$2,英雄装备!$1:$1,0)),装备属性!$A:$C,3,0))</f>
        <v>72</v>
      </c>
      <c r="S52" s="51">
        <f>MAX(VLOOKUP(INDEX(英雄装备!$F:$BZ,MATCH($H52,英雄装备!$F:$F,0),MATCH(S$2,英雄装备!$1:$1,0)-5),装备属性!$A:$C,3,0),VLOOKUP(INDEX(英雄装备!$F:$BZ,MATCH($H52,英雄装备!$F:$F,0),MATCH(S$2,英雄装备!$1:$1,0)-4),装备属性!$A:$C,3,0),VLOOKUP(INDEX(英雄装备!$F:$BZ,MATCH($H52,英雄装备!$F:$F,0),MATCH(S$2,英雄装备!$1:$1,0)-3),装备属性!$A:$C,3,0),VLOOKUP(INDEX(英雄装备!$F:$BZ,MATCH($H52,英雄装备!$F:$F,0),MATCH(S$2,英雄装备!$1:$1,0)-2),装备属性!$A:$C,3,0),VLOOKUP(INDEX(英雄装备!$F:$BZ,MATCH($H52,英雄装备!$F:$F,0),MATCH(S$2,英雄装备!$1:$1,0)-1),装备属性!$A:$C,3,0),VLOOKUP(INDEX(英雄装备!$F:$BZ,MATCH($H52,英雄装备!$F:$F,0),MATCH(S$2,英雄装备!$1:$1,0)),装备属性!$A:$C,3,0))</f>
        <v>84</v>
      </c>
      <c r="T52" s="51">
        <f>MAX(VLOOKUP(INDEX(英雄装备!$F:$BZ,MATCH($H52,英雄装备!$F:$F,0),MATCH(T$2,英雄装备!$1:$1,0)-5),装备属性!$A:$C,3,0),VLOOKUP(INDEX(英雄装备!$F:$BZ,MATCH($H52,英雄装备!$F:$F,0),MATCH(T$2,英雄装备!$1:$1,0)-4),装备属性!$A:$C,3,0),VLOOKUP(INDEX(英雄装备!$F:$BZ,MATCH($H52,英雄装备!$F:$F,0),MATCH(T$2,英雄装备!$1:$1,0)-3),装备属性!$A:$C,3,0),VLOOKUP(INDEX(英雄装备!$F:$BZ,MATCH($H52,英雄装备!$F:$F,0),MATCH(T$2,英雄装备!$1:$1,0)-2),装备属性!$A:$C,3,0),VLOOKUP(INDEX(英雄装备!$F:$BZ,MATCH($H52,英雄装备!$F:$F,0),MATCH(T$2,英雄装备!$1:$1,0)-1),装备属性!$A:$C,3,0))</f>
        <v>89</v>
      </c>
      <c r="V52" s="138">
        <v>11</v>
      </c>
      <c r="W52" s="138" t="str">
        <f>IF($V$2&lt;11,"","紫+4")</f>
        <v>紫+4</v>
      </c>
      <c r="X52" s="150" t="str">
        <f t="shared" ref="X52:AC52" si="26">IF(AND(X37=TRUE,$W52&lt;&gt;""),X11,"")</f>
        <v>十字军巨盾</v>
      </c>
      <c r="Y52" s="150" t="str">
        <f t="shared" si="26"/>
        <v>鹰羽指环</v>
      </c>
      <c r="Z52" s="150" t="str">
        <f t="shared" si="26"/>
        <v>林肯</v>
      </c>
      <c r="AA52" s="150" t="str">
        <f t="shared" si="26"/>
        <v>神圣种子</v>
      </c>
      <c r="AB52" s="150" t="str">
        <f t="shared" si="26"/>
        <v>极限球</v>
      </c>
      <c r="AC52" s="150" t="str">
        <f t="shared" si="26"/>
        <v>疾行鞋</v>
      </c>
      <c r="AF52" s="49">
        <v>5</v>
      </c>
      <c r="AG52" s="49" t="str">
        <f>AC5</f>
        <v>相位鞋</v>
      </c>
      <c r="AH52" s="49">
        <f>VLOOKUP($AG52,装备属性!$A:$Y,5,0)</f>
        <v>9</v>
      </c>
      <c r="AI52" s="49">
        <f>VLOOKUP($AG52,装备属性!$A:$Y,6,0)</f>
        <v>9</v>
      </c>
      <c r="AJ52" s="49">
        <f>VLOOKUP($AG52,装备属性!$A:$Y,7,0)</f>
        <v>9</v>
      </c>
      <c r="AK52" s="49">
        <f>VLOOKUP($AG52,装备属性!$A:$Y,8,0)</f>
        <v>0</v>
      </c>
      <c r="AL52" s="49">
        <f>VLOOKUP($AG52,装备属性!$A:$Y,9,0)</f>
        <v>24</v>
      </c>
      <c r="AM52" s="49">
        <f>VLOOKUP($AG52,装备属性!$A:$Y,10,0)</f>
        <v>0</v>
      </c>
      <c r="AN52" s="49">
        <f>VLOOKUP($AG52,装备属性!$A:$Y,11,0)</f>
        <v>0</v>
      </c>
      <c r="AO52" s="49">
        <f>VLOOKUP($AG52,装备属性!$A:$Y,12,0)</f>
        <v>0</v>
      </c>
      <c r="AP52" s="49">
        <f>VLOOKUP($AG52,装备属性!$A:$Y,13,0)</f>
        <v>0</v>
      </c>
      <c r="AQ52" s="49">
        <f>VLOOKUP($AG52,装备属性!$A:$Y,14,0)</f>
        <v>0</v>
      </c>
      <c r="AR52" s="49">
        <f>VLOOKUP($AG52,装备属性!$A:$Y,15,0)</f>
        <v>0</v>
      </c>
      <c r="AS52" s="49">
        <f>VLOOKUP($AG52,装备属性!$A:$Y,16,0)</f>
        <v>0</v>
      </c>
      <c r="AT52" s="49">
        <f>VLOOKUP($AG52,装备属性!$A:$Y,17,0)</f>
        <v>0</v>
      </c>
      <c r="AU52" s="49">
        <f>VLOOKUP($AG52,装备属性!$A:$Y,18,0)</f>
        <v>0</v>
      </c>
      <c r="AV52" s="49">
        <f>VLOOKUP($AG52,装备属性!$A:$Y,19,0)</f>
        <v>0</v>
      </c>
      <c r="AW52" s="49">
        <f>VLOOKUP($AG52,装备属性!$A:$Y,20,0)</f>
        <v>0</v>
      </c>
      <c r="AX52" s="49">
        <f>VLOOKUP($AG52,装备属性!$A:$Y,21,0)</f>
        <v>0</v>
      </c>
      <c r="AY52" s="49">
        <f>VLOOKUP($AG52,装备属性!$A:$Y,22,0)</f>
        <v>0</v>
      </c>
      <c r="AZ52" s="138">
        <f>VLOOKUP($AG52,装备属性!$A:$Y,23,0)</f>
        <v>0</v>
      </c>
      <c r="BA52" s="138">
        <f>VLOOKUP($AG52,装备属性!$A:$Y,24,0)</f>
        <v>0</v>
      </c>
      <c r="BB52" s="138">
        <f>VLOOKUP($AG52,装备属性!$A:$Y,25,0)</f>
        <v>0</v>
      </c>
    </row>
    <row r="53" spans="2:54">
      <c r="H53" s="119" t="s">
        <v>2128</v>
      </c>
      <c r="I53" s="51">
        <f>MAX(VLOOKUP(INDEX(英雄装备!$F:$BZ,MATCH($H53,英雄装备!$F:$F,0),MATCH(I$2,英雄装备!$1:$1,0)-5),装备属性!$A:$C,3,0),VLOOKUP(INDEX(英雄装备!$F:$BZ,MATCH($H53,英雄装备!$F:$F,0),MATCH(I$2,英雄装备!$1:$1,0)-4),装备属性!$A:$C,3,0),VLOOKUP(INDEX(英雄装备!$F:$BZ,MATCH($H53,英雄装备!$F:$F,0),MATCH(I$2,英雄装备!$1:$1,0)-3),装备属性!$A:$C,3,0),VLOOKUP(INDEX(英雄装备!$F:$BZ,MATCH($H53,英雄装备!$F:$F,0),MATCH(I$2,英雄装备!$1:$1,0)-2),装备属性!$A:$C,3,0),VLOOKUP(INDEX(英雄装备!$F:$BZ,MATCH($H53,英雄装备!$F:$F,0),MATCH(I$2,英雄装备!$1:$1,0)-1),装备属性!$A:$C,3,0),VLOOKUP(INDEX(英雄装备!$F:$BZ,MATCH($H53,英雄装备!$F:$F,0),MATCH(I$2,英雄装备!$1:$1,0)),装备属性!$A:$C,3,0))</f>
        <v>2</v>
      </c>
      <c r="J53" s="51">
        <f>MAX(VLOOKUP(INDEX(英雄装备!$F:$BZ,MATCH($H53,英雄装备!$F:$F,0),MATCH(J$2,英雄装备!$1:$1,0)-5),装备属性!$A:$C,3,0),VLOOKUP(INDEX(英雄装备!$F:$BZ,MATCH($H53,英雄装备!$F:$F,0),MATCH(J$2,英雄装备!$1:$1,0)-4),装备属性!$A:$C,3,0),VLOOKUP(INDEX(英雄装备!$F:$BZ,MATCH($H53,英雄装备!$F:$F,0),MATCH(J$2,英雄装备!$1:$1,0)-3),装备属性!$A:$C,3,0),VLOOKUP(INDEX(英雄装备!$F:$BZ,MATCH($H53,英雄装备!$F:$F,0),MATCH(J$2,英雄装备!$1:$1,0)-2),装备属性!$A:$C,3,0),VLOOKUP(INDEX(英雄装备!$F:$BZ,MATCH($H53,英雄装备!$F:$F,0),MATCH(J$2,英雄装备!$1:$1,0)-1),装备属性!$A:$C,3,0),VLOOKUP(INDEX(英雄装备!$F:$BZ,MATCH($H53,英雄装备!$F:$F,0),MATCH(J$2,英雄装备!$1:$1,0)),装备属性!$A:$C,3,0))</f>
        <v>12</v>
      </c>
      <c r="K53" s="51">
        <f>MAX(VLOOKUP(INDEX(英雄装备!$F:$BZ,MATCH($H53,英雄装备!$F:$F,0),MATCH(K$2,英雄装备!$1:$1,0)-5),装备属性!$A:$C,3,0),VLOOKUP(INDEX(英雄装备!$F:$BZ,MATCH($H53,英雄装备!$F:$F,0),MATCH(K$2,英雄装备!$1:$1,0)-4),装备属性!$A:$C,3,0),VLOOKUP(INDEX(英雄装备!$F:$BZ,MATCH($H53,英雄装备!$F:$F,0),MATCH(K$2,英雄装备!$1:$1,0)-3),装备属性!$A:$C,3,0),VLOOKUP(INDEX(英雄装备!$F:$BZ,MATCH($H53,英雄装备!$F:$F,0),MATCH(K$2,英雄装备!$1:$1,0)-2),装备属性!$A:$C,3,0),VLOOKUP(INDEX(英雄装备!$F:$BZ,MATCH($H53,英雄装备!$F:$F,0),MATCH(K$2,英雄装备!$1:$1,0)-1),装备属性!$A:$C,3,0),VLOOKUP(INDEX(英雄装备!$F:$BZ,MATCH($H53,英雄装备!$F:$F,0),MATCH(K$2,英雄装备!$1:$1,0)),装备属性!$A:$C,3,0))</f>
        <v>20</v>
      </c>
      <c r="L53" s="51">
        <f>MAX(VLOOKUP(INDEX(英雄装备!$F:$BZ,MATCH($H53,英雄装备!$F:$F,0),MATCH(L$2,英雄装备!$1:$1,0)-5),装备属性!$A:$C,3,0),VLOOKUP(INDEX(英雄装备!$F:$BZ,MATCH($H53,英雄装备!$F:$F,0),MATCH(L$2,英雄装备!$1:$1,0)-4),装备属性!$A:$C,3,0),VLOOKUP(INDEX(英雄装备!$F:$BZ,MATCH($H53,英雄装备!$F:$F,0),MATCH(L$2,英雄装备!$1:$1,0)-3),装备属性!$A:$C,3,0),VLOOKUP(INDEX(英雄装备!$F:$BZ,MATCH($H53,英雄装备!$F:$F,0),MATCH(L$2,英雄装备!$1:$1,0)-2),装备属性!$A:$C,3,0),VLOOKUP(INDEX(英雄装备!$F:$BZ,MATCH($H53,英雄装备!$F:$F,0),MATCH(L$2,英雄装备!$1:$1,0)-1),装备属性!$A:$C,3,0),VLOOKUP(INDEX(英雄装备!$F:$BZ,MATCH($H53,英雄装备!$F:$F,0),MATCH(L$2,英雄装备!$1:$1,0)),装备属性!$A:$C,3,0))</f>
        <v>35</v>
      </c>
      <c r="M53" s="51">
        <f>MAX(VLOOKUP(INDEX(英雄装备!$F:$BZ,MATCH($H53,英雄装备!$F:$F,0),MATCH(M$2,英雄装备!$1:$1,0)-5),装备属性!$A:$C,3,0),VLOOKUP(INDEX(英雄装备!$F:$BZ,MATCH($H53,英雄装备!$F:$F,0),MATCH(M$2,英雄装备!$1:$1,0)-4),装备属性!$A:$C,3,0),VLOOKUP(INDEX(英雄装备!$F:$BZ,MATCH($H53,英雄装备!$F:$F,0),MATCH(M$2,英雄装备!$1:$1,0)-3),装备属性!$A:$C,3,0),VLOOKUP(INDEX(英雄装备!$F:$BZ,MATCH($H53,英雄装备!$F:$F,0),MATCH(M$2,英雄装备!$1:$1,0)-2),装备属性!$A:$C,3,0),VLOOKUP(INDEX(英雄装备!$F:$BZ,MATCH($H53,英雄装备!$F:$F,0),MATCH(M$2,英雄装备!$1:$1,0)-1),装备属性!$A:$C,3,0),VLOOKUP(INDEX(英雄装备!$F:$BZ,MATCH($H53,英雄装备!$F:$F,0),MATCH(M$2,英雄装备!$1:$1,0)),装备属性!$A:$C,3,0))</f>
        <v>43</v>
      </c>
      <c r="N53" s="51">
        <f>MAX(VLOOKUP(INDEX(英雄装备!$F:$BZ,MATCH($H53,英雄装备!$F:$F,0),MATCH(N$2,英雄装备!$1:$1,0)-5),装备属性!$A:$C,3,0),VLOOKUP(INDEX(英雄装备!$F:$BZ,MATCH($H53,英雄装备!$F:$F,0),MATCH(N$2,英雄装备!$1:$1,0)-4),装备属性!$A:$C,3,0),VLOOKUP(INDEX(英雄装备!$F:$BZ,MATCH($H53,英雄装备!$F:$F,0),MATCH(N$2,英雄装备!$1:$1,0)-3),装备属性!$A:$C,3,0),VLOOKUP(INDEX(英雄装备!$F:$BZ,MATCH($H53,英雄装备!$F:$F,0),MATCH(N$2,英雄装备!$1:$1,0)-2),装备属性!$A:$C,3,0),VLOOKUP(INDEX(英雄装备!$F:$BZ,MATCH($H53,英雄装备!$F:$F,0),MATCH(N$2,英雄装备!$1:$1,0)-1),装备属性!$A:$C,3,0),VLOOKUP(INDEX(英雄装备!$F:$BZ,MATCH($H53,英雄装备!$F:$F,0),MATCH(N$2,英雄装备!$1:$1,0)),装备属性!$A:$C,3,0))</f>
        <v>52</v>
      </c>
      <c r="O53" s="51">
        <f>MAX(VLOOKUP(INDEX(英雄装备!$F:$BZ,MATCH($H53,英雄装备!$F:$F,0),MATCH(O$2,英雄装备!$1:$1,0)-5),装备属性!$A:$C,3,0),VLOOKUP(INDEX(英雄装备!$F:$BZ,MATCH($H53,英雄装备!$F:$F,0),MATCH(O$2,英雄装备!$1:$1,0)-4),装备属性!$A:$C,3,0),VLOOKUP(INDEX(英雄装备!$F:$BZ,MATCH($H53,英雄装备!$F:$F,0),MATCH(O$2,英雄装备!$1:$1,0)-3),装备属性!$A:$C,3,0),VLOOKUP(INDEX(英雄装备!$F:$BZ,MATCH($H53,英雄装备!$F:$F,0),MATCH(O$2,英雄装备!$1:$1,0)-2),装备属性!$A:$C,3,0),VLOOKUP(INDEX(英雄装备!$F:$BZ,MATCH($H53,英雄装备!$F:$F,0),MATCH(O$2,英雄装备!$1:$1,0)-1),装备属性!$A:$C,3,0),VLOOKUP(INDEX(英雄装备!$F:$BZ,MATCH($H53,英雄装备!$F:$F,0),MATCH(O$2,英雄装备!$1:$1,0)),装备属性!$A:$C,3,0))</f>
        <v>59</v>
      </c>
      <c r="P53" s="51">
        <f>MAX(VLOOKUP(INDEX(英雄装备!$F:$BZ,MATCH($H53,英雄装备!$F:$F,0),MATCH(P$2,英雄装备!$1:$1,0)-5),装备属性!$A:$C,3,0),VLOOKUP(INDEX(英雄装备!$F:$BZ,MATCH($H53,英雄装备!$F:$F,0),MATCH(P$2,英雄装备!$1:$1,0)-4),装备属性!$A:$C,3,0),VLOOKUP(INDEX(英雄装备!$F:$BZ,MATCH($H53,英雄装备!$F:$F,0),MATCH(P$2,英雄装备!$1:$1,0)-3),装备属性!$A:$C,3,0),VLOOKUP(INDEX(英雄装备!$F:$BZ,MATCH($H53,英雄装备!$F:$F,0),MATCH(P$2,英雄装备!$1:$1,0)-2),装备属性!$A:$C,3,0),VLOOKUP(INDEX(英雄装备!$F:$BZ,MATCH($H53,英雄装备!$F:$F,0),MATCH(P$2,英雄装备!$1:$1,0)-1),装备属性!$A:$C,3,0),VLOOKUP(INDEX(英雄装备!$F:$BZ,MATCH($H53,英雄装备!$F:$F,0),MATCH(P$2,英雄装备!$1:$1,0)),装备属性!$A:$C,3,0))</f>
        <v>70</v>
      </c>
      <c r="Q53" s="51">
        <f>MAX(VLOOKUP(INDEX(英雄装备!$F:$BZ,MATCH($H53,英雄装备!$F:$F,0),MATCH(Q$2,英雄装备!$1:$1,0)-5),装备属性!$A:$C,3,0),VLOOKUP(INDEX(英雄装备!$F:$BZ,MATCH($H53,英雄装备!$F:$F,0),MATCH(Q$2,英雄装备!$1:$1,0)-4),装备属性!$A:$C,3,0),VLOOKUP(INDEX(英雄装备!$F:$BZ,MATCH($H53,英雄装备!$F:$F,0),MATCH(Q$2,英雄装备!$1:$1,0)-3),装备属性!$A:$C,3,0),VLOOKUP(INDEX(英雄装备!$F:$BZ,MATCH($H53,英雄装备!$F:$F,0),MATCH(Q$2,英雄装备!$1:$1,0)-2),装备属性!$A:$C,3,0),VLOOKUP(INDEX(英雄装备!$F:$BZ,MATCH($H53,英雄装备!$F:$F,0),MATCH(Q$2,英雄装备!$1:$1,0)-1),装备属性!$A:$C,3,0),VLOOKUP(INDEX(英雄装备!$F:$BZ,MATCH($H53,英雄装备!$F:$F,0),MATCH(Q$2,英雄装备!$1:$1,0)),装备属性!$A:$C,3,0))</f>
        <v>78</v>
      </c>
      <c r="R53" s="51">
        <f>MAX(VLOOKUP(INDEX(英雄装备!$F:$BZ,MATCH($H53,英雄装备!$F:$F,0),MATCH(R$2,英雄装备!$1:$1,0)-5),装备属性!$A:$C,3,0),VLOOKUP(INDEX(英雄装备!$F:$BZ,MATCH($H53,英雄装备!$F:$F,0),MATCH(R$2,英雄装备!$1:$1,0)-4),装备属性!$A:$C,3,0),VLOOKUP(INDEX(英雄装备!$F:$BZ,MATCH($H53,英雄装备!$F:$F,0),MATCH(R$2,英雄装备!$1:$1,0)-3),装备属性!$A:$C,3,0),VLOOKUP(INDEX(英雄装备!$F:$BZ,MATCH($H53,英雄装备!$F:$F,0),MATCH(R$2,英雄装备!$1:$1,0)-2),装备属性!$A:$C,3,0),VLOOKUP(INDEX(英雄装备!$F:$BZ,MATCH($H53,英雄装备!$F:$F,0),MATCH(R$2,英雄装备!$1:$1,0)-1),装备属性!$A:$C,3,0),VLOOKUP(INDEX(英雄装备!$F:$BZ,MATCH($H53,英雄装备!$F:$F,0),MATCH(R$2,英雄装备!$1:$1,0)),装备属性!$A:$C,3,0))</f>
        <v>70</v>
      </c>
      <c r="S53" s="51">
        <f>MAX(VLOOKUP(INDEX(英雄装备!$F:$BZ,MATCH($H53,英雄装备!$F:$F,0),MATCH(S$2,英雄装备!$1:$1,0)-5),装备属性!$A:$C,3,0),VLOOKUP(INDEX(英雄装备!$F:$BZ,MATCH($H53,英雄装备!$F:$F,0),MATCH(S$2,英雄装备!$1:$1,0)-4),装备属性!$A:$C,3,0),VLOOKUP(INDEX(英雄装备!$F:$BZ,MATCH($H53,英雄装备!$F:$F,0),MATCH(S$2,英雄装备!$1:$1,0)-3),装备属性!$A:$C,3,0),VLOOKUP(INDEX(英雄装备!$F:$BZ,MATCH($H53,英雄装备!$F:$F,0),MATCH(S$2,英雄装备!$1:$1,0)-2),装备属性!$A:$C,3,0),VLOOKUP(INDEX(英雄装备!$F:$BZ,MATCH($H53,英雄装备!$F:$F,0),MATCH(S$2,英雄装备!$1:$1,0)-1),装备属性!$A:$C,3,0),VLOOKUP(INDEX(英雄装备!$F:$BZ,MATCH($H53,英雄装备!$F:$F,0),MATCH(S$2,英雄装备!$1:$1,0)),装备属性!$A:$C,3,0))</f>
        <v>85</v>
      </c>
      <c r="T53" s="51">
        <f>MAX(VLOOKUP(INDEX(英雄装备!$F:$BZ,MATCH($H53,英雄装备!$F:$F,0),MATCH(T$2,英雄装备!$1:$1,0)-5),装备属性!$A:$C,3,0),VLOOKUP(INDEX(英雄装备!$F:$BZ,MATCH($H53,英雄装备!$F:$F,0),MATCH(T$2,英雄装备!$1:$1,0)-4),装备属性!$A:$C,3,0),VLOOKUP(INDEX(英雄装备!$F:$BZ,MATCH($H53,英雄装备!$F:$F,0),MATCH(T$2,英雄装备!$1:$1,0)-3),装备属性!$A:$C,3,0),VLOOKUP(INDEX(英雄装备!$F:$BZ,MATCH($H53,英雄装备!$F:$F,0),MATCH(T$2,英雄装备!$1:$1,0)-2),装备属性!$A:$C,3,0),VLOOKUP(INDEX(英雄装备!$F:$BZ,MATCH($H53,英雄装备!$F:$F,0),MATCH(T$2,英雄装备!$1:$1,0)-1),装备属性!$A:$C,3,0))</f>
        <v>87</v>
      </c>
      <c r="V53" s="138">
        <v>12</v>
      </c>
      <c r="W53" s="138" t="str">
        <f>IF($V$2&lt;12,"","橙")</f>
        <v>橙</v>
      </c>
      <c r="X53" s="150" t="str">
        <f t="shared" ref="X53:AC53" si="27">IF(AND(X38=TRUE,$W53&lt;&gt;""),X12,"")</f>
        <v>地覆</v>
      </c>
      <c r="Y53" s="150" t="str">
        <f t="shared" si="27"/>
        <v>麒麟弯刀</v>
      </c>
      <c r="Z53" s="150" t="str">
        <f t="shared" si="27"/>
        <v>振奋石</v>
      </c>
      <c r="AA53" s="150" t="str">
        <f t="shared" si="27"/>
        <v>角鹰弓</v>
      </c>
      <c r="AB53" s="150" t="str">
        <f t="shared" si="27"/>
        <v>疾行鞋</v>
      </c>
      <c r="AC53" s="150" t="str">
        <f t="shared" si="27"/>
        <v>?</v>
      </c>
      <c r="AF53" s="49">
        <v>6</v>
      </c>
      <c r="AG53" s="49" t="str">
        <f>X6</f>
        <v>分身斧</v>
      </c>
      <c r="AH53" s="49">
        <f>VLOOKUP($AG53,装备属性!$A:$Y,5,0)</f>
        <v>10</v>
      </c>
      <c r="AI53" s="49">
        <f>VLOOKUP($AG53,装备属性!$A:$Y,6,0)</f>
        <v>26</v>
      </c>
      <c r="AJ53" s="49">
        <f>VLOOKUP($AG53,装备属性!$A:$Y,7,0)</f>
        <v>10</v>
      </c>
      <c r="AK53" s="49">
        <f>VLOOKUP($AG53,装备属性!$A:$Y,8,0)</f>
        <v>250</v>
      </c>
      <c r="AL53" s="49">
        <f>VLOOKUP($AG53,装备属性!$A:$Y,9,0)</f>
        <v>0</v>
      </c>
      <c r="AM53" s="49">
        <f>VLOOKUP($AG53,装备属性!$A:$Y,10,0)</f>
        <v>0</v>
      </c>
      <c r="AN53" s="49">
        <f>VLOOKUP($AG53,装备属性!$A:$Y,11,0)</f>
        <v>0</v>
      </c>
      <c r="AO53" s="49">
        <f>VLOOKUP($AG53,装备属性!$A:$Y,12,0)</f>
        <v>0</v>
      </c>
      <c r="AP53" s="49">
        <f>VLOOKUP($AG53,装备属性!$A:$Y,13,0)</f>
        <v>16</v>
      </c>
      <c r="AQ53" s="49">
        <f>VLOOKUP($AG53,装备属性!$A:$Y,14,0)</f>
        <v>0</v>
      </c>
      <c r="AR53" s="49">
        <f>VLOOKUP($AG53,装备属性!$A:$Y,15,0)</f>
        <v>0</v>
      </c>
      <c r="AS53" s="49">
        <f>VLOOKUP($AG53,装备属性!$A:$Y,16,0)</f>
        <v>0</v>
      </c>
      <c r="AT53" s="49">
        <f>VLOOKUP($AG53,装备属性!$A:$Y,17,0)</f>
        <v>0</v>
      </c>
      <c r="AU53" s="49">
        <f>VLOOKUP($AG53,装备属性!$A:$Y,18,0)</f>
        <v>0</v>
      </c>
      <c r="AV53" s="49">
        <f>VLOOKUP($AG53,装备属性!$A:$Y,19,0)</f>
        <v>0</v>
      </c>
      <c r="AW53" s="49">
        <f>VLOOKUP($AG53,装备属性!$A:$Y,20,0)</f>
        <v>0</v>
      </c>
      <c r="AX53" s="49">
        <f>VLOOKUP($AG53,装备属性!$A:$Y,21,0)</f>
        <v>0</v>
      </c>
      <c r="AY53" s="49">
        <f>VLOOKUP($AG53,装备属性!$A:$Y,22,0)</f>
        <v>0</v>
      </c>
      <c r="AZ53" s="138">
        <f>VLOOKUP($AG53,装备属性!$A:$Y,23,0)</f>
        <v>0</v>
      </c>
      <c r="BA53" s="138">
        <f>VLOOKUP($AG53,装备属性!$A:$Y,24,0)</f>
        <v>0</v>
      </c>
      <c r="BB53" s="138">
        <f>VLOOKUP($AG53,装备属性!$A:$Y,25,0)</f>
        <v>0</v>
      </c>
    </row>
    <row r="54" spans="2:54">
      <c r="AF54" s="49">
        <v>6</v>
      </c>
      <c r="AG54" s="49" t="str">
        <f>Y6</f>
        <v>洛萨</v>
      </c>
      <c r="AH54" s="49">
        <f>VLOOKUP($AG54,装备属性!$A:$Y,5,0)</f>
        <v>0</v>
      </c>
      <c r="AI54" s="49">
        <f>VLOOKUP($AG54,装备属性!$A:$Y,6,0)</f>
        <v>0</v>
      </c>
      <c r="AJ54" s="49">
        <f>VLOOKUP($AG54,装备属性!$A:$Y,7,0)</f>
        <v>0</v>
      </c>
      <c r="AK54" s="49">
        <f>VLOOKUP($AG54,装备属性!$A:$Y,8,0)</f>
        <v>0</v>
      </c>
      <c r="AL54" s="49">
        <f>VLOOKUP($AG54,装备属性!$A:$Y,9,0)</f>
        <v>30</v>
      </c>
      <c r="AM54" s="49">
        <f>VLOOKUP($AG54,装备属性!$A:$Y,10,0)</f>
        <v>0</v>
      </c>
      <c r="AN54" s="49">
        <f>VLOOKUP($AG54,装备属性!$A:$Y,11,0)</f>
        <v>0</v>
      </c>
      <c r="AO54" s="49">
        <f>VLOOKUP($AG54,装备属性!$A:$Y,12,0)</f>
        <v>0</v>
      </c>
      <c r="AP54" s="49">
        <f>VLOOKUP($AG54,装备属性!$A:$Y,13,0)</f>
        <v>15</v>
      </c>
      <c r="AQ54" s="49">
        <f>VLOOKUP($AG54,装备属性!$A:$Y,14,0)</f>
        <v>0</v>
      </c>
      <c r="AR54" s="49">
        <f>VLOOKUP($AG54,装备属性!$A:$Y,15,0)</f>
        <v>0</v>
      </c>
      <c r="AS54" s="49">
        <f>VLOOKUP($AG54,装备属性!$A:$Y,16,0)</f>
        <v>0</v>
      </c>
      <c r="AT54" s="49">
        <f>VLOOKUP($AG54,装备属性!$A:$Y,17,0)</f>
        <v>0</v>
      </c>
      <c r="AU54" s="49">
        <f>VLOOKUP($AG54,装备属性!$A:$Y,18,0)</f>
        <v>0</v>
      </c>
      <c r="AV54" s="49">
        <f>VLOOKUP($AG54,装备属性!$A:$Y,19,0)</f>
        <v>0</v>
      </c>
      <c r="AW54" s="49">
        <f>VLOOKUP($AG54,装备属性!$A:$Y,20,0)</f>
        <v>0</v>
      </c>
      <c r="AX54" s="49">
        <f>VLOOKUP($AG54,装备属性!$A:$Y,21,0)</f>
        <v>0</v>
      </c>
      <c r="AY54" s="49">
        <f>VLOOKUP($AG54,装备属性!$A:$Y,22,0)</f>
        <v>0</v>
      </c>
      <c r="AZ54" s="138">
        <f>VLOOKUP($AG54,装备属性!$A:$Y,23,0)</f>
        <v>0</v>
      </c>
      <c r="BA54" s="138">
        <f>VLOOKUP($AG54,装备属性!$A:$Y,24,0)</f>
        <v>0</v>
      </c>
      <c r="BB54" s="138">
        <f>VLOOKUP($AG54,装备属性!$A:$Y,25,0)</f>
        <v>0</v>
      </c>
    </row>
    <row r="55" spans="2:54">
      <c r="AF55" s="49">
        <v>6</v>
      </c>
      <c r="AG55" s="49" t="str">
        <f>Z6</f>
        <v>暗灭</v>
      </c>
      <c r="AH55" s="49">
        <f>VLOOKUP($AG55,装备属性!$A:$Y,5,0)</f>
        <v>0</v>
      </c>
      <c r="AI55" s="49">
        <f>VLOOKUP($AG55,装备属性!$A:$Y,6,0)</f>
        <v>0</v>
      </c>
      <c r="AJ55" s="49">
        <f>VLOOKUP($AG55,装备属性!$A:$Y,7,0)</f>
        <v>0</v>
      </c>
      <c r="AK55" s="49">
        <f>VLOOKUP($AG55,装备属性!$A:$Y,8,0)</f>
        <v>0</v>
      </c>
      <c r="AL55" s="49">
        <f>VLOOKUP($AG55,装备属性!$A:$Y,9,0)</f>
        <v>60</v>
      </c>
      <c r="AM55" s="49">
        <f>VLOOKUP($AG55,装备属性!$A:$Y,10,0)</f>
        <v>0</v>
      </c>
      <c r="AN55" s="49">
        <f>VLOOKUP($AG55,装备属性!$A:$Y,11,0)</f>
        <v>0</v>
      </c>
      <c r="AO55" s="49">
        <f>VLOOKUP($AG55,装备属性!$A:$Y,12,0)</f>
        <v>0</v>
      </c>
      <c r="AP55" s="49">
        <f>VLOOKUP($AG55,装备属性!$A:$Y,13,0)</f>
        <v>0</v>
      </c>
      <c r="AQ55" s="49">
        <f>VLOOKUP($AG55,装备属性!$A:$Y,14,0)</f>
        <v>7</v>
      </c>
      <c r="AR55" s="49">
        <f>VLOOKUP($AG55,装备属性!$A:$Y,15,0)</f>
        <v>0</v>
      </c>
      <c r="AS55" s="49">
        <f>VLOOKUP($AG55,装备属性!$A:$Y,16,0)</f>
        <v>0</v>
      </c>
      <c r="AT55" s="49">
        <f>VLOOKUP($AG55,装备属性!$A:$Y,17,0)</f>
        <v>0</v>
      </c>
      <c r="AU55" s="49">
        <f>VLOOKUP($AG55,装备属性!$A:$Y,18,0)</f>
        <v>0</v>
      </c>
      <c r="AV55" s="49">
        <f>VLOOKUP($AG55,装备属性!$A:$Y,19,0)</f>
        <v>0</v>
      </c>
      <c r="AW55" s="49">
        <f>VLOOKUP($AG55,装备属性!$A:$Y,20,0)</f>
        <v>0</v>
      </c>
      <c r="AX55" s="49">
        <f>VLOOKUP($AG55,装备属性!$A:$Y,21,0)</f>
        <v>0</v>
      </c>
      <c r="AY55" s="49">
        <f>VLOOKUP($AG55,装备属性!$A:$Y,22,0)</f>
        <v>0</v>
      </c>
      <c r="AZ55" s="138">
        <f>VLOOKUP($AG55,装备属性!$A:$Y,23,0)</f>
        <v>0</v>
      </c>
      <c r="BA55" s="138">
        <f>VLOOKUP($AG55,装备属性!$A:$Y,24,0)</f>
        <v>0</v>
      </c>
      <c r="BB55" s="138">
        <f>VLOOKUP($AG55,装备属性!$A:$Y,25,0)</f>
        <v>0</v>
      </c>
    </row>
    <row r="56" spans="2:54">
      <c r="V56" s="48" t="s">
        <v>1083</v>
      </c>
      <c r="AF56" s="49">
        <v>6</v>
      </c>
      <c r="AG56" s="49" t="str">
        <f>AA6</f>
        <v>散华</v>
      </c>
      <c r="AH56" s="49">
        <f>VLOOKUP($AG56,装备属性!$A:$Y,5,0)</f>
        <v>16</v>
      </c>
      <c r="AI56" s="49">
        <f>VLOOKUP($AG56,装备属性!$A:$Y,6,0)</f>
        <v>0</v>
      </c>
      <c r="AJ56" s="49">
        <f>VLOOKUP($AG56,装备属性!$A:$Y,7,0)</f>
        <v>0</v>
      </c>
      <c r="AK56" s="49">
        <f>VLOOKUP($AG56,装备属性!$A:$Y,8,0)</f>
        <v>0</v>
      </c>
      <c r="AL56" s="49">
        <f>VLOOKUP($AG56,装备属性!$A:$Y,9,0)</f>
        <v>10</v>
      </c>
      <c r="AM56" s="49">
        <f>VLOOKUP($AG56,装备属性!$A:$Y,10,0)</f>
        <v>0</v>
      </c>
      <c r="AN56" s="49">
        <f>VLOOKUP($AG56,装备属性!$A:$Y,11,0)</f>
        <v>0</v>
      </c>
      <c r="AO56" s="49">
        <f>VLOOKUP($AG56,装备属性!$A:$Y,12,0)</f>
        <v>0</v>
      </c>
      <c r="AP56" s="49">
        <f>VLOOKUP($AG56,装备属性!$A:$Y,13,0)</f>
        <v>0</v>
      </c>
      <c r="AQ56" s="49">
        <f>VLOOKUP($AG56,装备属性!$A:$Y,14,0)</f>
        <v>0</v>
      </c>
      <c r="AR56" s="49">
        <f>VLOOKUP($AG56,装备属性!$A:$Y,15,0)</f>
        <v>0</v>
      </c>
      <c r="AS56" s="49">
        <f>VLOOKUP($AG56,装备属性!$A:$Y,16,0)</f>
        <v>0</v>
      </c>
      <c r="AT56" s="49">
        <f>VLOOKUP($AG56,装备属性!$A:$Y,17,0)</f>
        <v>0</v>
      </c>
      <c r="AU56" s="49">
        <f>VLOOKUP($AG56,装备属性!$A:$Y,18,0)</f>
        <v>0</v>
      </c>
      <c r="AV56" s="49">
        <f>VLOOKUP($AG56,装备属性!$A:$Y,19,0)</f>
        <v>0</v>
      </c>
      <c r="AW56" s="49">
        <f>VLOOKUP($AG56,装备属性!$A:$Y,20,0)</f>
        <v>0</v>
      </c>
      <c r="AX56" s="49">
        <f>VLOOKUP($AG56,装备属性!$A:$Y,21,0)</f>
        <v>0</v>
      </c>
      <c r="AY56" s="49">
        <f>VLOOKUP($AG56,装备属性!$A:$Y,22,0)</f>
        <v>0</v>
      </c>
      <c r="AZ56" s="138">
        <f>VLOOKUP($AG56,装备属性!$A:$Y,23,0)</f>
        <v>0</v>
      </c>
      <c r="BA56" s="138">
        <f>VLOOKUP($AG56,装备属性!$A:$Y,24,0)</f>
        <v>0</v>
      </c>
      <c r="BB56" s="138">
        <f>VLOOKUP($AG56,装备属性!$A:$Y,25,0)</f>
        <v>0</v>
      </c>
    </row>
    <row r="57" spans="2:54">
      <c r="V57" s="49" t="s">
        <v>1074</v>
      </c>
      <c r="W57" s="49" t="s">
        <v>1084</v>
      </c>
      <c r="X57" s="49" t="s">
        <v>1085</v>
      </c>
      <c r="Y57" s="49" t="s">
        <v>1086</v>
      </c>
      <c r="Z57" s="49" t="s">
        <v>1087</v>
      </c>
      <c r="AA57" s="49" t="s">
        <v>2095</v>
      </c>
      <c r="AF57" s="49">
        <v>6</v>
      </c>
      <c r="AG57" s="49" t="str">
        <f>AB6</f>
        <v>吸血面具</v>
      </c>
      <c r="AH57" s="49">
        <f>VLOOKUP($AG57,装备属性!$A:$Y,5,0)</f>
        <v>0</v>
      </c>
      <c r="AI57" s="49">
        <f>VLOOKUP($AG57,装备属性!$A:$Y,6,0)</f>
        <v>0</v>
      </c>
      <c r="AJ57" s="49">
        <f>VLOOKUP($AG57,装备属性!$A:$Y,7,0)</f>
        <v>0</v>
      </c>
      <c r="AK57" s="49">
        <f>VLOOKUP($AG57,装备属性!$A:$Y,8,0)</f>
        <v>0</v>
      </c>
      <c r="AL57" s="49">
        <f>VLOOKUP($AG57,装备属性!$A:$Y,9,0)</f>
        <v>0</v>
      </c>
      <c r="AM57" s="49">
        <f>VLOOKUP($AG57,装备属性!$A:$Y,10,0)</f>
        <v>0</v>
      </c>
      <c r="AN57" s="49">
        <f>VLOOKUP($AG57,装备属性!$A:$Y,11,0)</f>
        <v>0</v>
      </c>
      <c r="AO57" s="49">
        <f>VLOOKUP($AG57,装备属性!$A:$Y,12,0)</f>
        <v>0</v>
      </c>
      <c r="AP57" s="49">
        <f>VLOOKUP($AG57,装备属性!$A:$Y,13,0)</f>
        <v>0</v>
      </c>
      <c r="AQ57" s="49">
        <f>VLOOKUP($AG57,装备属性!$A:$Y,14,0)</f>
        <v>0</v>
      </c>
      <c r="AR57" s="49">
        <f>VLOOKUP($AG57,装备属性!$A:$Y,15,0)</f>
        <v>0</v>
      </c>
      <c r="AS57" s="49">
        <f>VLOOKUP($AG57,装备属性!$A:$Y,16,0)</f>
        <v>0</v>
      </c>
      <c r="AT57" s="49">
        <f>VLOOKUP($AG57,装备属性!$A:$Y,17,0)</f>
        <v>15</v>
      </c>
      <c r="AU57" s="49">
        <f>VLOOKUP($AG57,装备属性!$A:$Y,18,0)</f>
        <v>0</v>
      </c>
      <c r="AV57" s="49">
        <f>VLOOKUP($AG57,装备属性!$A:$Y,19,0)</f>
        <v>0</v>
      </c>
      <c r="AW57" s="49">
        <f>VLOOKUP($AG57,装备属性!$A:$Y,20,0)</f>
        <v>0</v>
      </c>
      <c r="AX57" s="49">
        <f>VLOOKUP($AG57,装备属性!$A:$Y,21,0)</f>
        <v>0</v>
      </c>
      <c r="AY57" s="49">
        <f>VLOOKUP($AG57,装备属性!$A:$Y,22,0)</f>
        <v>0</v>
      </c>
      <c r="AZ57" s="138">
        <f>VLOOKUP($AG57,装备属性!$A:$Y,23,0)</f>
        <v>0</v>
      </c>
      <c r="BA57" s="138">
        <f>VLOOKUP($AG57,装备属性!$A:$Y,24,0)</f>
        <v>0</v>
      </c>
      <c r="BB57" s="138">
        <f>VLOOKUP($AG57,装备属性!$A:$Y,25,0)</f>
        <v>0</v>
      </c>
    </row>
    <row r="58" spans="2:54">
      <c r="V58" s="49" t="s">
        <v>1091</v>
      </c>
      <c r="W58" s="49" t="s">
        <v>1091</v>
      </c>
      <c r="X58" s="49" t="s">
        <v>1091</v>
      </c>
      <c r="Y58" s="49" t="s">
        <v>1091</v>
      </c>
      <c r="Z58" s="49" t="s">
        <v>1091</v>
      </c>
      <c r="AA58" s="138" t="s">
        <v>1091</v>
      </c>
      <c r="AF58" s="49">
        <v>6</v>
      </c>
      <c r="AG58" s="49" t="str">
        <f>AC6</f>
        <v>敏捷假腿</v>
      </c>
      <c r="AH58" s="49">
        <f>VLOOKUP($AG58,装备属性!$A:$Y,5,0)</f>
        <v>6</v>
      </c>
      <c r="AI58" s="49">
        <f>VLOOKUP($AG58,装备属性!$A:$Y,6,0)</f>
        <v>14</v>
      </c>
      <c r="AJ58" s="49">
        <f>VLOOKUP($AG58,装备属性!$A:$Y,7,0)</f>
        <v>6</v>
      </c>
      <c r="AK58" s="49">
        <f>VLOOKUP($AG58,装备属性!$A:$Y,8,0)</f>
        <v>0</v>
      </c>
      <c r="AL58" s="49">
        <f>VLOOKUP($AG58,装备属性!$A:$Y,9,0)</f>
        <v>0</v>
      </c>
      <c r="AM58" s="49">
        <f>VLOOKUP($AG58,装备属性!$A:$Y,10,0)</f>
        <v>0</v>
      </c>
      <c r="AN58" s="49">
        <f>VLOOKUP($AG58,装备属性!$A:$Y,11,0)</f>
        <v>0</v>
      </c>
      <c r="AO58" s="49">
        <f>VLOOKUP($AG58,装备属性!$A:$Y,12,0)</f>
        <v>0</v>
      </c>
      <c r="AP58" s="49">
        <f>VLOOKUP($AG58,装备属性!$A:$Y,13,0)</f>
        <v>15</v>
      </c>
      <c r="AQ58" s="49">
        <f>VLOOKUP($AG58,装备属性!$A:$Y,14,0)</f>
        <v>0</v>
      </c>
      <c r="AR58" s="49">
        <f>VLOOKUP($AG58,装备属性!$A:$Y,15,0)</f>
        <v>0</v>
      </c>
      <c r="AS58" s="49">
        <f>VLOOKUP($AG58,装备属性!$A:$Y,16,0)</f>
        <v>0</v>
      </c>
      <c r="AT58" s="49">
        <f>VLOOKUP($AG58,装备属性!$A:$Y,17,0)</f>
        <v>0</v>
      </c>
      <c r="AU58" s="49">
        <f>VLOOKUP($AG58,装备属性!$A:$Y,18,0)</f>
        <v>0</v>
      </c>
      <c r="AV58" s="49">
        <f>VLOOKUP($AG58,装备属性!$A:$Y,19,0)</f>
        <v>0</v>
      </c>
      <c r="AW58" s="49">
        <f>VLOOKUP($AG58,装备属性!$A:$Y,20,0)</f>
        <v>0</v>
      </c>
      <c r="AX58" s="49">
        <f>VLOOKUP($AG58,装备属性!$A:$Y,21,0)</f>
        <v>0</v>
      </c>
      <c r="AY58" s="49">
        <f>VLOOKUP($AG58,装备属性!$A:$Y,22,0)</f>
        <v>0</v>
      </c>
      <c r="AZ58" s="138">
        <f>VLOOKUP($AG58,装备属性!$A:$Y,23,0)</f>
        <v>0</v>
      </c>
      <c r="BA58" s="138">
        <f>VLOOKUP($AG58,装备属性!$A:$Y,24,0)</f>
        <v>0</v>
      </c>
      <c r="BB58" s="138">
        <f>VLOOKUP($AG58,装备属性!$A:$Y,25,0)</f>
        <v>0</v>
      </c>
    </row>
    <row r="59" spans="2:54">
      <c r="X59" s="49" t="s">
        <v>1089</v>
      </c>
      <c r="Y59" s="49" t="s">
        <v>1088</v>
      </c>
      <c r="Z59" s="49" t="s">
        <v>1089</v>
      </c>
      <c r="AA59" s="138" t="s">
        <v>1089</v>
      </c>
      <c r="AF59" s="49">
        <v>7</v>
      </c>
      <c r="AG59" s="49" t="str">
        <f>X7</f>
        <v>金箍棒</v>
      </c>
      <c r="AH59" s="49">
        <f>VLOOKUP($AG59,装备属性!$A:$Y,5,0)</f>
        <v>0</v>
      </c>
      <c r="AI59" s="49">
        <f>VLOOKUP($AG59,装备属性!$A:$Y,6,0)</f>
        <v>0</v>
      </c>
      <c r="AJ59" s="49">
        <f>VLOOKUP($AG59,装备属性!$A:$Y,7,0)</f>
        <v>0</v>
      </c>
      <c r="AK59" s="49">
        <f>VLOOKUP($AG59,装备属性!$A:$Y,8,0)</f>
        <v>0</v>
      </c>
      <c r="AL59" s="49">
        <f>VLOOKUP($AG59,装备属性!$A:$Y,9,0)</f>
        <v>88</v>
      </c>
      <c r="AM59" s="49">
        <f>VLOOKUP($AG59,装备属性!$A:$Y,10,0)</f>
        <v>0</v>
      </c>
      <c r="AN59" s="49">
        <f>VLOOKUP($AG59,装备属性!$A:$Y,11,0)</f>
        <v>0</v>
      </c>
      <c r="AO59" s="49">
        <f>VLOOKUP($AG59,装备属性!$A:$Y,12,0)</f>
        <v>0</v>
      </c>
      <c r="AP59" s="49">
        <f>VLOOKUP($AG59,装备属性!$A:$Y,13,0)</f>
        <v>15</v>
      </c>
      <c r="AQ59" s="49">
        <f>VLOOKUP($AG59,装备属性!$A:$Y,14,0)</f>
        <v>10</v>
      </c>
      <c r="AR59" s="49">
        <f>VLOOKUP($AG59,装备属性!$A:$Y,15,0)</f>
        <v>0</v>
      </c>
      <c r="AS59" s="49">
        <f>VLOOKUP($AG59,装备属性!$A:$Y,16,0)</f>
        <v>0</v>
      </c>
      <c r="AT59" s="49">
        <f>VLOOKUP($AG59,装备属性!$A:$Y,17,0)</f>
        <v>0</v>
      </c>
      <c r="AU59" s="49">
        <f>VLOOKUP($AG59,装备属性!$A:$Y,18,0)</f>
        <v>0</v>
      </c>
      <c r="AV59" s="49">
        <f>VLOOKUP($AG59,装备属性!$A:$Y,19,0)</f>
        <v>0</v>
      </c>
      <c r="AW59" s="49">
        <f>VLOOKUP($AG59,装备属性!$A:$Y,20,0)</f>
        <v>0</v>
      </c>
      <c r="AX59" s="49">
        <f>VLOOKUP($AG59,装备属性!$A:$Y,21,0)</f>
        <v>0</v>
      </c>
      <c r="AY59" s="49">
        <f>VLOOKUP($AG59,装备属性!$A:$Y,22,0)</f>
        <v>0</v>
      </c>
      <c r="AZ59" s="138">
        <f>VLOOKUP($AG59,装备属性!$A:$Y,23,0)</f>
        <v>0</v>
      </c>
      <c r="BA59" s="138">
        <f>VLOOKUP($AG59,装备属性!$A:$Y,24,0)</f>
        <v>0</v>
      </c>
      <c r="BB59" s="138">
        <f>VLOOKUP($AG59,装备属性!$A:$Y,25,0)</f>
        <v>0</v>
      </c>
    </row>
    <row r="60" spans="2:54">
      <c r="Y60" s="49" t="s">
        <v>1092</v>
      </c>
      <c r="Z60" s="49" t="s">
        <v>1092</v>
      </c>
      <c r="AA60" s="138" t="s">
        <v>1092</v>
      </c>
      <c r="AF60" s="49">
        <v>7</v>
      </c>
      <c r="AG60" s="49" t="str">
        <f>Y7</f>
        <v>狂战斧</v>
      </c>
      <c r="AH60" s="49">
        <f>VLOOKUP($AG60,装备属性!$A:$Y,5,0)</f>
        <v>0</v>
      </c>
      <c r="AI60" s="49">
        <f>VLOOKUP($AG60,装备属性!$A:$Y,6,0)</f>
        <v>0</v>
      </c>
      <c r="AJ60" s="49">
        <f>VLOOKUP($AG60,装备属性!$A:$Y,7,0)</f>
        <v>0</v>
      </c>
      <c r="AK60" s="49">
        <f>VLOOKUP($AG60,装备属性!$A:$Y,8,0)</f>
        <v>0</v>
      </c>
      <c r="AL60" s="49">
        <f>VLOOKUP($AG60,装备属性!$A:$Y,9,0)</f>
        <v>65</v>
      </c>
      <c r="AM60" s="49">
        <f>VLOOKUP($AG60,装备属性!$A:$Y,10,0)</f>
        <v>0</v>
      </c>
      <c r="AN60" s="49">
        <f>VLOOKUP($AG60,装备属性!$A:$Y,11,0)</f>
        <v>0</v>
      </c>
      <c r="AO60" s="49">
        <f>VLOOKUP($AG60,装备属性!$A:$Y,12,0)</f>
        <v>0</v>
      </c>
      <c r="AP60" s="49">
        <f>VLOOKUP($AG60,装备属性!$A:$Y,13,0)</f>
        <v>0</v>
      </c>
      <c r="AQ60" s="49">
        <f>VLOOKUP($AG60,装备属性!$A:$Y,14,0)</f>
        <v>0</v>
      </c>
      <c r="AR60" s="49">
        <f>VLOOKUP($AG60,装备属性!$A:$Y,15,0)</f>
        <v>0</v>
      </c>
      <c r="AS60" s="49">
        <f>VLOOKUP($AG60,装备属性!$A:$Y,16,0)</f>
        <v>0</v>
      </c>
      <c r="AT60" s="49">
        <f>VLOOKUP($AG60,装备属性!$A:$Y,17,0)</f>
        <v>0</v>
      </c>
      <c r="AU60" s="49">
        <f>VLOOKUP($AG60,装备属性!$A:$Y,18,0)</f>
        <v>0</v>
      </c>
      <c r="AV60" s="49">
        <f>VLOOKUP($AG60,装备属性!$A:$Y,19,0)</f>
        <v>0</v>
      </c>
      <c r="AW60" s="49">
        <f>VLOOKUP($AG60,装备属性!$A:$Y,20,0)</f>
        <v>140</v>
      </c>
      <c r="AX60" s="49">
        <f>VLOOKUP($AG60,装备属性!$A:$Y,21,0)</f>
        <v>50</v>
      </c>
      <c r="AY60" s="49">
        <f>VLOOKUP($AG60,装备属性!$A:$Y,22,0)</f>
        <v>0</v>
      </c>
      <c r="AZ60" s="138">
        <f>VLOOKUP($AG60,装备属性!$A:$Y,23,0)</f>
        <v>0</v>
      </c>
      <c r="BA60" s="138">
        <f>VLOOKUP($AG60,装备属性!$A:$Y,24,0)</f>
        <v>0</v>
      </c>
      <c r="BB60" s="138">
        <f>VLOOKUP($AG60,装备属性!$A:$Y,25,0)</f>
        <v>0</v>
      </c>
    </row>
    <row r="61" spans="2:54">
      <c r="Y61" s="49" t="s">
        <v>1090</v>
      </c>
      <c r="Z61" s="49" t="s">
        <v>1090</v>
      </c>
      <c r="AA61" s="138" t="s">
        <v>1090</v>
      </c>
      <c r="AF61" s="49">
        <v>7</v>
      </c>
      <c r="AG61" s="49" t="str">
        <f>Z7</f>
        <v>疯脸</v>
      </c>
      <c r="AH61" s="49">
        <f>VLOOKUP($AG61,装备属性!$A:$Y,5,0)</f>
        <v>0</v>
      </c>
      <c r="AI61" s="49">
        <f>VLOOKUP($AG61,装备属性!$A:$Y,6,0)</f>
        <v>0</v>
      </c>
      <c r="AJ61" s="49">
        <f>VLOOKUP($AG61,装备属性!$A:$Y,7,0)</f>
        <v>0</v>
      </c>
      <c r="AK61" s="49">
        <f>VLOOKUP($AG61,装备属性!$A:$Y,8,0)</f>
        <v>0</v>
      </c>
      <c r="AL61" s="49">
        <f>VLOOKUP($AG61,装备属性!$A:$Y,9,0)</f>
        <v>0</v>
      </c>
      <c r="AM61" s="49">
        <f>VLOOKUP($AG61,装备属性!$A:$Y,10,0)</f>
        <v>0</v>
      </c>
      <c r="AN61" s="49">
        <f>VLOOKUP($AG61,装备属性!$A:$Y,11,0)</f>
        <v>-10</v>
      </c>
      <c r="AO61" s="49">
        <f>VLOOKUP($AG61,装备属性!$A:$Y,12,0)</f>
        <v>0</v>
      </c>
      <c r="AP61" s="49">
        <f>VLOOKUP($AG61,装备属性!$A:$Y,13,0)</f>
        <v>20</v>
      </c>
      <c r="AQ61" s="49">
        <f>VLOOKUP($AG61,装备属性!$A:$Y,14,0)</f>
        <v>0</v>
      </c>
      <c r="AR61" s="49">
        <f>VLOOKUP($AG61,装备属性!$A:$Y,15,0)</f>
        <v>0</v>
      </c>
      <c r="AS61" s="49">
        <f>VLOOKUP($AG61,装备属性!$A:$Y,16,0)</f>
        <v>0</v>
      </c>
      <c r="AT61" s="49">
        <f>VLOOKUP($AG61,装备属性!$A:$Y,17,0)</f>
        <v>20</v>
      </c>
      <c r="AU61" s="49">
        <f>VLOOKUP($AG61,装备属性!$A:$Y,18,0)</f>
        <v>0</v>
      </c>
      <c r="AV61" s="49">
        <f>VLOOKUP($AG61,装备属性!$A:$Y,19,0)</f>
        <v>0</v>
      </c>
      <c r="AW61" s="49">
        <f>VLOOKUP($AG61,装备属性!$A:$Y,20,0)</f>
        <v>0</v>
      </c>
      <c r="AX61" s="49">
        <f>VLOOKUP($AG61,装备属性!$A:$Y,21,0)</f>
        <v>0</v>
      </c>
      <c r="AY61" s="49">
        <f>VLOOKUP($AG61,装备属性!$A:$Y,22,0)</f>
        <v>0</v>
      </c>
      <c r="AZ61" s="138">
        <f>VLOOKUP($AG61,装备属性!$A:$Y,23,0)</f>
        <v>0</v>
      </c>
      <c r="BA61" s="138">
        <f>VLOOKUP($AG61,装备属性!$A:$Y,24,0)</f>
        <v>0</v>
      </c>
      <c r="BB61" s="138">
        <f>VLOOKUP($AG61,装备属性!$A:$Y,25,0)</f>
        <v>0</v>
      </c>
    </row>
    <row r="62" spans="2:54" ht="13.5" customHeight="1">
      <c r="Z62" s="49" t="s">
        <v>1093</v>
      </c>
      <c r="AA62" s="138" t="s">
        <v>1093</v>
      </c>
      <c r="AF62" s="49">
        <v>7</v>
      </c>
      <c r="AG62" s="49" t="str">
        <f>AA7</f>
        <v>冲锋盾</v>
      </c>
      <c r="AH62" s="49">
        <f>VLOOKUP($AG62,装备属性!$A:$Y,5,0)</f>
        <v>0</v>
      </c>
      <c r="AI62" s="49">
        <f>VLOOKUP($AG62,装备属性!$A:$Y,6,0)</f>
        <v>0</v>
      </c>
      <c r="AJ62" s="49">
        <f>VLOOKUP($AG62,装备属性!$A:$Y,7,0)</f>
        <v>0</v>
      </c>
      <c r="AK62" s="49">
        <f>VLOOKUP($AG62,装备属性!$A:$Y,8,0)</f>
        <v>280</v>
      </c>
      <c r="AL62" s="49">
        <f>VLOOKUP($AG62,装备属性!$A:$Y,9,0)</f>
        <v>0</v>
      </c>
      <c r="AM62" s="49">
        <f>VLOOKUP($AG62,装备属性!$A:$Y,10,0)</f>
        <v>0</v>
      </c>
      <c r="AN62" s="49">
        <f>VLOOKUP($AG62,装备属性!$A:$Y,11,0)</f>
        <v>4</v>
      </c>
      <c r="AO62" s="49">
        <f>VLOOKUP($AG62,装备属性!$A:$Y,12,0)</f>
        <v>0</v>
      </c>
      <c r="AP62" s="49">
        <f>VLOOKUP($AG62,装备属性!$A:$Y,13,0)</f>
        <v>0</v>
      </c>
      <c r="AQ62" s="49">
        <f>VLOOKUP($AG62,装备属性!$A:$Y,14,0)</f>
        <v>0</v>
      </c>
      <c r="AR62" s="49">
        <f>VLOOKUP($AG62,装备属性!$A:$Y,15,0)</f>
        <v>0</v>
      </c>
      <c r="AS62" s="49">
        <f>VLOOKUP($AG62,装备属性!$A:$Y,16,0)</f>
        <v>0</v>
      </c>
      <c r="AT62" s="49">
        <f>VLOOKUP($AG62,装备属性!$A:$Y,17,0)</f>
        <v>0</v>
      </c>
      <c r="AU62" s="49">
        <f>VLOOKUP($AG62,装备属性!$A:$Y,18,0)</f>
        <v>0</v>
      </c>
      <c r="AV62" s="49">
        <f>VLOOKUP($AG62,装备属性!$A:$Y,19,0)</f>
        <v>0</v>
      </c>
      <c r="AW62" s="49">
        <f>VLOOKUP($AG62,装备属性!$A:$Y,20,0)</f>
        <v>240</v>
      </c>
      <c r="AX62" s="49">
        <f>VLOOKUP($AG62,装备属性!$A:$Y,21,0)</f>
        <v>0</v>
      </c>
      <c r="AY62" s="49">
        <f>VLOOKUP($AG62,装备属性!$A:$Y,22,0)</f>
        <v>0</v>
      </c>
      <c r="AZ62" s="138">
        <f>VLOOKUP($AG62,装备属性!$A:$Y,23,0)</f>
        <v>0</v>
      </c>
      <c r="BA62" s="138">
        <f>VLOOKUP($AG62,装备属性!$A:$Y,24,0)</f>
        <v>0</v>
      </c>
      <c r="BB62" s="138">
        <f>VLOOKUP($AG62,装备属性!$A:$Y,25,0)</f>
        <v>0</v>
      </c>
    </row>
    <row r="63" spans="2:54" ht="13.5" customHeight="1">
      <c r="Z63" s="49" t="s">
        <v>1094</v>
      </c>
      <c r="AA63" s="138" t="s">
        <v>1094</v>
      </c>
      <c r="AF63" s="49">
        <v>7</v>
      </c>
      <c r="AG63" s="49" t="str">
        <f>AB7</f>
        <v>敏捷系带</v>
      </c>
      <c r="AH63" s="49">
        <f>VLOOKUP($AG63,装备属性!$A:$Y,5,0)</f>
        <v>3</v>
      </c>
      <c r="AI63" s="49">
        <f>VLOOKUP($AG63,装备属性!$A:$Y,6,0)</f>
        <v>6</v>
      </c>
      <c r="AJ63" s="49">
        <f>VLOOKUP($AG63,装备属性!$A:$Y,7,0)</f>
        <v>3</v>
      </c>
      <c r="AK63" s="49">
        <f>VLOOKUP($AG63,装备属性!$A:$Y,8,0)</f>
        <v>0</v>
      </c>
      <c r="AL63" s="49">
        <f>VLOOKUP($AG63,装备属性!$A:$Y,9,0)</f>
        <v>3</v>
      </c>
      <c r="AM63" s="49">
        <f>VLOOKUP($AG63,装备属性!$A:$Y,10,0)</f>
        <v>0</v>
      </c>
      <c r="AN63" s="49">
        <f>VLOOKUP($AG63,装备属性!$A:$Y,11,0)</f>
        <v>0</v>
      </c>
      <c r="AO63" s="49">
        <f>VLOOKUP($AG63,装备属性!$A:$Y,12,0)</f>
        <v>0</v>
      </c>
      <c r="AP63" s="49">
        <f>VLOOKUP($AG63,装备属性!$A:$Y,13,0)</f>
        <v>0</v>
      </c>
      <c r="AQ63" s="49">
        <f>VLOOKUP($AG63,装备属性!$A:$Y,14,0)</f>
        <v>0</v>
      </c>
      <c r="AR63" s="49">
        <f>VLOOKUP($AG63,装备属性!$A:$Y,15,0)</f>
        <v>0</v>
      </c>
      <c r="AS63" s="49">
        <f>VLOOKUP($AG63,装备属性!$A:$Y,16,0)</f>
        <v>0</v>
      </c>
      <c r="AT63" s="49">
        <f>VLOOKUP($AG63,装备属性!$A:$Y,17,0)</f>
        <v>0</v>
      </c>
      <c r="AU63" s="49">
        <f>VLOOKUP($AG63,装备属性!$A:$Y,18,0)</f>
        <v>0</v>
      </c>
      <c r="AV63" s="49">
        <f>VLOOKUP($AG63,装备属性!$A:$Y,19,0)</f>
        <v>0</v>
      </c>
      <c r="AW63" s="49">
        <f>VLOOKUP($AG63,装备属性!$A:$Y,20,0)</f>
        <v>0</v>
      </c>
      <c r="AX63" s="49">
        <f>VLOOKUP($AG63,装备属性!$A:$Y,21,0)</f>
        <v>0</v>
      </c>
      <c r="AY63" s="49">
        <f>VLOOKUP($AG63,装备属性!$A:$Y,22,0)</f>
        <v>0</v>
      </c>
      <c r="AZ63" s="138">
        <f>VLOOKUP($AG63,装备属性!$A:$Y,23,0)</f>
        <v>0</v>
      </c>
      <c r="BA63" s="138">
        <f>VLOOKUP($AG63,装备属性!$A:$Y,24,0)</f>
        <v>0</v>
      </c>
      <c r="BB63" s="138">
        <f>VLOOKUP($AG63,装备属性!$A:$Y,25,0)</f>
        <v>0</v>
      </c>
    </row>
    <row r="64" spans="2:54">
      <c r="AF64" s="49">
        <v>7</v>
      </c>
      <c r="AG64" s="49" t="str">
        <f>AC7</f>
        <v>敏捷假腿</v>
      </c>
      <c r="AH64" s="49">
        <f>VLOOKUP($AG64,装备属性!$A:$Y,5,0)</f>
        <v>6</v>
      </c>
      <c r="AI64" s="49">
        <f>VLOOKUP($AG64,装备属性!$A:$Y,6,0)</f>
        <v>14</v>
      </c>
      <c r="AJ64" s="49">
        <f>VLOOKUP($AG64,装备属性!$A:$Y,7,0)</f>
        <v>6</v>
      </c>
      <c r="AK64" s="49">
        <f>VLOOKUP($AG64,装备属性!$A:$Y,8,0)</f>
        <v>0</v>
      </c>
      <c r="AL64" s="49">
        <f>VLOOKUP($AG64,装备属性!$A:$Y,9,0)</f>
        <v>0</v>
      </c>
      <c r="AM64" s="49">
        <f>VLOOKUP($AG64,装备属性!$A:$Y,10,0)</f>
        <v>0</v>
      </c>
      <c r="AN64" s="49">
        <f>VLOOKUP($AG64,装备属性!$A:$Y,11,0)</f>
        <v>0</v>
      </c>
      <c r="AO64" s="49">
        <f>VLOOKUP($AG64,装备属性!$A:$Y,12,0)</f>
        <v>0</v>
      </c>
      <c r="AP64" s="49">
        <f>VLOOKUP($AG64,装备属性!$A:$Y,13,0)</f>
        <v>15</v>
      </c>
      <c r="AQ64" s="49">
        <f>VLOOKUP($AG64,装备属性!$A:$Y,14,0)</f>
        <v>0</v>
      </c>
      <c r="AR64" s="49">
        <f>VLOOKUP($AG64,装备属性!$A:$Y,15,0)</f>
        <v>0</v>
      </c>
      <c r="AS64" s="49">
        <f>VLOOKUP($AG64,装备属性!$A:$Y,16,0)</f>
        <v>0</v>
      </c>
      <c r="AT64" s="49">
        <f>VLOOKUP($AG64,装备属性!$A:$Y,17,0)</f>
        <v>0</v>
      </c>
      <c r="AU64" s="49">
        <f>VLOOKUP($AG64,装备属性!$A:$Y,18,0)</f>
        <v>0</v>
      </c>
      <c r="AV64" s="49">
        <f>VLOOKUP($AG64,装备属性!$A:$Y,19,0)</f>
        <v>0</v>
      </c>
      <c r="AW64" s="49">
        <f>VLOOKUP($AG64,装备属性!$A:$Y,20,0)</f>
        <v>0</v>
      </c>
      <c r="AX64" s="49">
        <f>VLOOKUP($AG64,装备属性!$A:$Y,21,0)</f>
        <v>0</v>
      </c>
      <c r="AY64" s="49">
        <f>VLOOKUP($AG64,装备属性!$A:$Y,22,0)</f>
        <v>0</v>
      </c>
      <c r="AZ64" s="138">
        <f>VLOOKUP($AG64,装备属性!$A:$Y,23,0)</f>
        <v>0</v>
      </c>
      <c r="BA64" s="138">
        <f>VLOOKUP($AG64,装备属性!$A:$Y,24,0)</f>
        <v>0</v>
      </c>
      <c r="BB64" s="138">
        <f>VLOOKUP($AG64,装备属性!$A:$Y,25,0)</f>
        <v>0</v>
      </c>
    </row>
    <row r="65" spans="21:54">
      <c r="V65" s="49" t="s">
        <v>1091</v>
      </c>
      <c r="W65" s="49" t="s">
        <v>1089</v>
      </c>
      <c r="X65" s="49" t="s">
        <v>1092</v>
      </c>
      <c r="Y65" s="49" t="s">
        <v>1090</v>
      </c>
      <c r="Z65" s="49" t="s">
        <v>1093</v>
      </c>
      <c r="AA65" s="49" t="s">
        <v>1094</v>
      </c>
      <c r="AF65" s="49">
        <v>8</v>
      </c>
      <c r="AG65" s="49" t="str">
        <f>X8</f>
        <v>蝴蝶</v>
      </c>
      <c r="AH65" s="49">
        <f>VLOOKUP($AG65,装备属性!$A:$Y,5,0)</f>
        <v>0</v>
      </c>
      <c r="AI65" s="49">
        <f>VLOOKUP($AG65,装备属性!$A:$Y,6,0)</f>
        <v>30</v>
      </c>
      <c r="AJ65" s="49">
        <f>VLOOKUP($AG65,装备属性!$A:$Y,7,0)</f>
        <v>0</v>
      </c>
      <c r="AK65" s="49">
        <f>VLOOKUP($AG65,装备属性!$A:$Y,8,0)</f>
        <v>0</v>
      </c>
      <c r="AL65" s="49">
        <f>VLOOKUP($AG65,装备属性!$A:$Y,9,0)</f>
        <v>30</v>
      </c>
      <c r="AM65" s="49">
        <f>VLOOKUP($AG65,装备属性!$A:$Y,10,0)</f>
        <v>0</v>
      </c>
      <c r="AN65" s="49">
        <f>VLOOKUP($AG65,装备属性!$A:$Y,11,0)</f>
        <v>0</v>
      </c>
      <c r="AO65" s="49">
        <f>VLOOKUP($AG65,装备属性!$A:$Y,12,0)</f>
        <v>0</v>
      </c>
      <c r="AP65" s="49">
        <f>VLOOKUP($AG65,装备属性!$A:$Y,13,0)</f>
        <v>30</v>
      </c>
      <c r="AQ65" s="49">
        <f>VLOOKUP($AG65,装备属性!$A:$Y,14,0)</f>
        <v>0</v>
      </c>
      <c r="AR65" s="49">
        <f>VLOOKUP($AG65,装备属性!$A:$Y,15,0)</f>
        <v>0</v>
      </c>
      <c r="AS65" s="49">
        <f>VLOOKUP($AG65,装备属性!$A:$Y,16,0)</f>
        <v>0</v>
      </c>
      <c r="AT65" s="49">
        <f>VLOOKUP($AG65,装备属性!$A:$Y,17,0)</f>
        <v>0</v>
      </c>
      <c r="AU65" s="49">
        <f>VLOOKUP($AG65,装备属性!$A:$Y,18,0)</f>
        <v>0</v>
      </c>
      <c r="AV65" s="49">
        <f>VLOOKUP($AG65,装备属性!$A:$Y,19,0)</f>
        <v>30</v>
      </c>
      <c r="AW65" s="49">
        <f>VLOOKUP($AG65,装备属性!$A:$Y,20,0)</f>
        <v>0</v>
      </c>
      <c r="AX65" s="49">
        <f>VLOOKUP($AG65,装备属性!$A:$Y,21,0)</f>
        <v>0</v>
      </c>
      <c r="AY65" s="49">
        <f>VLOOKUP($AG65,装备属性!$A:$Y,22,0)</f>
        <v>0</v>
      </c>
      <c r="AZ65" s="138">
        <f>VLOOKUP($AG65,装备属性!$A:$Y,23,0)</f>
        <v>0</v>
      </c>
      <c r="BA65" s="138">
        <f>VLOOKUP($AG65,装备属性!$A:$Y,24,0)</f>
        <v>0</v>
      </c>
      <c r="BB65" s="138">
        <f>VLOOKUP($AG65,装备属性!$A:$Y,25,0)</f>
        <v>0</v>
      </c>
    </row>
    <row r="66" spans="21:54">
      <c r="V66" s="49">
        <v>0</v>
      </c>
      <c r="W66" s="49">
        <v>1</v>
      </c>
      <c r="X66" s="49">
        <v>2</v>
      </c>
      <c r="Y66" s="49">
        <v>3</v>
      </c>
      <c r="Z66" s="49">
        <v>4</v>
      </c>
      <c r="AA66" s="49">
        <v>5</v>
      </c>
      <c r="AF66" s="49">
        <v>8</v>
      </c>
      <c r="AG66" s="49" t="str">
        <f>Y8</f>
        <v>强袭</v>
      </c>
      <c r="AH66" s="49">
        <f>VLOOKUP($AG66,装备属性!$A:$Y,5,0)</f>
        <v>0</v>
      </c>
      <c r="AI66" s="49">
        <f>VLOOKUP($AG66,装备属性!$A:$Y,6,0)</f>
        <v>0</v>
      </c>
      <c r="AJ66" s="49">
        <f>VLOOKUP($AG66,装备属性!$A:$Y,7,0)</f>
        <v>0</v>
      </c>
      <c r="AK66" s="49">
        <f>VLOOKUP($AG66,装备属性!$A:$Y,8,0)</f>
        <v>0</v>
      </c>
      <c r="AL66" s="49">
        <f>VLOOKUP($AG66,装备属性!$A:$Y,9,0)</f>
        <v>0</v>
      </c>
      <c r="AM66" s="49">
        <f>VLOOKUP($AG66,装备属性!$A:$Y,10,0)</f>
        <v>0</v>
      </c>
      <c r="AN66" s="49">
        <f>VLOOKUP($AG66,装备属性!$A:$Y,11,0)</f>
        <v>15</v>
      </c>
      <c r="AO66" s="49">
        <f>VLOOKUP($AG66,装备属性!$A:$Y,12,0)</f>
        <v>0</v>
      </c>
      <c r="AP66" s="49">
        <f>VLOOKUP($AG66,装备属性!$A:$Y,13,0)</f>
        <v>35</v>
      </c>
      <c r="AQ66" s="49">
        <f>VLOOKUP($AG66,装备属性!$A:$Y,14,0)</f>
        <v>5</v>
      </c>
      <c r="AR66" s="49">
        <f>VLOOKUP($AG66,装备属性!$A:$Y,15,0)</f>
        <v>0</v>
      </c>
      <c r="AS66" s="49">
        <f>VLOOKUP($AG66,装备属性!$A:$Y,16,0)</f>
        <v>0</v>
      </c>
      <c r="AT66" s="49">
        <f>VLOOKUP($AG66,装备属性!$A:$Y,17,0)</f>
        <v>0</v>
      </c>
      <c r="AU66" s="49">
        <f>VLOOKUP($AG66,装备属性!$A:$Y,18,0)</f>
        <v>0</v>
      </c>
      <c r="AV66" s="49">
        <f>VLOOKUP($AG66,装备属性!$A:$Y,19,0)</f>
        <v>0</v>
      </c>
      <c r="AW66" s="49">
        <f>VLOOKUP($AG66,装备属性!$A:$Y,20,0)</f>
        <v>0</v>
      </c>
      <c r="AX66" s="49">
        <f>VLOOKUP($AG66,装备属性!$A:$Y,21,0)</f>
        <v>0</v>
      </c>
      <c r="AY66" s="49">
        <f>VLOOKUP($AG66,装备属性!$A:$Y,22,0)</f>
        <v>0</v>
      </c>
      <c r="AZ66" s="138">
        <f>VLOOKUP($AG66,装备属性!$A:$Y,23,0)</f>
        <v>0</v>
      </c>
      <c r="BA66" s="138">
        <f>VLOOKUP($AG66,装备属性!$A:$Y,24,0)</f>
        <v>0</v>
      </c>
      <c r="BB66" s="138">
        <f>VLOOKUP($AG66,装备属性!$A:$Y,25,0)</f>
        <v>0</v>
      </c>
    </row>
    <row r="67" spans="21:54">
      <c r="AF67" s="49">
        <v>8</v>
      </c>
      <c r="AG67" s="49" t="str">
        <f>Z8</f>
        <v>碎骨锤</v>
      </c>
      <c r="AH67" s="49">
        <f>VLOOKUP($AG67,装备属性!$A:$Y,5,0)</f>
        <v>3</v>
      </c>
      <c r="AI67" s="49">
        <f>VLOOKUP($AG67,装备属性!$A:$Y,6,0)</f>
        <v>0</v>
      </c>
      <c r="AJ67" s="49">
        <f>VLOOKUP($AG67,装备属性!$A:$Y,7,0)</f>
        <v>0</v>
      </c>
      <c r="AK67" s="49">
        <f>VLOOKUP($AG67,装备属性!$A:$Y,8,0)</f>
        <v>0</v>
      </c>
      <c r="AL67" s="49">
        <f>VLOOKUP($AG67,装备属性!$A:$Y,9,0)</f>
        <v>40</v>
      </c>
      <c r="AM67" s="49">
        <f>VLOOKUP($AG67,装备属性!$A:$Y,10,0)</f>
        <v>0</v>
      </c>
      <c r="AN67" s="49">
        <f>VLOOKUP($AG67,装备属性!$A:$Y,11,0)</f>
        <v>0</v>
      </c>
      <c r="AO67" s="49">
        <f>VLOOKUP($AG67,装备属性!$A:$Y,12,0)</f>
        <v>0</v>
      </c>
      <c r="AP67" s="49">
        <f>VLOOKUP($AG67,装备属性!$A:$Y,13,0)</f>
        <v>10</v>
      </c>
      <c r="AQ67" s="49">
        <f>VLOOKUP($AG67,装备属性!$A:$Y,14,0)</f>
        <v>0</v>
      </c>
      <c r="AR67" s="49">
        <f>VLOOKUP($AG67,装备属性!$A:$Y,15,0)</f>
        <v>0</v>
      </c>
      <c r="AS67" s="49">
        <f>VLOOKUP($AG67,装备属性!$A:$Y,16,0)</f>
        <v>0</v>
      </c>
      <c r="AT67" s="49">
        <f>VLOOKUP($AG67,装备属性!$A:$Y,17,0)</f>
        <v>0</v>
      </c>
      <c r="AU67" s="49">
        <f>VLOOKUP($AG67,装备属性!$A:$Y,18,0)</f>
        <v>0</v>
      </c>
      <c r="AV67" s="49">
        <f>VLOOKUP($AG67,装备属性!$A:$Y,19,0)</f>
        <v>0</v>
      </c>
      <c r="AW67" s="49">
        <f>VLOOKUP($AG67,装备属性!$A:$Y,20,0)</f>
        <v>0</v>
      </c>
      <c r="AX67" s="49">
        <f>VLOOKUP($AG67,装备属性!$A:$Y,21,0)</f>
        <v>0</v>
      </c>
      <c r="AY67" s="49">
        <f>VLOOKUP($AG67,装备属性!$A:$Y,22,0)</f>
        <v>0</v>
      </c>
      <c r="AZ67" s="138">
        <f>VLOOKUP($AG67,装备属性!$A:$Y,23,0)</f>
        <v>0</v>
      </c>
      <c r="BA67" s="138">
        <f>VLOOKUP($AG67,装备属性!$A:$Y,24,0)</f>
        <v>0</v>
      </c>
      <c r="BB67" s="138">
        <f>VLOOKUP($AG67,装备属性!$A:$Y,25,0)</f>
        <v>0</v>
      </c>
    </row>
    <row r="68" spans="21:54">
      <c r="AF68" s="49">
        <v>8</v>
      </c>
      <c r="AG68" s="49" t="str">
        <f>AA8</f>
        <v>大剑</v>
      </c>
      <c r="AH68" s="49">
        <f>VLOOKUP($AG68,装备属性!$A:$Y,5,0)</f>
        <v>0</v>
      </c>
      <c r="AI68" s="49">
        <f>VLOOKUP($AG68,装备属性!$A:$Y,6,0)</f>
        <v>0</v>
      </c>
      <c r="AJ68" s="49">
        <f>VLOOKUP($AG68,装备属性!$A:$Y,7,0)</f>
        <v>0</v>
      </c>
      <c r="AK68" s="49">
        <f>VLOOKUP($AG68,装备属性!$A:$Y,8,0)</f>
        <v>0</v>
      </c>
      <c r="AL68" s="49">
        <f>VLOOKUP($AG68,装备属性!$A:$Y,9,0)</f>
        <v>21</v>
      </c>
      <c r="AM68" s="49">
        <f>VLOOKUP($AG68,装备属性!$A:$Y,10,0)</f>
        <v>0</v>
      </c>
      <c r="AN68" s="49">
        <f>VLOOKUP($AG68,装备属性!$A:$Y,11,0)</f>
        <v>0</v>
      </c>
      <c r="AO68" s="49">
        <f>VLOOKUP($AG68,装备属性!$A:$Y,12,0)</f>
        <v>0</v>
      </c>
      <c r="AP68" s="49">
        <f>VLOOKUP($AG68,装备属性!$A:$Y,13,0)</f>
        <v>0</v>
      </c>
      <c r="AQ68" s="49">
        <f>VLOOKUP($AG68,装备属性!$A:$Y,14,0)</f>
        <v>0</v>
      </c>
      <c r="AR68" s="49">
        <f>VLOOKUP($AG68,装备属性!$A:$Y,15,0)</f>
        <v>0</v>
      </c>
      <c r="AS68" s="49">
        <f>VLOOKUP($AG68,装备属性!$A:$Y,16,0)</f>
        <v>0</v>
      </c>
      <c r="AT68" s="49">
        <f>VLOOKUP($AG68,装备属性!$A:$Y,17,0)</f>
        <v>0</v>
      </c>
      <c r="AU68" s="49">
        <f>VLOOKUP($AG68,装备属性!$A:$Y,18,0)</f>
        <v>0</v>
      </c>
      <c r="AV68" s="49">
        <f>VLOOKUP($AG68,装备属性!$A:$Y,19,0)</f>
        <v>0</v>
      </c>
      <c r="AW68" s="49">
        <f>VLOOKUP($AG68,装备属性!$A:$Y,20,0)</f>
        <v>0</v>
      </c>
      <c r="AX68" s="49">
        <f>VLOOKUP($AG68,装备属性!$A:$Y,21,0)</f>
        <v>0</v>
      </c>
      <c r="AY68" s="49">
        <f>VLOOKUP($AG68,装备属性!$A:$Y,22,0)</f>
        <v>0</v>
      </c>
      <c r="AZ68" s="138">
        <f>VLOOKUP($AG68,装备属性!$A:$Y,23,0)</f>
        <v>0</v>
      </c>
      <c r="BA68" s="138">
        <f>VLOOKUP($AG68,装备属性!$A:$Y,24,0)</f>
        <v>0</v>
      </c>
      <c r="BB68" s="138">
        <f>VLOOKUP($AG68,装备属性!$A:$Y,25,0)</f>
        <v>0</v>
      </c>
    </row>
    <row r="69" spans="21:54">
      <c r="V69" s="48" t="s">
        <v>1104</v>
      </c>
      <c r="AF69" s="49">
        <v>8</v>
      </c>
      <c r="AG69" s="49" t="str">
        <f>AB8</f>
        <v>支配</v>
      </c>
      <c r="AH69" s="49">
        <f>VLOOKUP($AG69,装备属性!$A:$Y,5,0)</f>
        <v>0</v>
      </c>
      <c r="AI69" s="49">
        <f>VLOOKUP($AG69,装备属性!$A:$Y,6,0)</f>
        <v>0</v>
      </c>
      <c r="AJ69" s="49">
        <f>VLOOKUP($AG69,装备属性!$A:$Y,7,0)</f>
        <v>0</v>
      </c>
      <c r="AK69" s="49">
        <f>VLOOKUP($AG69,装备属性!$A:$Y,8,0)</f>
        <v>0</v>
      </c>
      <c r="AL69" s="49">
        <f>VLOOKUP($AG69,装备属性!$A:$Y,9,0)</f>
        <v>20</v>
      </c>
      <c r="AM69" s="49">
        <f>VLOOKUP($AG69,装备属性!$A:$Y,10,0)</f>
        <v>0</v>
      </c>
      <c r="AN69" s="49">
        <f>VLOOKUP($AG69,装备属性!$A:$Y,11,0)</f>
        <v>5</v>
      </c>
      <c r="AO69" s="49">
        <f>VLOOKUP($AG69,装备属性!$A:$Y,12,0)</f>
        <v>0</v>
      </c>
      <c r="AP69" s="49">
        <f>VLOOKUP($AG69,装备属性!$A:$Y,13,0)</f>
        <v>0</v>
      </c>
      <c r="AQ69" s="49">
        <f>VLOOKUP($AG69,装备属性!$A:$Y,14,0)</f>
        <v>0</v>
      </c>
      <c r="AR69" s="49">
        <f>VLOOKUP($AG69,装备属性!$A:$Y,15,0)</f>
        <v>0</v>
      </c>
      <c r="AS69" s="49">
        <f>VLOOKUP($AG69,装备属性!$A:$Y,16,0)</f>
        <v>0</v>
      </c>
      <c r="AT69" s="49">
        <f>VLOOKUP($AG69,装备属性!$A:$Y,17,0)</f>
        <v>15</v>
      </c>
      <c r="AU69" s="49">
        <f>VLOOKUP($AG69,装备属性!$A:$Y,18,0)</f>
        <v>0</v>
      </c>
      <c r="AV69" s="49">
        <f>VLOOKUP($AG69,装备属性!$A:$Y,19,0)</f>
        <v>0</v>
      </c>
      <c r="AW69" s="49">
        <f>VLOOKUP($AG69,装备属性!$A:$Y,20,0)</f>
        <v>0</v>
      </c>
      <c r="AX69" s="49">
        <f>VLOOKUP($AG69,装备属性!$A:$Y,21,0)</f>
        <v>0</v>
      </c>
      <c r="AY69" s="49">
        <f>VLOOKUP($AG69,装备属性!$A:$Y,22,0)</f>
        <v>0</v>
      </c>
      <c r="AZ69" s="138">
        <f>VLOOKUP($AG69,装备属性!$A:$Y,23,0)</f>
        <v>0</v>
      </c>
      <c r="BA69" s="138">
        <f>VLOOKUP($AG69,装备属性!$A:$Y,24,0)</f>
        <v>0</v>
      </c>
      <c r="BB69" s="138">
        <f>VLOOKUP($AG69,装备属性!$A:$Y,25,0)</f>
        <v>0</v>
      </c>
    </row>
    <row r="70" spans="21:54">
      <c r="U70" s="75" t="s">
        <v>1255</v>
      </c>
      <c r="V70" s="56" t="str">
        <f>IF(COUNTIF(单英雄!C12:H13,"")=0,"","装备信息填写不全，会造成计算错误")</f>
        <v/>
      </c>
      <c r="AF70" s="49">
        <v>8</v>
      </c>
      <c r="AG70" s="49" t="str">
        <f>AC8</f>
        <v>飞鞋</v>
      </c>
      <c r="AH70" s="49">
        <f>VLOOKUP($AG70,装备属性!$A:$Y,5,0)</f>
        <v>25</v>
      </c>
      <c r="AI70" s="49">
        <f>VLOOKUP($AG70,装备属性!$A:$Y,6,0)</f>
        <v>25</v>
      </c>
      <c r="AJ70" s="49">
        <f>VLOOKUP($AG70,装备属性!$A:$Y,7,0)</f>
        <v>25</v>
      </c>
      <c r="AK70" s="49">
        <f>VLOOKUP($AG70,装备属性!$A:$Y,8,0)</f>
        <v>0</v>
      </c>
      <c r="AL70" s="49">
        <f>VLOOKUP($AG70,装备属性!$A:$Y,9,0)</f>
        <v>0</v>
      </c>
      <c r="AM70" s="49">
        <f>VLOOKUP($AG70,装备属性!$A:$Y,10,0)</f>
        <v>0</v>
      </c>
      <c r="AN70" s="49">
        <f>VLOOKUP($AG70,装备属性!$A:$Y,11,0)</f>
        <v>0</v>
      </c>
      <c r="AO70" s="49">
        <f>VLOOKUP($AG70,装备属性!$A:$Y,12,0)</f>
        <v>0</v>
      </c>
      <c r="AP70" s="49">
        <f>VLOOKUP($AG70,装备属性!$A:$Y,13,0)</f>
        <v>0</v>
      </c>
      <c r="AQ70" s="49">
        <f>VLOOKUP($AG70,装备属性!$A:$Y,14,0)</f>
        <v>0</v>
      </c>
      <c r="AR70" s="49">
        <f>VLOOKUP($AG70,装备属性!$A:$Y,15,0)</f>
        <v>0</v>
      </c>
      <c r="AS70" s="49">
        <f>VLOOKUP($AG70,装备属性!$A:$Y,16,0)</f>
        <v>0</v>
      </c>
      <c r="AT70" s="49">
        <f>VLOOKUP($AG70,装备属性!$A:$Y,17,0)</f>
        <v>0</v>
      </c>
      <c r="AU70" s="49">
        <f>VLOOKUP($AG70,装备属性!$A:$Y,18,0)</f>
        <v>0</v>
      </c>
      <c r="AV70" s="49">
        <f>VLOOKUP($AG70,装备属性!$A:$Y,19,0)</f>
        <v>0</v>
      </c>
      <c r="AW70" s="49">
        <f>VLOOKUP($AG70,装备属性!$A:$Y,20,0)</f>
        <v>0</v>
      </c>
      <c r="AX70" s="49">
        <f>VLOOKUP($AG70,装备属性!$A:$Y,21,0)</f>
        <v>0</v>
      </c>
      <c r="AY70" s="49">
        <f>VLOOKUP($AG70,装备属性!$A:$Y,22,0)</f>
        <v>0</v>
      </c>
      <c r="AZ70" s="138">
        <f>VLOOKUP($AG70,装备属性!$A:$Y,23,0)</f>
        <v>0</v>
      </c>
      <c r="BA70" s="138">
        <f>VLOOKUP($AG70,装备属性!$A:$Y,24,0)</f>
        <v>0</v>
      </c>
      <c r="BB70" s="138">
        <f>VLOOKUP($AG70,装备属性!$A:$Y,25,0)</f>
        <v>0</v>
      </c>
    </row>
    <row r="71" spans="21:54">
      <c r="U71" s="75" t="s">
        <v>1256</v>
      </c>
      <c r="V71" s="231" t="str">
        <f>IF(OR(COUNTIF('我需要您！'!$Q:$Q,单英雄!$C$11)=1,COUNTIF('我需要您！'!$Q:$Q,单英雄!$D$11)=1,COUNTIF('我需要您！'!$Q:$Q,单英雄!$E$11)=1,COUNTIF('我需要您！'!$Q:$Q,单英雄!$F$11)=1,COUNTIF('我需要您！'!$Q:$Q,单英雄!$G$11)=1,COUNTIF('我需要您！'!$Q:$Q,单英雄!$G$11)=1),"抱歉，装备中的某件装备数据库里没有附魔数据，会影响计算结果（请在“我需要您！”里查看没有附魔数据的装备列表，也请你帮助我补充数据）。","")</f>
        <v/>
      </c>
      <c r="W71" s="231"/>
      <c r="X71" s="231"/>
      <c r="Y71" s="231"/>
      <c r="Z71" s="231"/>
      <c r="AA71" s="231"/>
      <c r="AF71" s="49">
        <v>9</v>
      </c>
      <c r="AG71" s="49" t="str">
        <f>X9</f>
        <v>撒旦</v>
      </c>
      <c r="AH71" s="49">
        <f>VLOOKUP($AG71,装备属性!$A:$Y,5,0)</f>
        <v>25</v>
      </c>
      <c r="AI71" s="49">
        <f>VLOOKUP($AG71,装备属性!$A:$Y,6,0)</f>
        <v>0</v>
      </c>
      <c r="AJ71" s="49">
        <f>VLOOKUP($AG71,装备属性!$A:$Y,7,0)</f>
        <v>0</v>
      </c>
      <c r="AK71" s="49">
        <f>VLOOKUP($AG71,装备属性!$A:$Y,8,0)</f>
        <v>0</v>
      </c>
      <c r="AL71" s="49">
        <f>VLOOKUP($AG71,装备属性!$A:$Y,9,0)</f>
        <v>50</v>
      </c>
      <c r="AM71" s="49">
        <f>VLOOKUP($AG71,装备属性!$A:$Y,10,0)</f>
        <v>0</v>
      </c>
      <c r="AN71" s="49">
        <f>VLOOKUP($AG71,装备属性!$A:$Y,11,0)</f>
        <v>15</v>
      </c>
      <c r="AO71" s="49">
        <f>VLOOKUP($AG71,装备属性!$A:$Y,12,0)</f>
        <v>0</v>
      </c>
      <c r="AP71" s="49">
        <f>VLOOKUP($AG71,装备属性!$A:$Y,13,0)</f>
        <v>0</v>
      </c>
      <c r="AQ71" s="49">
        <f>VLOOKUP($AG71,装备属性!$A:$Y,14,0)</f>
        <v>0</v>
      </c>
      <c r="AR71" s="49">
        <f>VLOOKUP($AG71,装备属性!$A:$Y,15,0)</f>
        <v>0</v>
      </c>
      <c r="AS71" s="49">
        <f>VLOOKUP($AG71,装备属性!$A:$Y,16,0)</f>
        <v>0</v>
      </c>
      <c r="AT71" s="49">
        <f>VLOOKUP($AG71,装备属性!$A:$Y,17,0)</f>
        <v>25</v>
      </c>
      <c r="AU71" s="49">
        <f>VLOOKUP($AG71,装备属性!$A:$Y,18,0)</f>
        <v>0</v>
      </c>
      <c r="AV71" s="49">
        <f>VLOOKUP($AG71,装备属性!$A:$Y,19,0)</f>
        <v>0</v>
      </c>
      <c r="AW71" s="49">
        <f>VLOOKUP($AG71,装备属性!$A:$Y,20,0)</f>
        <v>0</v>
      </c>
      <c r="AX71" s="49">
        <f>VLOOKUP($AG71,装备属性!$A:$Y,21,0)</f>
        <v>0</v>
      </c>
      <c r="AY71" s="49">
        <f>VLOOKUP($AG71,装备属性!$A:$Y,22,0)</f>
        <v>0</v>
      </c>
      <c r="AZ71" s="138">
        <f>VLOOKUP($AG71,装备属性!$A:$Y,23,0)</f>
        <v>0</v>
      </c>
      <c r="BA71" s="138">
        <f>VLOOKUP($AG71,装备属性!$A:$Y,24,0)</f>
        <v>0</v>
      </c>
      <c r="BB71" s="138">
        <f>VLOOKUP($AG71,装备属性!$A:$Y,25,0)</f>
        <v>0</v>
      </c>
    </row>
    <row r="72" spans="21:54">
      <c r="V72" s="231"/>
      <c r="W72" s="231"/>
      <c r="X72" s="231"/>
      <c r="Y72" s="231"/>
      <c r="Z72" s="231"/>
      <c r="AA72" s="231"/>
      <c r="AF72" s="49">
        <v>9</v>
      </c>
      <c r="AG72" s="49" t="str">
        <f>Y9</f>
        <v>刷新珠</v>
      </c>
      <c r="AH72" s="49">
        <f>VLOOKUP($AG72,装备属性!$A:$Y,5,0)</f>
        <v>0</v>
      </c>
      <c r="AI72" s="49">
        <f>VLOOKUP($AG72,装备属性!$A:$Y,6,0)</f>
        <v>0</v>
      </c>
      <c r="AJ72" s="49">
        <f>VLOOKUP($AG72,装备属性!$A:$Y,7,0)</f>
        <v>6</v>
      </c>
      <c r="AK72" s="49">
        <f>VLOOKUP($AG72,装备属性!$A:$Y,8,0)</f>
        <v>0</v>
      </c>
      <c r="AL72" s="49">
        <f>VLOOKUP($AG72,装备属性!$A:$Y,9,0)</f>
        <v>40</v>
      </c>
      <c r="AM72" s="49">
        <f>VLOOKUP($AG72,装备属性!$A:$Y,10,0)</f>
        <v>0</v>
      </c>
      <c r="AN72" s="49">
        <f>VLOOKUP($AG72,装备属性!$A:$Y,11,0)</f>
        <v>0</v>
      </c>
      <c r="AO72" s="49">
        <f>VLOOKUP($AG72,装备属性!$A:$Y,12,0)</f>
        <v>0</v>
      </c>
      <c r="AP72" s="49">
        <f>VLOOKUP($AG72,装备属性!$A:$Y,13,0)</f>
        <v>0</v>
      </c>
      <c r="AQ72" s="49">
        <f>VLOOKUP($AG72,装备属性!$A:$Y,14,0)</f>
        <v>0</v>
      </c>
      <c r="AR72" s="49">
        <f>VLOOKUP($AG72,装备属性!$A:$Y,15,0)</f>
        <v>0</v>
      </c>
      <c r="AS72" s="49">
        <f>VLOOKUP($AG72,装备属性!$A:$Y,16,0)</f>
        <v>0</v>
      </c>
      <c r="AT72" s="49">
        <f>VLOOKUP($AG72,装备属性!$A:$Y,17,0)</f>
        <v>0</v>
      </c>
      <c r="AU72" s="49">
        <f>VLOOKUP($AG72,装备属性!$A:$Y,18,0)</f>
        <v>0</v>
      </c>
      <c r="AV72" s="49">
        <f>VLOOKUP($AG72,装备属性!$A:$Y,19,0)</f>
        <v>0</v>
      </c>
      <c r="AW72" s="49">
        <f>VLOOKUP($AG72,装备属性!$A:$Y,20,0)</f>
        <v>200</v>
      </c>
      <c r="AX72" s="49">
        <f>VLOOKUP($AG72,装备属性!$A:$Y,21,0)</f>
        <v>100</v>
      </c>
      <c r="AY72" s="49">
        <f>VLOOKUP($AG72,装备属性!$A:$Y,22,0)</f>
        <v>0</v>
      </c>
      <c r="AZ72" s="138">
        <f>VLOOKUP($AG72,装备属性!$A:$Y,23,0)</f>
        <v>15</v>
      </c>
      <c r="BA72" s="138">
        <f>VLOOKUP($AG72,装备属性!$A:$Y,24,0)</f>
        <v>0</v>
      </c>
      <c r="BB72" s="138">
        <f>VLOOKUP($AG72,装备属性!$A:$Y,25,0)</f>
        <v>0</v>
      </c>
    </row>
    <row r="73" spans="21:54">
      <c r="V73" s="53"/>
      <c r="W73" s="72"/>
      <c r="X73" s="72"/>
      <c r="Y73" s="72"/>
      <c r="Z73" s="72"/>
      <c r="AA73" s="72"/>
      <c r="AF73" s="49">
        <v>9</v>
      </c>
      <c r="AG73" s="49" t="str">
        <f>Z9</f>
        <v>分身斧</v>
      </c>
      <c r="AH73" s="49">
        <f>VLOOKUP($AG73,装备属性!$A:$Y,5,0)</f>
        <v>10</v>
      </c>
      <c r="AI73" s="49">
        <f>VLOOKUP($AG73,装备属性!$A:$Y,6,0)</f>
        <v>26</v>
      </c>
      <c r="AJ73" s="49">
        <f>VLOOKUP($AG73,装备属性!$A:$Y,7,0)</f>
        <v>10</v>
      </c>
      <c r="AK73" s="49">
        <f>VLOOKUP($AG73,装备属性!$A:$Y,8,0)</f>
        <v>250</v>
      </c>
      <c r="AL73" s="49">
        <f>VLOOKUP($AG73,装备属性!$A:$Y,9,0)</f>
        <v>0</v>
      </c>
      <c r="AM73" s="49">
        <f>VLOOKUP($AG73,装备属性!$A:$Y,10,0)</f>
        <v>0</v>
      </c>
      <c r="AN73" s="49">
        <f>VLOOKUP($AG73,装备属性!$A:$Y,11,0)</f>
        <v>0</v>
      </c>
      <c r="AO73" s="49">
        <f>VLOOKUP($AG73,装备属性!$A:$Y,12,0)</f>
        <v>0</v>
      </c>
      <c r="AP73" s="49">
        <f>VLOOKUP($AG73,装备属性!$A:$Y,13,0)</f>
        <v>16</v>
      </c>
      <c r="AQ73" s="49">
        <f>VLOOKUP($AG73,装备属性!$A:$Y,14,0)</f>
        <v>0</v>
      </c>
      <c r="AR73" s="49">
        <f>VLOOKUP($AG73,装备属性!$A:$Y,15,0)</f>
        <v>0</v>
      </c>
      <c r="AS73" s="49">
        <f>VLOOKUP($AG73,装备属性!$A:$Y,16,0)</f>
        <v>0</v>
      </c>
      <c r="AT73" s="49">
        <f>VLOOKUP($AG73,装备属性!$A:$Y,17,0)</f>
        <v>0</v>
      </c>
      <c r="AU73" s="49">
        <f>VLOOKUP($AG73,装备属性!$A:$Y,18,0)</f>
        <v>0</v>
      </c>
      <c r="AV73" s="49">
        <f>VLOOKUP($AG73,装备属性!$A:$Y,19,0)</f>
        <v>0</v>
      </c>
      <c r="AW73" s="49">
        <f>VLOOKUP($AG73,装备属性!$A:$Y,20,0)</f>
        <v>0</v>
      </c>
      <c r="AX73" s="49">
        <f>VLOOKUP($AG73,装备属性!$A:$Y,21,0)</f>
        <v>0</v>
      </c>
      <c r="AY73" s="49">
        <f>VLOOKUP($AG73,装备属性!$A:$Y,22,0)</f>
        <v>0</v>
      </c>
      <c r="AZ73" s="138">
        <f>VLOOKUP($AG73,装备属性!$A:$Y,23,0)</f>
        <v>0</v>
      </c>
      <c r="BA73" s="138">
        <f>VLOOKUP($AG73,装备属性!$A:$Y,24,0)</f>
        <v>0</v>
      </c>
      <c r="BB73" s="138">
        <f>VLOOKUP($AG73,装备属性!$A:$Y,25,0)</f>
        <v>0</v>
      </c>
    </row>
    <row r="74" spans="21:54">
      <c r="V74" s="53"/>
      <c r="AF74" s="49">
        <v>9</v>
      </c>
      <c r="AG74" s="49" t="str">
        <f>AA9</f>
        <v>蓝杖</v>
      </c>
      <c r="AH74" s="49">
        <f>VLOOKUP($AG74,装备属性!$A:$Y,5,0)</f>
        <v>10</v>
      </c>
      <c r="AI74" s="49">
        <f>VLOOKUP($AG74,装备属性!$A:$Y,6,0)</f>
        <v>10</v>
      </c>
      <c r="AJ74" s="49">
        <f>VLOOKUP($AG74,装备属性!$A:$Y,7,0)</f>
        <v>10</v>
      </c>
      <c r="AK74" s="49">
        <f>VLOOKUP($AG74,装备属性!$A:$Y,8,0)</f>
        <v>200</v>
      </c>
      <c r="AL74" s="49">
        <f>VLOOKUP($AG74,装备属性!$A:$Y,9,0)</f>
        <v>0</v>
      </c>
      <c r="AM74" s="49">
        <f>VLOOKUP($AG74,装备属性!$A:$Y,10,0)</f>
        <v>0</v>
      </c>
      <c r="AN74" s="49">
        <f>VLOOKUP($AG74,装备属性!$A:$Y,11,0)</f>
        <v>0</v>
      </c>
      <c r="AO74" s="49">
        <f>VLOOKUP($AG74,装备属性!$A:$Y,12,0)</f>
        <v>0</v>
      </c>
      <c r="AP74" s="49">
        <f>VLOOKUP($AG74,装备属性!$A:$Y,13,0)</f>
        <v>0</v>
      </c>
      <c r="AQ74" s="49">
        <f>VLOOKUP($AG74,装备属性!$A:$Y,14,0)</f>
        <v>0</v>
      </c>
      <c r="AR74" s="49">
        <f>VLOOKUP($AG74,装备属性!$A:$Y,15,0)</f>
        <v>10</v>
      </c>
      <c r="AS74" s="49">
        <f>VLOOKUP($AG74,装备属性!$A:$Y,16,0)</f>
        <v>0</v>
      </c>
      <c r="AT74" s="49">
        <f>VLOOKUP($AG74,装备属性!$A:$Y,17,0)</f>
        <v>0</v>
      </c>
      <c r="AU74" s="49">
        <f>VLOOKUP($AG74,装备属性!$A:$Y,18,0)</f>
        <v>0</v>
      </c>
      <c r="AV74" s="49">
        <f>VLOOKUP($AG74,装备属性!$A:$Y,19,0)</f>
        <v>0</v>
      </c>
      <c r="AW74" s="49">
        <f>VLOOKUP($AG74,装备属性!$A:$Y,20,0)</f>
        <v>0</v>
      </c>
      <c r="AX74" s="49">
        <f>VLOOKUP($AG74,装备属性!$A:$Y,21,0)</f>
        <v>0</v>
      </c>
      <c r="AY74" s="49">
        <f>VLOOKUP($AG74,装备属性!$A:$Y,22,0)</f>
        <v>0</v>
      </c>
      <c r="AZ74" s="138">
        <f>VLOOKUP($AG74,装备属性!$A:$Y,23,0)</f>
        <v>0</v>
      </c>
      <c r="BA74" s="138">
        <f>VLOOKUP($AG74,装备属性!$A:$Y,24,0)</f>
        <v>0</v>
      </c>
      <c r="BB74" s="138">
        <f>VLOOKUP($AG74,装备属性!$A:$Y,25,0)</f>
        <v>0</v>
      </c>
    </row>
    <row r="75" spans="21:54">
      <c r="V75" s="53"/>
      <c r="AF75" s="49">
        <v>9</v>
      </c>
      <c r="AG75" s="49" t="str">
        <f>AB9</f>
        <v>敏捷系带</v>
      </c>
      <c r="AH75" s="49">
        <f>VLOOKUP($AG75,装备属性!$A:$Y,5,0)</f>
        <v>3</v>
      </c>
      <c r="AI75" s="49">
        <f>VLOOKUP($AG75,装备属性!$A:$Y,6,0)</f>
        <v>6</v>
      </c>
      <c r="AJ75" s="49">
        <f>VLOOKUP($AG75,装备属性!$A:$Y,7,0)</f>
        <v>3</v>
      </c>
      <c r="AK75" s="49">
        <f>VLOOKUP($AG75,装备属性!$A:$Y,8,0)</f>
        <v>0</v>
      </c>
      <c r="AL75" s="49">
        <f>VLOOKUP($AG75,装备属性!$A:$Y,9,0)</f>
        <v>3</v>
      </c>
      <c r="AM75" s="49">
        <f>VLOOKUP($AG75,装备属性!$A:$Y,10,0)</f>
        <v>0</v>
      </c>
      <c r="AN75" s="49">
        <f>VLOOKUP($AG75,装备属性!$A:$Y,11,0)</f>
        <v>0</v>
      </c>
      <c r="AO75" s="49">
        <f>VLOOKUP($AG75,装备属性!$A:$Y,12,0)</f>
        <v>0</v>
      </c>
      <c r="AP75" s="49">
        <f>VLOOKUP($AG75,装备属性!$A:$Y,13,0)</f>
        <v>0</v>
      </c>
      <c r="AQ75" s="49">
        <f>VLOOKUP($AG75,装备属性!$A:$Y,14,0)</f>
        <v>0</v>
      </c>
      <c r="AR75" s="49">
        <f>VLOOKUP($AG75,装备属性!$A:$Y,15,0)</f>
        <v>0</v>
      </c>
      <c r="AS75" s="49">
        <f>VLOOKUP($AG75,装备属性!$A:$Y,16,0)</f>
        <v>0</v>
      </c>
      <c r="AT75" s="49">
        <f>VLOOKUP($AG75,装备属性!$A:$Y,17,0)</f>
        <v>0</v>
      </c>
      <c r="AU75" s="49">
        <f>VLOOKUP($AG75,装备属性!$A:$Y,18,0)</f>
        <v>0</v>
      </c>
      <c r="AV75" s="49">
        <f>VLOOKUP($AG75,装备属性!$A:$Y,19,0)</f>
        <v>0</v>
      </c>
      <c r="AW75" s="49">
        <f>VLOOKUP($AG75,装备属性!$A:$Y,20,0)</f>
        <v>0</v>
      </c>
      <c r="AX75" s="49">
        <f>VLOOKUP($AG75,装备属性!$A:$Y,21,0)</f>
        <v>0</v>
      </c>
      <c r="AY75" s="49">
        <f>VLOOKUP($AG75,装备属性!$A:$Y,22,0)</f>
        <v>0</v>
      </c>
      <c r="AZ75" s="138">
        <f>VLOOKUP($AG75,装备属性!$A:$Y,23,0)</f>
        <v>0</v>
      </c>
      <c r="BA75" s="138">
        <f>VLOOKUP($AG75,装备属性!$A:$Y,24,0)</f>
        <v>0</v>
      </c>
      <c r="BB75" s="138">
        <f>VLOOKUP($AG75,装备属性!$A:$Y,25,0)</f>
        <v>0</v>
      </c>
    </row>
    <row r="76" spans="21:54">
      <c r="AF76" s="49">
        <v>9</v>
      </c>
      <c r="AG76" s="49" t="str">
        <f>AC9</f>
        <v>飞鞋</v>
      </c>
      <c r="AH76" s="49">
        <f>VLOOKUP($AG76,装备属性!$A:$Y,5,0)</f>
        <v>25</v>
      </c>
      <c r="AI76" s="49">
        <f>VLOOKUP($AG76,装备属性!$A:$Y,6,0)</f>
        <v>25</v>
      </c>
      <c r="AJ76" s="49">
        <f>VLOOKUP($AG76,装备属性!$A:$Y,7,0)</f>
        <v>25</v>
      </c>
      <c r="AK76" s="49">
        <f>VLOOKUP($AG76,装备属性!$A:$Y,8,0)</f>
        <v>0</v>
      </c>
      <c r="AL76" s="49">
        <f>VLOOKUP($AG76,装备属性!$A:$Y,9,0)</f>
        <v>0</v>
      </c>
      <c r="AM76" s="49">
        <f>VLOOKUP($AG76,装备属性!$A:$Y,10,0)</f>
        <v>0</v>
      </c>
      <c r="AN76" s="49">
        <f>VLOOKUP($AG76,装备属性!$A:$Y,11,0)</f>
        <v>0</v>
      </c>
      <c r="AO76" s="49">
        <f>VLOOKUP($AG76,装备属性!$A:$Y,12,0)</f>
        <v>0</v>
      </c>
      <c r="AP76" s="49">
        <f>VLOOKUP($AG76,装备属性!$A:$Y,13,0)</f>
        <v>0</v>
      </c>
      <c r="AQ76" s="49">
        <f>VLOOKUP($AG76,装备属性!$A:$Y,14,0)</f>
        <v>0</v>
      </c>
      <c r="AR76" s="49">
        <f>VLOOKUP($AG76,装备属性!$A:$Y,15,0)</f>
        <v>0</v>
      </c>
      <c r="AS76" s="49">
        <f>VLOOKUP($AG76,装备属性!$A:$Y,16,0)</f>
        <v>0</v>
      </c>
      <c r="AT76" s="49">
        <f>VLOOKUP($AG76,装备属性!$A:$Y,17,0)</f>
        <v>0</v>
      </c>
      <c r="AU76" s="49">
        <f>VLOOKUP($AG76,装备属性!$A:$Y,18,0)</f>
        <v>0</v>
      </c>
      <c r="AV76" s="49">
        <f>VLOOKUP($AG76,装备属性!$A:$Y,19,0)</f>
        <v>0</v>
      </c>
      <c r="AW76" s="49">
        <f>VLOOKUP($AG76,装备属性!$A:$Y,20,0)</f>
        <v>0</v>
      </c>
      <c r="AX76" s="49">
        <f>VLOOKUP($AG76,装备属性!$A:$Y,21,0)</f>
        <v>0</v>
      </c>
      <c r="AY76" s="49">
        <f>VLOOKUP($AG76,装备属性!$A:$Y,22,0)</f>
        <v>0</v>
      </c>
      <c r="AZ76" s="138">
        <f>VLOOKUP($AG76,装备属性!$A:$Y,23,0)</f>
        <v>0</v>
      </c>
      <c r="BA76" s="138">
        <f>VLOOKUP($AG76,装备属性!$A:$Y,24,0)</f>
        <v>0</v>
      </c>
      <c r="BB76" s="138">
        <f>VLOOKUP($AG76,装备属性!$A:$Y,25,0)</f>
        <v>0</v>
      </c>
    </row>
    <row r="77" spans="21:54">
      <c r="AF77" s="49">
        <v>10</v>
      </c>
      <c r="AG77" s="49" t="str">
        <f>X10</f>
        <v>深渊之刃</v>
      </c>
      <c r="AH77" s="49">
        <f>VLOOKUP($AG77,装备属性!$A:$Y,5,0)</f>
        <v>10</v>
      </c>
      <c r="AI77" s="49">
        <f>VLOOKUP($AG77,装备属性!$A:$Y,6,0)</f>
        <v>0</v>
      </c>
      <c r="AJ77" s="49">
        <f>VLOOKUP($AG77,装备属性!$A:$Y,7,0)</f>
        <v>0</v>
      </c>
      <c r="AK77" s="49">
        <f>VLOOKUP($AG77,装备属性!$A:$Y,8,0)</f>
        <v>0</v>
      </c>
      <c r="AL77" s="49">
        <f>VLOOKUP($AG77,装备属性!$A:$Y,9,0)</f>
        <v>100</v>
      </c>
      <c r="AM77" s="49">
        <f>VLOOKUP($AG77,装备属性!$A:$Y,10,0)</f>
        <v>0</v>
      </c>
      <c r="AN77" s="49">
        <f>VLOOKUP($AG77,装备属性!$A:$Y,11,0)</f>
        <v>0</v>
      </c>
      <c r="AO77" s="49">
        <f>VLOOKUP($AG77,装备属性!$A:$Y,12,0)</f>
        <v>0</v>
      </c>
      <c r="AP77" s="49">
        <f>VLOOKUP($AG77,装备属性!$A:$Y,13,0)</f>
        <v>30</v>
      </c>
      <c r="AQ77" s="49">
        <f>VLOOKUP($AG77,装备属性!$A:$Y,14,0)</f>
        <v>0</v>
      </c>
      <c r="AR77" s="49">
        <f>VLOOKUP($AG77,装备属性!$A:$Y,15,0)</f>
        <v>0</v>
      </c>
      <c r="AS77" s="49">
        <f>VLOOKUP($AG77,装备属性!$A:$Y,16,0)</f>
        <v>0</v>
      </c>
      <c r="AT77" s="49">
        <f>VLOOKUP($AG77,装备属性!$A:$Y,17,0)</f>
        <v>0</v>
      </c>
      <c r="AU77" s="49">
        <f>VLOOKUP($AG77,装备属性!$A:$Y,18,0)</f>
        <v>0</v>
      </c>
      <c r="AV77" s="49">
        <f>VLOOKUP($AG77,装备属性!$A:$Y,19,0)</f>
        <v>0</v>
      </c>
      <c r="AW77" s="49">
        <f>VLOOKUP($AG77,装备属性!$A:$Y,20,0)</f>
        <v>0</v>
      </c>
      <c r="AX77" s="49">
        <f>VLOOKUP($AG77,装备属性!$A:$Y,21,0)</f>
        <v>0</v>
      </c>
      <c r="AY77" s="49">
        <f>VLOOKUP($AG77,装备属性!$A:$Y,22,0)</f>
        <v>0</v>
      </c>
      <c r="AZ77" s="138">
        <f>VLOOKUP($AG77,装备属性!$A:$Y,23,0)</f>
        <v>0</v>
      </c>
      <c r="BA77" s="138">
        <f>VLOOKUP($AG77,装备属性!$A:$Y,24,0)</f>
        <v>0</v>
      </c>
      <c r="BB77" s="138">
        <f>VLOOKUP($AG77,装备属性!$A:$Y,25,0)</f>
        <v>0</v>
      </c>
    </row>
    <row r="78" spans="21:54">
      <c r="AF78" s="49">
        <v>10</v>
      </c>
      <c r="AG78" s="49" t="str">
        <f>Y10</f>
        <v>龙心</v>
      </c>
      <c r="AH78" s="49">
        <f>VLOOKUP($AG78,装备属性!$A:$Y,5,0)</f>
        <v>40</v>
      </c>
      <c r="AI78" s="49">
        <f>VLOOKUP($AG78,装备属性!$A:$Y,6,0)</f>
        <v>0</v>
      </c>
      <c r="AJ78" s="49">
        <f>VLOOKUP($AG78,装备属性!$A:$Y,7,0)</f>
        <v>0</v>
      </c>
      <c r="AK78" s="49">
        <f>VLOOKUP($AG78,装备属性!$A:$Y,8,0)</f>
        <v>600</v>
      </c>
      <c r="AL78" s="49">
        <f>VLOOKUP($AG78,装备属性!$A:$Y,9,0)</f>
        <v>0</v>
      </c>
      <c r="AM78" s="49">
        <f>VLOOKUP($AG78,装备属性!$A:$Y,10,0)</f>
        <v>0</v>
      </c>
      <c r="AN78" s="49">
        <f>VLOOKUP($AG78,装备属性!$A:$Y,11,0)</f>
        <v>0</v>
      </c>
      <c r="AO78" s="49">
        <f>VLOOKUP($AG78,装备属性!$A:$Y,12,0)</f>
        <v>0</v>
      </c>
      <c r="AP78" s="49">
        <f>VLOOKUP($AG78,装备属性!$A:$Y,13,0)</f>
        <v>0</v>
      </c>
      <c r="AQ78" s="49">
        <f>VLOOKUP($AG78,装备属性!$A:$Y,14,0)</f>
        <v>0</v>
      </c>
      <c r="AR78" s="49">
        <f>VLOOKUP($AG78,装备属性!$A:$Y,15,0)</f>
        <v>0</v>
      </c>
      <c r="AS78" s="49">
        <f>VLOOKUP($AG78,装备属性!$A:$Y,16,0)</f>
        <v>0</v>
      </c>
      <c r="AT78" s="49">
        <f>VLOOKUP($AG78,装备属性!$A:$Y,17,0)</f>
        <v>0</v>
      </c>
      <c r="AU78" s="49">
        <f>VLOOKUP($AG78,装备属性!$A:$Y,18,0)</f>
        <v>0</v>
      </c>
      <c r="AV78" s="49">
        <f>VLOOKUP($AG78,装备属性!$A:$Y,19,0)</f>
        <v>0</v>
      </c>
      <c r="AW78" s="49">
        <f>VLOOKUP($AG78,装备属性!$A:$Y,20,0)</f>
        <v>600</v>
      </c>
      <c r="AX78" s="49">
        <f>VLOOKUP($AG78,装备属性!$A:$Y,21,0)</f>
        <v>0</v>
      </c>
      <c r="AY78" s="49">
        <f>VLOOKUP($AG78,装备属性!$A:$Y,22,0)</f>
        <v>0</v>
      </c>
      <c r="AZ78" s="138">
        <f>VLOOKUP($AG78,装备属性!$A:$Y,23,0)</f>
        <v>0</v>
      </c>
      <c r="BA78" s="138">
        <f>VLOOKUP($AG78,装备属性!$A:$Y,24,0)</f>
        <v>0</v>
      </c>
      <c r="BB78" s="138">
        <f>VLOOKUP($AG78,装备属性!$A:$Y,25,0)</f>
        <v>0</v>
      </c>
    </row>
    <row r="79" spans="21:54">
      <c r="AF79" s="49">
        <v>10</v>
      </c>
      <c r="AG79" s="49" t="str">
        <f>Z10</f>
        <v>狂战斧</v>
      </c>
      <c r="AH79" s="49">
        <f>VLOOKUP($AG79,装备属性!$A:$Y,5,0)</f>
        <v>0</v>
      </c>
      <c r="AI79" s="49">
        <f>VLOOKUP($AG79,装备属性!$A:$Y,6,0)</f>
        <v>0</v>
      </c>
      <c r="AJ79" s="49">
        <f>VLOOKUP($AG79,装备属性!$A:$Y,7,0)</f>
        <v>0</v>
      </c>
      <c r="AK79" s="49">
        <f>VLOOKUP($AG79,装备属性!$A:$Y,8,0)</f>
        <v>0</v>
      </c>
      <c r="AL79" s="49">
        <f>VLOOKUP($AG79,装备属性!$A:$Y,9,0)</f>
        <v>65</v>
      </c>
      <c r="AM79" s="49">
        <f>VLOOKUP($AG79,装备属性!$A:$Y,10,0)</f>
        <v>0</v>
      </c>
      <c r="AN79" s="49">
        <f>VLOOKUP($AG79,装备属性!$A:$Y,11,0)</f>
        <v>0</v>
      </c>
      <c r="AO79" s="49">
        <f>VLOOKUP($AG79,装备属性!$A:$Y,12,0)</f>
        <v>0</v>
      </c>
      <c r="AP79" s="49">
        <f>VLOOKUP($AG79,装备属性!$A:$Y,13,0)</f>
        <v>0</v>
      </c>
      <c r="AQ79" s="49">
        <f>VLOOKUP($AG79,装备属性!$A:$Y,14,0)</f>
        <v>0</v>
      </c>
      <c r="AR79" s="49">
        <f>VLOOKUP($AG79,装备属性!$A:$Y,15,0)</f>
        <v>0</v>
      </c>
      <c r="AS79" s="49">
        <f>VLOOKUP($AG79,装备属性!$A:$Y,16,0)</f>
        <v>0</v>
      </c>
      <c r="AT79" s="49">
        <f>VLOOKUP($AG79,装备属性!$A:$Y,17,0)</f>
        <v>0</v>
      </c>
      <c r="AU79" s="49">
        <f>VLOOKUP($AG79,装备属性!$A:$Y,18,0)</f>
        <v>0</v>
      </c>
      <c r="AV79" s="49">
        <f>VLOOKUP($AG79,装备属性!$A:$Y,19,0)</f>
        <v>0</v>
      </c>
      <c r="AW79" s="49">
        <f>VLOOKUP($AG79,装备属性!$A:$Y,20,0)</f>
        <v>140</v>
      </c>
      <c r="AX79" s="49">
        <f>VLOOKUP($AG79,装备属性!$A:$Y,21,0)</f>
        <v>50</v>
      </c>
      <c r="AY79" s="49">
        <f>VLOOKUP($AG79,装备属性!$A:$Y,22,0)</f>
        <v>0</v>
      </c>
      <c r="AZ79" s="138">
        <f>VLOOKUP($AG79,装备属性!$A:$Y,23,0)</f>
        <v>0</v>
      </c>
      <c r="BA79" s="138">
        <f>VLOOKUP($AG79,装备属性!$A:$Y,24,0)</f>
        <v>0</v>
      </c>
      <c r="BB79" s="138">
        <f>VLOOKUP($AG79,装备属性!$A:$Y,25,0)</f>
        <v>0</v>
      </c>
    </row>
    <row r="80" spans="21:54">
      <c r="AF80" s="49">
        <v>10</v>
      </c>
      <c r="AG80" s="49" t="str">
        <f>AA10</f>
        <v>黑黄</v>
      </c>
      <c r="AH80" s="49">
        <f>VLOOKUP($AG80,装备属性!$A:$Y,5,0)</f>
        <v>10</v>
      </c>
      <c r="AI80" s="49">
        <f>VLOOKUP($AG80,装备属性!$A:$Y,6,0)</f>
        <v>0</v>
      </c>
      <c r="AJ80" s="49">
        <f>VLOOKUP($AG80,装备属性!$A:$Y,7,0)</f>
        <v>0</v>
      </c>
      <c r="AK80" s="49">
        <f>VLOOKUP($AG80,装备属性!$A:$Y,8,0)</f>
        <v>0</v>
      </c>
      <c r="AL80" s="49">
        <f>VLOOKUP($AG80,装备属性!$A:$Y,9,0)</f>
        <v>24</v>
      </c>
      <c r="AM80" s="49">
        <f>VLOOKUP($AG80,装备属性!$A:$Y,10,0)</f>
        <v>0</v>
      </c>
      <c r="AN80" s="49">
        <f>VLOOKUP($AG80,装备属性!$A:$Y,11,0)</f>
        <v>0</v>
      </c>
      <c r="AO80" s="49">
        <f>VLOOKUP($AG80,装备属性!$A:$Y,12,0)</f>
        <v>10</v>
      </c>
      <c r="AP80" s="49">
        <f>VLOOKUP($AG80,装备属性!$A:$Y,13,0)</f>
        <v>0</v>
      </c>
      <c r="AQ80" s="49">
        <f>VLOOKUP($AG80,装备属性!$A:$Y,14,0)</f>
        <v>0</v>
      </c>
      <c r="AR80" s="49">
        <f>VLOOKUP($AG80,装备属性!$A:$Y,15,0)</f>
        <v>0</v>
      </c>
      <c r="AS80" s="49">
        <f>VLOOKUP($AG80,装备属性!$A:$Y,16,0)</f>
        <v>0</v>
      </c>
      <c r="AT80" s="49">
        <f>VLOOKUP($AG80,装备属性!$A:$Y,17,0)</f>
        <v>0</v>
      </c>
      <c r="AU80" s="49">
        <f>VLOOKUP($AG80,装备属性!$A:$Y,18,0)</f>
        <v>0</v>
      </c>
      <c r="AV80" s="49">
        <f>VLOOKUP($AG80,装备属性!$A:$Y,19,0)</f>
        <v>0</v>
      </c>
      <c r="AW80" s="49">
        <f>VLOOKUP($AG80,装备属性!$A:$Y,20,0)</f>
        <v>0</v>
      </c>
      <c r="AX80" s="49">
        <f>VLOOKUP($AG80,装备属性!$A:$Y,21,0)</f>
        <v>0</v>
      </c>
      <c r="AY80" s="49">
        <f>VLOOKUP($AG80,装备属性!$A:$Y,22,0)</f>
        <v>0</v>
      </c>
      <c r="AZ80" s="138">
        <f>VLOOKUP($AG80,装备属性!$A:$Y,23,0)</f>
        <v>0</v>
      </c>
      <c r="BA80" s="138">
        <f>VLOOKUP($AG80,装备属性!$A:$Y,24,0)</f>
        <v>0</v>
      </c>
      <c r="BB80" s="138">
        <f>VLOOKUP($AG80,装备属性!$A:$Y,25,0)</f>
        <v>0</v>
      </c>
    </row>
    <row r="81" spans="30:54">
      <c r="AF81" s="49">
        <v>10</v>
      </c>
      <c r="AG81" s="49" t="str">
        <f>AB10</f>
        <v>冲锋盾</v>
      </c>
      <c r="AH81" s="49">
        <f>VLOOKUP($AG81,装备属性!$A:$Y,5,0)</f>
        <v>0</v>
      </c>
      <c r="AI81" s="49">
        <f>VLOOKUP($AG81,装备属性!$A:$Y,6,0)</f>
        <v>0</v>
      </c>
      <c r="AJ81" s="49">
        <f>VLOOKUP($AG81,装备属性!$A:$Y,7,0)</f>
        <v>0</v>
      </c>
      <c r="AK81" s="49">
        <f>VLOOKUP($AG81,装备属性!$A:$Y,8,0)</f>
        <v>280</v>
      </c>
      <c r="AL81" s="49">
        <f>VLOOKUP($AG81,装备属性!$A:$Y,9,0)</f>
        <v>0</v>
      </c>
      <c r="AM81" s="49">
        <f>VLOOKUP($AG81,装备属性!$A:$Y,10,0)</f>
        <v>0</v>
      </c>
      <c r="AN81" s="49">
        <f>VLOOKUP($AG81,装备属性!$A:$Y,11,0)</f>
        <v>4</v>
      </c>
      <c r="AO81" s="49">
        <f>VLOOKUP($AG81,装备属性!$A:$Y,12,0)</f>
        <v>0</v>
      </c>
      <c r="AP81" s="49">
        <f>VLOOKUP($AG81,装备属性!$A:$Y,13,0)</f>
        <v>0</v>
      </c>
      <c r="AQ81" s="49">
        <f>VLOOKUP($AG81,装备属性!$A:$Y,14,0)</f>
        <v>0</v>
      </c>
      <c r="AR81" s="49">
        <f>VLOOKUP($AG81,装备属性!$A:$Y,15,0)</f>
        <v>0</v>
      </c>
      <c r="AS81" s="49">
        <f>VLOOKUP($AG81,装备属性!$A:$Y,16,0)</f>
        <v>0</v>
      </c>
      <c r="AT81" s="49">
        <f>VLOOKUP($AG81,装备属性!$A:$Y,17,0)</f>
        <v>0</v>
      </c>
      <c r="AU81" s="49">
        <f>VLOOKUP($AG81,装备属性!$A:$Y,18,0)</f>
        <v>0</v>
      </c>
      <c r="AV81" s="49">
        <f>VLOOKUP($AG81,装备属性!$A:$Y,19,0)</f>
        <v>0</v>
      </c>
      <c r="AW81" s="49">
        <f>VLOOKUP($AG81,装备属性!$A:$Y,20,0)</f>
        <v>240</v>
      </c>
      <c r="AX81" s="49">
        <f>VLOOKUP($AG81,装备属性!$A:$Y,21,0)</f>
        <v>0</v>
      </c>
      <c r="AY81" s="49">
        <f>VLOOKUP($AG81,装备属性!$A:$Y,22,0)</f>
        <v>0</v>
      </c>
      <c r="AZ81" s="138">
        <f>VLOOKUP($AG81,装备属性!$A:$Y,23,0)</f>
        <v>0</v>
      </c>
      <c r="BA81" s="138">
        <f>VLOOKUP($AG81,装备属性!$A:$Y,24,0)</f>
        <v>0</v>
      </c>
      <c r="BB81" s="138">
        <f>VLOOKUP($AG81,装备属性!$A:$Y,25,0)</f>
        <v>0</v>
      </c>
    </row>
    <row r="82" spans="30:54">
      <c r="AF82" s="49">
        <v>10</v>
      </c>
      <c r="AG82" s="49" t="str">
        <f>AC10</f>
        <v>飞鞋</v>
      </c>
      <c r="AH82" s="49">
        <f>VLOOKUP($AG82,装备属性!$A:$Y,5,0)</f>
        <v>25</v>
      </c>
      <c r="AI82" s="49">
        <f>VLOOKUP($AG82,装备属性!$A:$Y,6,0)</f>
        <v>25</v>
      </c>
      <c r="AJ82" s="49">
        <f>VLOOKUP($AG82,装备属性!$A:$Y,7,0)</f>
        <v>25</v>
      </c>
      <c r="AK82" s="49">
        <f>VLOOKUP($AG82,装备属性!$A:$Y,8,0)</f>
        <v>0</v>
      </c>
      <c r="AL82" s="49">
        <f>VLOOKUP($AG82,装备属性!$A:$Y,9,0)</f>
        <v>0</v>
      </c>
      <c r="AM82" s="49">
        <f>VLOOKUP($AG82,装备属性!$A:$Y,10,0)</f>
        <v>0</v>
      </c>
      <c r="AN82" s="49">
        <f>VLOOKUP($AG82,装备属性!$A:$Y,11,0)</f>
        <v>0</v>
      </c>
      <c r="AO82" s="49">
        <f>VLOOKUP($AG82,装备属性!$A:$Y,12,0)</f>
        <v>0</v>
      </c>
      <c r="AP82" s="49">
        <f>VLOOKUP($AG82,装备属性!$A:$Y,13,0)</f>
        <v>0</v>
      </c>
      <c r="AQ82" s="49">
        <f>VLOOKUP($AG82,装备属性!$A:$Y,14,0)</f>
        <v>0</v>
      </c>
      <c r="AR82" s="49">
        <f>VLOOKUP($AG82,装备属性!$A:$Y,15,0)</f>
        <v>0</v>
      </c>
      <c r="AS82" s="49">
        <f>VLOOKUP($AG82,装备属性!$A:$Y,16,0)</f>
        <v>0</v>
      </c>
      <c r="AT82" s="49">
        <f>VLOOKUP($AG82,装备属性!$A:$Y,17,0)</f>
        <v>0</v>
      </c>
      <c r="AU82" s="49">
        <f>VLOOKUP($AG82,装备属性!$A:$Y,18,0)</f>
        <v>0</v>
      </c>
      <c r="AV82" s="49">
        <f>VLOOKUP($AG82,装备属性!$A:$Y,19,0)</f>
        <v>0</v>
      </c>
      <c r="AW82" s="49">
        <f>VLOOKUP($AG82,装备属性!$A:$Y,20,0)</f>
        <v>0</v>
      </c>
      <c r="AX82" s="49">
        <f>VLOOKUP($AG82,装备属性!$A:$Y,21,0)</f>
        <v>0</v>
      </c>
      <c r="AY82" s="49">
        <f>VLOOKUP($AG82,装备属性!$A:$Y,22,0)</f>
        <v>0</v>
      </c>
      <c r="AZ82" s="138">
        <f>VLOOKUP($AG82,装备属性!$A:$Y,23,0)</f>
        <v>0</v>
      </c>
      <c r="BA82" s="138">
        <f>VLOOKUP($AG82,装备属性!$A:$Y,24,0)</f>
        <v>0</v>
      </c>
      <c r="BB82" s="138">
        <f>VLOOKUP($AG82,装备属性!$A:$Y,25,0)</f>
        <v>0</v>
      </c>
    </row>
    <row r="83" spans="30:54">
      <c r="AD83" s="138"/>
      <c r="AE83" s="138"/>
      <c r="AF83" s="138">
        <v>11</v>
      </c>
      <c r="AG83" s="138" t="str">
        <f>X11</f>
        <v>十字军巨盾</v>
      </c>
      <c r="AH83" s="138">
        <f>VLOOKUP($AG83,装备属性!$A:$Y,5,0)</f>
        <v>60</v>
      </c>
      <c r="AI83" s="138">
        <f>VLOOKUP($AG83,装备属性!$A:$Y,6,0)</f>
        <v>0</v>
      </c>
      <c r="AJ83" s="138">
        <f>VLOOKUP($AG83,装备属性!$A:$Y,7,0)</f>
        <v>0</v>
      </c>
      <c r="AK83" s="138">
        <f>VLOOKUP($AG83,装备属性!$A:$Y,8,0)</f>
        <v>1000</v>
      </c>
      <c r="AL83" s="138">
        <f>VLOOKUP($AG83,装备属性!$A:$Y,9,0)</f>
        <v>22</v>
      </c>
      <c r="AM83" s="138">
        <f>VLOOKUP($AG83,装备属性!$A:$Y,10,0)</f>
        <v>0</v>
      </c>
      <c r="AN83" s="138">
        <f>VLOOKUP($AG83,装备属性!$A:$Y,11,0)</f>
        <v>0</v>
      </c>
      <c r="AO83" s="138">
        <f>VLOOKUP($AG83,装备属性!$A:$Y,12,0)</f>
        <v>0</v>
      </c>
      <c r="AP83" s="138">
        <f>VLOOKUP($AG83,装备属性!$A:$Y,13,0)</f>
        <v>0</v>
      </c>
      <c r="AQ83" s="138">
        <f>VLOOKUP($AG83,装备属性!$A:$Y,14,0)</f>
        <v>0</v>
      </c>
      <c r="AR83" s="138">
        <f>VLOOKUP($AG83,装备属性!$A:$Y,15,0)</f>
        <v>0</v>
      </c>
      <c r="AS83" s="138">
        <f>VLOOKUP($AG83,装备属性!$A:$Y,16,0)</f>
        <v>0</v>
      </c>
      <c r="AT83" s="138">
        <f>VLOOKUP($AG83,装备属性!$A:$Y,17,0)</f>
        <v>0</v>
      </c>
      <c r="AU83" s="138">
        <f>VLOOKUP($AG83,装备属性!$A:$Y,18,0)</f>
        <v>0</v>
      </c>
      <c r="AV83" s="138">
        <f>VLOOKUP($AG83,装备属性!$A:$Y,19,0)</f>
        <v>0</v>
      </c>
      <c r="AW83" s="138">
        <f>VLOOKUP($AG83,装备属性!$A:$Y,20,0)</f>
        <v>400</v>
      </c>
      <c r="AX83" s="138">
        <f>VLOOKUP($AG83,装备属性!$A:$Y,21,0)</f>
        <v>0</v>
      </c>
      <c r="AY83" s="138">
        <f>VLOOKUP($AG83,装备属性!$A:$Y,22,0)</f>
        <v>0</v>
      </c>
      <c r="AZ83" s="138">
        <f>VLOOKUP($AG83,装备属性!$A:$Y,23,0)</f>
        <v>0</v>
      </c>
      <c r="BA83" s="138">
        <f>VLOOKUP($AG83,装备属性!$A:$Y,24,0)</f>
        <v>0</v>
      </c>
      <c r="BB83" s="138">
        <f>VLOOKUP($AG83,装备属性!$A:$Y,25,0)</f>
        <v>0</v>
      </c>
    </row>
    <row r="84" spans="30:54">
      <c r="AD84" s="138"/>
      <c r="AE84" s="138"/>
      <c r="AF84" s="138">
        <v>11</v>
      </c>
      <c r="AG84" s="138" t="str">
        <f>Y11</f>
        <v>鹰羽指环</v>
      </c>
      <c r="AH84" s="138">
        <f>VLOOKUP($AG84,装备属性!$A:$Y,5,0)</f>
        <v>0</v>
      </c>
      <c r="AI84" s="138">
        <f>VLOOKUP($AG84,装备属性!$A:$Y,6,0)</f>
        <v>36</v>
      </c>
      <c r="AJ84" s="138">
        <f>VLOOKUP($AG84,装备属性!$A:$Y,7,0)</f>
        <v>0</v>
      </c>
      <c r="AK84" s="138">
        <f>VLOOKUP($AG84,装备属性!$A:$Y,8,0)</f>
        <v>0</v>
      </c>
      <c r="AL84" s="138">
        <f>VLOOKUP($AG84,装备属性!$A:$Y,9,0)</f>
        <v>0</v>
      </c>
      <c r="AM84" s="138">
        <f>VLOOKUP($AG84,装备属性!$A:$Y,10,0)</f>
        <v>0</v>
      </c>
      <c r="AN84" s="138">
        <f>VLOOKUP($AG84,装备属性!$A:$Y,11,0)</f>
        <v>0</v>
      </c>
      <c r="AO84" s="138">
        <f>VLOOKUP($AG84,装备属性!$A:$Y,12,0)</f>
        <v>0</v>
      </c>
      <c r="AP84" s="138">
        <f>VLOOKUP($AG84,装备属性!$A:$Y,13,0)</f>
        <v>0</v>
      </c>
      <c r="AQ84" s="138">
        <f>VLOOKUP($AG84,装备属性!$A:$Y,14,0)</f>
        <v>0</v>
      </c>
      <c r="AR84" s="138">
        <f>VLOOKUP($AG84,装备属性!$A:$Y,15,0)</f>
        <v>0</v>
      </c>
      <c r="AS84" s="138">
        <f>VLOOKUP($AG84,装备属性!$A:$Y,16,0)</f>
        <v>0</v>
      </c>
      <c r="AT84" s="138">
        <f>VLOOKUP($AG84,装备属性!$A:$Y,17,0)</f>
        <v>0</v>
      </c>
      <c r="AU84" s="138">
        <f>VLOOKUP($AG84,装备属性!$A:$Y,18,0)</f>
        <v>0</v>
      </c>
      <c r="AV84" s="138">
        <f>VLOOKUP($AG84,装备属性!$A:$Y,19,0)</f>
        <v>0</v>
      </c>
      <c r="AW84" s="138">
        <f>VLOOKUP($AG84,装备属性!$A:$Y,20,0)</f>
        <v>0</v>
      </c>
      <c r="AX84" s="138">
        <f>VLOOKUP($AG84,装备属性!$A:$Y,21,0)</f>
        <v>0</v>
      </c>
      <c r="AY84" s="138">
        <f>VLOOKUP($AG84,装备属性!$A:$Y,22,0)</f>
        <v>0</v>
      </c>
      <c r="AZ84" s="138">
        <f>VLOOKUP($AG84,装备属性!$A:$Y,23,0)</f>
        <v>0</v>
      </c>
      <c r="BA84" s="138">
        <f>VLOOKUP($AG84,装备属性!$A:$Y,24,0)</f>
        <v>0</v>
      </c>
      <c r="BB84" s="138">
        <f>VLOOKUP($AG84,装备属性!$A:$Y,25,0)</f>
        <v>0</v>
      </c>
    </row>
    <row r="85" spans="30:54">
      <c r="AD85" s="138"/>
      <c r="AE85" s="138"/>
      <c r="AF85" s="138">
        <v>11</v>
      </c>
      <c r="AG85" s="138" t="str">
        <f>Z11</f>
        <v>林肯</v>
      </c>
      <c r="AH85" s="138">
        <f>VLOOKUP($AG85,装备属性!$A:$Y,5,0)</f>
        <v>15</v>
      </c>
      <c r="AI85" s="138">
        <f>VLOOKUP($AG85,装备属性!$A:$Y,6,0)</f>
        <v>15</v>
      </c>
      <c r="AJ85" s="138">
        <f>VLOOKUP($AG85,装备属性!$A:$Y,7,0)</f>
        <v>15</v>
      </c>
      <c r="AK85" s="138">
        <f>VLOOKUP($AG85,装备属性!$A:$Y,8,0)</f>
        <v>0</v>
      </c>
      <c r="AL85" s="138">
        <f>VLOOKUP($AG85,装备属性!$A:$Y,9,0)</f>
        <v>10</v>
      </c>
      <c r="AM85" s="138">
        <f>VLOOKUP($AG85,装备属性!$A:$Y,10,0)</f>
        <v>0</v>
      </c>
      <c r="AN85" s="138">
        <f>VLOOKUP($AG85,装备属性!$A:$Y,11,0)</f>
        <v>0</v>
      </c>
      <c r="AO85" s="138">
        <f>VLOOKUP($AG85,装备属性!$A:$Y,12,0)</f>
        <v>15</v>
      </c>
      <c r="AP85" s="138">
        <f>VLOOKUP($AG85,装备属性!$A:$Y,13,0)</f>
        <v>0</v>
      </c>
      <c r="AQ85" s="138">
        <f>VLOOKUP($AG85,装备属性!$A:$Y,14,0)</f>
        <v>0</v>
      </c>
      <c r="AR85" s="138">
        <f>VLOOKUP($AG85,装备属性!$A:$Y,15,0)</f>
        <v>0</v>
      </c>
      <c r="AS85" s="138">
        <f>VLOOKUP($AG85,装备属性!$A:$Y,16,0)</f>
        <v>0</v>
      </c>
      <c r="AT85" s="138">
        <f>VLOOKUP($AG85,装备属性!$A:$Y,17,0)</f>
        <v>0</v>
      </c>
      <c r="AU85" s="138">
        <f>VLOOKUP($AG85,装备属性!$A:$Y,18,0)</f>
        <v>0</v>
      </c>
      <c r="AV85" s="138">
        <f>VLOOKUP($AG85,装备属性!$A:$Y,19,0)</f>
        <v>0</v>
      </c>
      <c r="AW85" s="138">
        <f>VLOOKUP($AG85,装备属性!$A:$Y,20,0)</f>
        <v>0</v>
      </c>
      <c r="AX85" s="138">
        <f>VLOOKUP($AG85,装备属性!$A:$Y,21,0)</f>
        <v>0</v>
      </c>
      <c r="AY85" s="138">
        <f>VLOOKUP($AG85,装备属性!$A:$Y,22,0)</f>
        <v>0</v>
      </c>
      <c r="AZ85" s="138">
        <f>VLOOKUP($AG85,装备属性!$A:$Y,23,0)</f>
        <v>0</v>
      </c>
      <c r="BA85" s="138">
        <f>VLOOKUP($AG85,装备属性!$A:$Y,24,0)</f>
        <v>0</v>
      </c>
      <c r="BB85" s="138">
        <f>VLOOKUP($AG85,装备属性!$A:$Y,25,0)</f>
        <v>0</v>
      </c>
    </row>
    <row r="86" spans="30:54">
      <c r="AD86" s="138"/>
      <c r="AE86" s="138"/>
      <c r="AF86" s="138">
        <v>11</v>
      </c>
      <c r="AG86" s="138" t="str">
        <f>AA11</f>
        <v>神圣种子</v>
      </c>
      <c r="AH86" s="138">
        <f>VLOOKUP($AG86,装备属性!$A:$Y,5,0)</f>
        <v>0</v>
      </c>
      <c r="AI86" s="138">
        <f>VLOOKUP($AG86,装备属性!$A:$Y,6,0)</f>
        <v>0</v>
      </c>
      <c r="AJ86" s="138">
        <f>VLOOKUP($AG86,装备属性!$A:$Y,7,0)</f>
        <v>0</v>
      </c>
      <c r="AK86" s="138">
        <f>VLOOKUP($AG86,装备属性!$A:$Y,8,0)</f>
        <v>0</v>
      </c>
      <c r="AL86" s="138">
        <f>VLOOKUP($AG86,装备属性!$A:$Y,9,0)</f>
        <v>0</v>
      </c>
      <c r="AM86" s="138">
        <f>VLOOKUP($AG86,装备属性!$A:$Y,10,0)</f>
        <v>0</v>
      </c>
      <c r="AN86" s="138">
        <f>VLOOKUP($AG86,装备属性!$A:$Y,11,0)</f>
        <v>0</v>
      </c>
      <c r="AO86" s="138">
        <f>VLOOKUP($AG86,装备属性!$A:$Y,12,0)</f>
        <v>0</v>
      </c>
      <c r="AP86" s="138">
        <f>VLOOKUP($AG86,装备属性!$A:$Y,13,0)</f>
        <v>0</v>
      </c>
      <c r="AQ86" s="138">
        <f>VLOOKUP($AG86,装备属性!$A:$Y,14,0)</f>
        <v>0</v>
      </c>
      <c r="AR86" s="138">
        <f>VLOOKUP($AG86,装备属性!$A:$Y,15,0)</f>
        <v>0</v>
      </c>
      <c r="AS86" s="138">
        <f>VLOOKUP($AG86,装备属性!$A:$Y,16,0)</f>
        <v>0</v>
      </c>
      <c r="AT86" s="138">
        <f>VLOOKUP($AG86,装备属性!$A:$Y,17,0)</f>
        <v>0</v>
      </c>
      <c r="AU86" s="138">
        <f>VLOOKUP($AG86,装备属性!$A:$Y,18,0)</f>
        <v>0</v>
      </c>
      <c r="AV86" s="138">
        <f>VLOOKUP($AG86,装备属性!$A:$Y,19,0)</f>
        <v>0</v>
      </c>
      <c r="AW86" s="138">
        <f>VLOOKUP($AG86,装备属性!$A:$Y,20,0)</f>
        <v>0</v>
      </c>
      <c r="AX86" s="138">
        <f>VLOOKUP($AG86,装备属性!$A:$Y,21,0)</f>
        <v>0</v>
      </c>
      <c r="AY86" s="138">
        <f>VLOOKUP($AG86,装备属性!$A:$Y,22,0)</f>
        <v>12</v>
      </c>
      <c r="AZ86" s="138">
        <f>VLOOKUP($AG86,装备属性!$A:$Y,23,0)</f>
        <v>0</v>
      </c>
      <c r="BA86" s="138">
        <f>VLOOKUP($AG86,装备属性!$A:$Y,24,0)</f>
        <v>0</v>
      </c>
      <c r="BB86" s="138">
        <f>VLOOKUP($AG86,装备属性!$A:$Y,25,0)</f>
        <v>0</v>
      </c>
    </row>
    <row r="87" spans="30:54">
      <c r="AD87" s="138"/>
      <c r="AE87" s="138"/>
      <c r="AF87" s="138">
        <v>11</v>
      </c>
      <c r="AG87" s="138" t="str">
        <f>AB11</f>
        <v>极限球</v>
      </c>
      <c r="AH87" s="138">
        <f>VLOOKUP($AG87,装备属性!$A:$Y,5,0)</f>
        <v>10</v>
      </c>
      <c r="AI87" s="138">
        <f>VLOOKUP($AG87,装备属性!$A:$Y,6,0)</f>
        <v>10</v>
      </c>
      <c r="AJ87" s="138">
        <f>VLOOKUP($AG87,装备属性!$A:$Y,7,0)</f>
        <v>10</v>
      </c>
      <c r="AK87" s="138">
        <f>VLOOKUP($AG87,装备属性!$A:$Y,8,0)</f>
        <v>0</v>
      </c>
      <c r="AL87" s="138">
        <f>VLOOKUP($AG87,装备属性!$A:$Y,9,0)</f>
        <v>0</v>
      </c>
      <c r="AM87" s="138">
        <f>VLOOKUP($AG87,装备属性!$A:$Y,10,0)</f>
        <v>0</v>
      </c>
      <c r="AN87" s="138">
        <f>VLOOKUP($AG87,装备属性!$A:$Y,11,0)</f>
        <v>0</v>
      </c>
      <c r="AO87" s="138">
        <f>VLOOKUP($AG87,装备属性!$A:$Y,12,0)</f>
        <v>0</v>
      </c>
      <c r="AP87" s="138">
        <f>VLOOKUP($AG87,装备属性!$A:$Y,13,0)</f>
        <v>0</v>
      </c>
      <c r="AQ87" s="138">
        <f>VLOOKUP($AG87,装备属性!$A:$Y,14,0)</f>
        <v>0</v>
      </c>
      <c r="AR87" s="138">
        <f>VLOOKUP($AG87,装备属性!$A:$Y,15,0)</f>
        <v>0</v>
      </c>
      <c r="AS87" s="138">
        <f>VLOOKUP($AG87,装备属性!$A:$Y,16,0)</f>
        <v>0</v>
      </c>
      <c r="AT87" s="138">
        <f>VLOOKUP($AG87,装备属性!$A:$Y,17,0)</f>
        <v>0</v>
      </c>
      <c r="AU87" s="138">
        <f>VLOOKUP($AG87,装备属性!$A:$Y,18,0)</f>
        <v>0</v>
      </c>
      <c r="AV87" s="138">
        <f>VLOOKUP($AG87,装备属性!$A:$Y,19,0)</f>
        <v>0</v>
      </c>
      <c r="AW87" s="138">
        <f>VLOOKUP($AG87,装备属性!$A:$Y,20,0)</f>
        <v>0</v>
      </c>
      <c r="AX87" s="138">
        <f>VLOOKUP($AG87,装备属性!$A:$Y,21,0)</f>
        <v>0</v>
      </c>
      <c r="AY87" s="138">
        <f>VLOOKUP($AG87,装备属性!$A:$Y,22,0)</f>
        <v>0</v>
      </c>
      <c r="AZ87" s="138">
        <f>VLOOKUP($AG87,装备属性!$A:$Y,23,0)</f>
        <v>0</v>
      </c>
      <c r="BA87" s="138">
        <f>VLOOKUP($AG87,装备属性!$A:$Y,24,0)</f>
        <v>0</v>
      </c>
      <c r="BB87" s="138">
        <f>VLOOKUP($AG87,装备属性!$A:$Y,25,0)</f>
        <v>0</v>
      </c>
    </row>
    <row r="88" spans="30:54">
      <c r="AD88" s="138"/>
      <c r="AE88" s="138"/>
      <c r="AF88" s="138">
        <v>11</v>
      </c>
      <c r="AG88" s="138" t="str">
        <f>AC11</f>
        <v>疾行鞋</v>
      </c>
      <c r="AH88" s="138">
        <f>VLOOKUP($AG88,装备属性!$A:$Y,5,0)</f>
        <v>31</v>
      </c>
      <c r="AI88" s="138">
        <f>VLOOKUP($AG88,装备属性!$A:$Y,6,0)</f>
        <v>31</v>
      </c>
      <c r="AJ88" s="138">
        <f>VLOOKUP($AG88,装备属性!$A:$Y,7,0)</f>
        <v>31</v>
      </c>
      <c r="AK88" s="138">
        <f>VLOOKUP($AG88,装备属性!$A:$Y,8,0)</f>
        <v>0</v>
      </c>
      <c r="AL88" s="138">
        <f>VLOOKUP($AG88,装备属性!$A:$Y,9,0)</f>
        <v>0</v>
      </c>
      <c r="AM88" s="138">
        <f>VLOOKUP($AG88,装备属性!$A:$Y,10,0)</f>
        <v>0</v>
      </c>
      <c r="AN88" s="138">
        <f>VLOOKUP($AG88,装备属性!$A:$Y,11,0)</f>
        <v>0</v>
      </c>
      <c r="AO88" s="138">
        <f>VLOOKUP($AG88,装备属性!$A:$Y,12,0)</f>
        <v>0</v>
      </c>
      <c r="AP88" s="138">
        <f>VLOOKUP($AG88,装备属性!$A:$Y,13,0)</f>
        <v>0</v>
      </c>
      <c r="AQ88" s="138">
        <f>VLOOKUP($AG88,装备属性!$A:$Y,14,0)</f>
        <v>0</v>
      </c>
      <c r="AR88" s="138">
        <f>VLOOKUP($AG88,装备属性!$A:$Y,15,0)</f>
        <v>0</v>
      </c>
      <c r="AS88" s="138">
        <f>VLOOKUP($AG88,装备属性!$A:$Y,16,0)</f>
        <v>0</v>
      </c>
      <c r="AT88" s="138">
        <f>VLOOKUP($AG88,装备属性!$A:$Y,17,0)</f>
        <v>0</v>
      </c>
      <c r="AU88" s="138">
        <f>VLOOKUP($AG88,装备属性!$A:$Y,18,0)</f>
        <v>0</v>
      </c>
      <c r="AV88" s="138">
        <f>VLOOKUP($AG88,装备属性!$A:$Y,19,0)</f>
        <v>0</v>
      </c>
      <c r="AW88" s="138">
        <f>VLOOKUP($AG88,装备属性!$A:$Y,20,0)</f>
        <v>0</v>
      </c>
      <c r="AX88" s="138">
        <f>VLOOKUP($AG88,装备属性!$A:$Y,21,0)</f>
        <v>0</v>
      </c>
      <c r="AY88" s="138">
        <f>VLOOKUP($AG88,装备属性!$A:$Y,22,0)</f>
        <v>0</v>
      </c>
      <c r="AZ88" s="138">
        <f>VLOOKUP($AG88,装备属性!$A:$Y,23,0)</f>
        <v>0</v>
      </c>
      <c r="BA88" s="138">
        <f>VLOOKUP($AG88,装备属性!$A:$Y,24,0)</f>
        <v>0</v>
      </c>
      <c r="BB88" s="138">
        <f>VLOOKUP($AG88,装备属性!$A:$Y,25,0)</f>
        <v>0</v>
      </c>
    </row>
    <row r="89" spans="30:54">
      <c r="AD89" s="138"/>
      <c r="AE89" s="138"/>
      <c r="AF89" s="138">
        <v>12</v>
      </c>
      <c r="AG89" s="138" t="str">
        <f>X12</f>
        <v>地覆</v>
      </c>
      <c r="AH89" s="138">
        <f>VLOOKUP($AG89,装备属性!$A:$Y,5,0)</f>
        <v>60</v>
      </c>
      <c r="AI89" s="138">
        <f>VLOOKUP($AG89,装备属性!$A:$Y,6,0)</f>
        <v>0</v>
      </c>
      <c r="AJ89" s="138">
        <f>VLOOKUP($AG89,装备属性!$A:$Y,7,0)</f>
        <v>0</v>
      </c>
      <c r="AK89" s="138">
        <f>VLOOKUP($AG89,装备属性!$A:$Y,8,0)</f>
        <v>0</v>
      </c>
      <c r="AL89" s="138">
        <f>VLOOKUP($AG89,装备属性!$A:$Y,9,0)</f>
        <v>100</v>
      </c>
      <c r="AM89" s="138">
        <f>VLOOKUP($AG89,装备属性!$A:$Y,10,0)</f>
        <v>0</v>
      </c>
      <c r="AN89" s="138">
        <f>VLOOKUP($AG89,装备属性!$A:$Y,11,0)</f>
        <v>0</v>
      </c>
      <c r="AO89" s="138">
        <f>VLOOKUP($AG89,装备属性!$A:$Y,12,0)</f>
        <v>0</v>
      </c>
      <c r="AP89" s="138">
        <f>VLOOKUP($AG89,装备属性!$A:$Y,13,0)</f>
        <v>0</v>
      </c>
      <c r="AQ89" s="138">
        <f>VLOOKUP($AG89,装备属性!$A:$Y,14,0)</f>
        <v>0</v>
      </c>
      <c r="AR89" s="138">
        <f>VLOOKUP($AG89,装备属性!$A:$Y,15,0)</f>
        <v>0</v>
      </c>
      <c r="AS89" s="138">
        <f>VLOOKUP($AG89,装备属性!$A:$Y,16,0)</f>
        <v>0</v>
      </c>
      <c r="AT89" s="138">
        <f>VLOOKUP($AG89,装备属性!$A:$Y,17,0)</f>
        <v>0</v>
      </c>
      <c r="AU89" s="138">
        <f>VLOOKUP($AG89,装备属性!$A:$Y,18,0)</f>
        <v>0</v>
      </c>
      <c r="AV89" s="138">
        <f>VLOOKUP($AG89,装备属性!$A:$Y,19,0)</f>
        <v>0</v>
      </c>
      <c r="AW89" s="138">
        <f>VLOOKUP($AG89,装备属性!$A:$Y,20,0)</f>
        <v>200</v>
      </c>
      <c r="AX89" s="138">
        <f>VLOOKUP($AG89,装备属性!$A:$Y,21,0)</f>
        <v>50</v>
      </c>
      <c r="AY89" s="138">
        <f>VLOOKUP($AG89,装备属性!$A:$Y,22,0)</f>
        <v>0</v>
      </c>
      <c r="AZ89" s="138">
        <f>VLOOKUP($AG89,装备属性!$A:$Y,23,0)</f>
        <v>0</v>
      </c>
      <c r="BA89" s="138">
        <f>VLOOKUP($AG89,装备属性!$A:$Y,24,0)</f>
        <v>0</v>
      </c>
      <c r="BB89" s="138">
        <f>VLOOKUP($AG89,装备属性!$A:$Y,25,0)</f>
        <v>0</v>
      </c>
    </row>
    <row r="90" spans="30:54">
      <c r="AD90" s="138"/>
      <c r="AE90" s="138"/>
      <c r="AF90" s="138">
        <v>12</v>
      </c>
      <c r="AG90" s="138" t="str">
        <f>Y12</f>
        <v>麒麟弯刀</v>
      </c>
      <c r="AH90" s="138">
        <f>VLOOKUP($AG90,装备属性!$A:$Y,5,0)</f>
        <v>0</v>
      </c>
      <c r="AI90" s="138">
        <f>VLOOKUP($AG90,装备属性!$A:$Y,6,0)</f>
        <v>0</v>
      </c>
      <c r="AJ90" s="138">
        <f>VLOOKUP($AG90,装备属性!$A:$Y,7,0)</f>
        <v>0</v>
      </c>
      <c r="AK90" s="138">
        <f>VLOOKUP($AG90,装备属性!$A:$Y,8,0)</f>
        <v>0</v>
      </c>
      <c r="AL90" s="138">
        <f>VLOOKUP($AG90,装备属性!$A:$Y,9,0)</f>
        <v>90</v>
      </c>
      <c r="AM90" s="138">
        <f>VLOOKUP($AG90,装备属性!$A:$Y,10,0)</f>
        <v>0</v>
      </c>
      <c r="AN90" s="138">
        <f>VLOOKUP($AG90,装备属性!$A:$Y,11,0)</f>
        <v>0</v>
      </c>
      <c r="AO90" s="138">
        <f>VLOOKUP($AG90,装备属性!$A:$Y,12,0)</f>
        <v>0</v>
      </c>
      <c r="AP90" s="138">
        <f>VLOOKUP($AG90,装备属性!$A:$Y,13,0)</f>
        <v>0</v>
      </c>
      <c r="AQ90" s="138">
        <f>VLOOKUP($AG90,装备属性!$A:$Y,14,0)</f>
        <v>0</v>
      </c>
      <c r="AR90" s="138">
        <f>VLOOKUP($AG90,装备属性!$A:$Y,15,0)</f>
        <v>0</v>
      </c>
      <c r="AS90" s="138">
        <f>VLOOKUP($AG90,装备属性!$A:$Y,16,0)</f>
        <v>0</v>
      </c>
      <c r="AT90" s="138">
        <f>VLOOKUP($AG90,装备属性!$A:$Y,17,0)</f>
        <v>0</v>
      </c>
      <c r="AU90" s="138">
        <f>VLOOKUP($AG90,装备属性!$A:$Y,18,0)</f>
        <v>0</v>
      </c>
      <c r="AV90" s="138">
        <f>VLOOKUP($AG90,装备属性!$A:$Y,19,0)</f>
        <v>0</v>
      </c>
      <c r="AW90" s="138">
        <f>VLOOKUP($AG90,装备属性!$A:$Y,20,0)</f>
        <v>0</v>
      </c>
      <c r="AX90" s="138">
        <f>VLOOKUP($AG90,装备属性!$A:$Y,21,0)</f>
        <v>0</v>
      </c>
      <c r="AY90" s="138">
        <f>VLOOKUP($AG90,装备属性!$A:$Y,22,0)</f>
        <v>0</v>
      </c>
      <c r="AZ90" s="138">
        <f>VLOOKUP($AG90,装备属性!$A:$Y,23,0)</f>
        <v>0</v>
      </c>
      <c r="BA90" s="138">
        <f>VLOOKUP($AG90,装备属性!$A:$Y,24,0)</f>
        <v>0</v>
      </c>
      <c r="BB90" s="138">
        <f>VLOOKUP($AG90,装备属性!$A:$Y,25,0)</f>
        <v>0</v>
      </c>
    </row>
    <row r="91" spans="30:54">
      <c r="AD91" s="138"/>
      <c r="AE91" s="138"/>
      <c r="AF91" s="138">
        <v>12</v>
      </c>
      <c r="AG91" s="138" t="str">
        <f>Z12</f>
        <v>振奋石</v>
      </c>
      <c r="AH91" s="138">
        <f>VLOOKUP($AG91,装备属性!$A:$Y,5,0)</f>
        <v>0</v>
      </c>
      <c r="AI91" s="138">
        <f>VLOOKUP($AG91,装备属性!$A:$Y,6,0)</f>
        <v>0</v>
      </c>
      <c r="AJ91" s="138">
        <f>VLOOKUP($AG91,装备属性!$A:$Y,7,0)</f>
        <v>0</v>
      </c>
      <c r="AK91" s="138">
        <f>VLOOKUP($AG91,装备属性!$A:$Y,8,0)</f>
        <v>0</v>
      </c>
      <c r="AL91" s="138">
        <f>VLOOKUP($AG91,装备属性!$A:$Y,9,0)</f>
        <v>0</v>
      </c>
      <c r="AM91" s="138">
        <f>VLOOKUP($AG91,装备属性!$A:$Y,10,0)</f>
        <v>0</v>
      </c>
      <c r="AN91" s="138">
        <f>VLOOKUP($AG91,装备属性!$A:$Y,11,0)</f>
        <v>0</v>
      </c>
      <c r="AO91" s="138">
        <f>VLOOKUP($AG91,装备属性!$A:$Y,12,0)</f>
        <v>0</v>
      </c>
      <c r="AP91" s="138">
        <f>VLOOKUP($AG91,装备属性!$A:$Y,13,0)</f>
        <v>25</v>
      </c>
      <c r="AQ91" s="138">
        <f>VLOOKUP($AG91,装备属性!$A:$Y,14,0)</f>
        <v>0</v>
      </c>
      <c r="AR91" s="138">
        <f>VLOOKUP($AG91,装备属性!$A:$Y,15,0)</f>
        <v>0</v>
      </c>
      <c r="AS91" s="138">
        <f>VLOOKUP($AG91,装备属性!$A:$Y,16,0)</f>
        <v>0</v>
      </c>
      <c r="AT91" s="138">
        <f>VLOOKUP($AG91,装备属性!$A:$Y,17,0)</f>
        <v>0</v>
      </c>
      <c r="AU91" s="138">
        <f>VLOOKUP($AG91,装备属性!$A:$Y,18,0)</f>
        <v>0</v>
      </c>
      <c r="AV91" s="138">
        <f>VLOOKUP($AG91,装备属性!$A:$Y,19,0)</f>
        <v>0</v>
      </c>
      <c r="AW91" s="138">
        <f>VLOOKUP($AG91,装备属性!$A:$Y,20,0)</f>
        <v>0</v>
      </c>
      <c r="AX91" s="138">
        <f>VLOOKUP($AG91,装备属性!$A:$Y,21,0)</f>
        <v>0</v>
      </c>
      <c r="AY91" s="138">
        <f>VLOOKUP($AG91,装备属性!$A:$Y,22,0)</f>
        <v>0</v>
      </c>
      <c r="AZ91" s="138">
        <f>VLOOKUP($AG91,装备属性!$A:$Y,23,0)</f>
        <v>0</v>
      </c>
      <c r="BA91" s="138">
        <f>VLOOKUP($AG91,装备属性!$A:$Y,24,0)</f>
        <v>0</v>
      </c>
      <c r="BB91" s="138">
        <f>VLOOKUP($AG91,装备属性!$A:$Y,25,0)</f>
        <v>0</v>
      </c>
    </row>
    <row r="92" spans="30:54">
      <c r="AD92" s="138"/>
      <c r="AE92" s="138"/>
      <c r="AF92" s="138">
        <v>12</v>
      </c>
      <c r="AG92" s="138" t="str">
        <f>AA12</f>
        <v>角鹰弓</v>
      </c>
      <c r="AH92" s="138">
        <f>VLOOKUP($AG92,装备属性!$A:$Y,5,0)</f>
        <v>0</v>
      </c>
      <c r="AI92" s="138">
        <f>VLOOKUP($AG92,装备属性!$A:$Y,6,0)</f>
        <v>25</v>
      </c>
      <c r="AJ92" s="138">
        <f>VLOOKUP($AG92,装备属性!$A:$Y,7,0)</f>
        <v>0</v>
      </c>
      <c r="AK92" s="138">
        <f>VLOOKUP($AG92,装备属性!$A:$Y,8,0)</f>
        <v>0</v>
      </c>
      <c r="AL92" s="138">
        <f>VLOOKUP($AG92,装备属性!$A:$Y,9,0)</f>
        <v>0</v>
      </c>
      <c r="AM92" s="138">
        <f>VLOOKUP($AG92,装备属性!$A:$Y,10,0)</f>
        <v>0</v>
      </c>
      <c r="AN92" s="138">
        <f>VLOOKUP($AG92,装备属性!$A:$Y,11,0)</f>
        <v>0</v>
      </c>
      <c r="AO92" s="138">
        <f>VLOOKUP($AG92,装备属性!$A:$Y,12,0)</f>
        <v>0</v>
      </c>
      <c r="AP92" s="138">
        <f>VLOOKUP($AG92,装备属性!$A:$Y,13,0)</f>
        <v>0</v>
      </c>
      <c r="AQ92" s="138">
        <f>VLOOKUP($AG92,装备属性!$A:$Y,14,0)</f>
        <v>0</v>
      </c>
      <c r="AR92" s="138">
        <f>VLOOKUP($AG92,装备属性!$A:$Y,15,0)</f>
        <v>0</v>
      </c>
      <c r="AS92" s="138">
        <f>VLOOKUP($AG92,装备属性!$A:$Y,16,0)</f>
        <v>0</v>
      </c>
      <c r="AT92" s="138">
        <f>VLOOKUP($AG92,装备属性!$A:$Y,17,0)</f>
        <v>0</v>
      </c>
      <c r="AU92" s="138">
        <f>VLOOKUP($AG92,装备属性!$A:$Y,18,0)</f>
        <v>0</v>
      </c>
      <c r="AV92" s="138">
        <f>VLOOKUP($AG92,装备属性!$A:$Y,19,0)</f>
        <v>0</v>
      </c>
      <c r="AW92" s="138">
        <f>VLOOKUP($AG92,装备属性!$A:$Y,20,0)</f>
        <v>0</v>
      </c>
      <c r="AX92" s="138">
        <f>VLOOKUP($AG92,装备属性!$A:$Y,21,0)</f>
        <v>0</v>
      </c>
      <c r="AY92" s="138">
        <f>VLOOKUP($AG92,装备属性!$A:$Y,22,0)</f>
        <v>0</v>
      </c>
      <c r="AZ92" s="138">
        <f>VLOOKUP($AG92,装备属性!$A:$Y,23,0)</f>
        <v>0</v>
      </c>
      <c r="BA92" s="138">
        <f>VLOOKUP($AG92,装备属性!$A:$Y,24,0)</f>
        <v>0</v>
      </c>
      <c r="BB92" s="138">
        <f>VLOOKUP($AG92,装备属性!$A:$Y,25,0)</f>
        <v>0</v>
      </c>
    </row>
    <row r="93" spans="30:54">
      <c r="AD93" s="138"/>
      <c r="AE93" s="138"/>
      <c r="AF93" s="138">
        <v>12</v>
      </c>
      <c r="AG93" s="138" t="str">
        <f>AB12</f>
        <v>疾行鞋</v>
      </c>
      <c r="AH93" s="138">
        <f>VLOOKUP($AG93,装备属性!$A:$Y,5,0)</f>
        <v>31</v>
      </c>
      <c r="AI93" s="138">
        <f>VLOOKUP($AG93,装备属性!$A:$Y,6,0)</f>
        <v>31</v>
      </c>
      <c r="AJ93" s="138">
        <f>VLOOKUP($AG93,装备属性!$A:$Y,7,0)</f>
        <v>31</v>
      </c>
      <c r="AK93" s="138">
        <f>VLOOKUP($AG93,装备属性!$A:$Y,8,0)</f>
        <v>0</v>
      </c>
      <c r="AL93" s="138">
        <f>VLOOKUP($AG93,装备属性!$A:$Y,9,0)</f>
        <v>0</v>
      </c>
      <c r="AM93" s="138">
        <f>VLOOKUP($AG93,装备属性!$A:$Y,10,0)</f>
        <v>0</v>
      </c>
      <c r="AN93" s="138">
        <f>VLOOKUP($AG93,装备属性!$A:$Y,11,0)</f>
        <v>0</v>
      </c>
      <c r="AO93" s="138">
        <f>VLOOKUP($AG93,装备属性!$A:$Y,12,0)</f>
        <v>0</v>
      </c>
      <c r="AP93" s="138">
        <f>VLOOKUP($AG93,装备属性!$A:$Y,13,0)</f>
        <v>0</v>
      </c>
      <c r="AQ93" s="138">
        <f>VLOOKUP($AG93,装备属性!$A:$Y,14,0)</f>
        <v>0</v>
      </c>
      <c r="AR93" s="138">
        <f>VLOOKUP($AG93,装备属性!$A:$Y,15,0)</f>
        <v>0</v>
      </c>
      <c r="AS93" s="138">
        <f>VLOOKUP($AG93,装备属性!$A:$Y,16,0)</f>
        <v>0</v>
      </c>
      <c r="AT93" s="138">
        <f>VLOOKUP($AG93,装备属性!$A:$Y,17,0)</f>
        <v>0</v>
      </c>
      <c r="AU93" s="138">
        <f>VLOOKUP($AG93,装备属性!$A:$Y,18,0)</f>
        <v>0</v>
      </c>
      <c r="AV93" s="138">
        <f>VLOOKUP($AG93,装备属性!$A:$Y,19,0)</f>
        <v>0</v>
      </c>
      <c r="AW93" s="138">
        <f>VLOOKUP($AG93,装备属性!$A:$Y,20,0)</f>
        <v>0</v>
      </c>
      <c r="AX93" s="138">
        <f>VLOOKUP($AG93,装备属性!$A:$Y,21,0)</f>
        <v>0</v>
      </c>
      <c r="AY93" s="138">
        <f>VLOOKUP($AG93,装备属性!$A:$Y,22,0)</f>
        <v>0</v>
      </c>
      <c r="AZ93" s="138">
        <f>VLOOKUP($AG93,装备属性!$A:$Y,23,0)</f>
        <v>0</v>
      </c>
      <c r="BA93" s="138">
        <f>VLOOKUP($AG93,装备属性!$A:$Y,24,0)</f>
        <v>0</v>
      </c>
      <c r="BB93" s="138">
        <f>VLOOKUP($AG93,装备属性!$A:$Y,25,0)</f>
        <v>0</v>
      </c>
    </row>
    <row r="94" spans="30:54">
      <c r="AD94" s="138"/>
      <c r="AE94" s="138"/>
      <c r="AF94" s="138">
        <v>12</v>
      </c>
      <c r="AG94" s="138"/>
      <c r="AH94" s="138"/>
      <c r="AI94" s="138"/>
      <c r="AJ94" s="138"/>
      <c r="AK94" s="138"/>
      <c r="AL94" s="138"/>
      <c r="AM94" s="138"/>
      <c r="AN94" s="138"/>
      <c r="AO94" s="138"/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</row>
    <row r="96" spans="30:54">
      <c r="AF96" s="49" t="s">
        <v>1081</v>
      </c>
      <c r="AH96" s="50" t="s">
        <v>3</v>
      </c>
      <c r="AI96" s="50" t="s">
        <v>4</v>
      </c>
      <c r="AJ96" s="50" t="s">
        <v>5</v>
      </c>
      <c r="AK96" s="50" t="s">
        <v>103</v>
      </c>
      <c r="AL96" s="50" t="s">
        <v>14</v>
      </c>
      <c r="AM96" s="50" t="s">
        <v>47</v>
      </c>
      <c r="AN96" s="50" t="s">
        <v>35</v>
      </c>
      <c r="AO96" s="50" t="s">
        <v>38</v>
      </c>
      <c r="AP96" s="50" t="s">
        <v>34</v>
      </c>
      <c r="AQ96" s="50" t="s">
        <v>56</v>
      </c>
      <c r="AR96" s="50" t="s">
        <v>84</v>
      </c>
      <c r="AS96" s="50" t="s">
        <v>98</v>
      </c>
      <c r="AT96" s="50" t="s">
        <v>2099</v>
      </c>
      <c r="AU96" s="119" t="s">
        <v>1874</v>
      </c>
      <c r="AV96" s="50" t="s">
        <v>91</v>
      </c>
      <c r="AW96" s="50" t="s">
        <v>13</v>
      </c>
      <c r="AX96" s="50" t="s">
        <v>18</v>
      </c>
      <c r="AY96" s="51" t="s">
        <v>71</v>
      </c>
      <c r="AZ96" s="50" t="s">
        <v>130</v>
      </c>
      <c r="BA96" s="141" t="s">
        <v>2096</v>
      </c>
      <c r="BB96" s="141" t="s">
        <v>2097</v>
      </c>
    </row>
    <row r="97" spans="30:54">
      <c r="AF97" s="49">
        <v>1</v>
      </c>
      <c r="AH97" s="49">
        <f t="shared" ref="AH97:AW97" si="28">SUM(AH$23:AH$28)</f>
        <v>3</v>
      </c>
      <c r="AI97" s="49">
        <f t="shared" si="28"/>
        <v>6</v>
      </c>
      <c r="AJ97" s="49">
        <f t="shared" si="28"/>
        <v>3</v>
      </c>
      <c r="AK97" s="49">
        <f t="shared" si="28"/>
        <v>0</v>
      </c>
      <c r="AL97" s="49">
        <f t="shared" si="28"/>
        <v>6</v>
      </c>
      <c r="AM97" s="49">
        <f t="shared" si="28"/>
        <v>0</v>
      </c>
      <c r="AN97" s="49">
        <f t="shared" si="28"/>
        <v>4</v>
      </c>
      <c r="AO97" s="49">
        <f t="shared" si="28"/>
        <v>0</v>
      </c>
      <c r="AP97" s="49">
        <f t="shared" si="28"/>
        <v>0</v>
      </c>
      <c r="AQ97" s="49">
        <f t="shared" si="28"/>
        <v>0</v>
      </c>
      <c r="AR97" s="49">
        <f t="shared" si="28"/>
        <v>0</v>
      </c>
      <c r="AS97" s="49">
        <f t="shared" si="28"/>
        <v>0</v>
      </c>
      <c r="AT97" s="49">
        <f t="shared" si="28"/>
        <v>0</v>
      </c>
      <c r="AU97" s="49">
        <f t="shared" si="28"/>
        <v>0</v>
      </c>
      <c r="AV97" s="49">
        <f t="shared" si="28"/>
        <v>0</v>
      </c>
      <c r="AW97" s="49">
        <f t="shared" si="28"/>
        <v>0</v>
      </c>
      <c r="AX97" s="49">
        <f>SUM(AX$23:AX$28)</f>
        <v>0</v>
      </c>
      <c r="AY97" s="49">
        <f>SUM(AY$23:AY$28)</f>
        <v>0</v>
      </c>
      <c r="AZ97" s="138">
        <f t="shared" ref="AZ97:BB97" si="29">SUM(AZ$23:AZ$28)</f>
        <v>0</v>
      </c>
      <c r="BA97" s="138">
        <f t="shared" si="29"/>
        <v>0</v>
      </c>
      <c r="BB97" s="138">
        <f t="shared" si="29"/>
        <v>0</v>
      </c>
    </row>
    <row r="98" spans="30:54">
      <c r="AF98" s="49">
        <v>2</v>
      </c>
      <c r="AH98" s="49">
        <f t="shared" ref="AH98:AW98" si="30">SUM(AH$23:AH$34)</f>
        <v>11</v>
      </c>
      <c r="AI98" s="49">
        <f t="shared" si="30"/>
        <v>29</v>
      </c>
      <c r="AJ98" s="49">
        <f t="shared" si="30"/>
        <v>11</v>
      </c>
      <c r="AK98" s="49">
        <f t="shared" si="30"/>
        <v>0</v>
      </c>
      <c r="AL98" s="49">
        <f t="shared" si="30"/>
        <v>9</v>
      </c>
      <c r="AM98" s="49">
        <f t="shared" si="30"/>
        <v>0</v>
      </c>
      <c r="AN98" s="49">
        <f t="shared" si="30"/>
        <v>9</v>
      </c>
      <c r="AO98" s="49">
        <f t="shared" si="30"/>
        <v>0</v>
      </c>
      <c r="AP98" s="49">
        <f t="shared" si="30"/>
        <v>0</v>
      </c>
      <c r="AQ98" s="49">
        <f t="shared" si="30"/>
        <v>0</v>
      </c>
      <c r="AR98" s="49">
        <f t="shared" si="30"/>
        <v>0</v>
      </c>
      <c r="AS98" s="49">
        <f t="shared" si="30"/>
        <v>0</v>
      </c>
      <c r="AT98" s="49">
        <f t="shared" si="30"/>
        <v>0</v>
      </c>
      <c r="AU98" s="49">
        <f t="shared" si="30"/>
        <v>0</v>
      </c>
      <c r="AV98" s="49">
        <f t="shared" si="30"/>
        <v>0</v>
      </c>
      <c r="AW98" s="49">
        <f t="shared" si="30"/>
        <v>15</v>
      </c>
      <c r="AX98" s="49">
        <f>SUM(AX$23:AX$34)</f>
        <v>45</v>
      </c>
      <c r="AY98" s="49">
        <f>SUM(AY$23:AY$34)</f>
        <v>0</v>
      </c>
      <c r="AZ98" s="138">
        <f t="shared" ref="AZ98:BB98" si="31">SUM(AZ$23:AZ$34)</f>
        <v>0</v>
      </c>
      <c r="BA98" s="138">
        <f t="shared" si="31"/>
        <v>0</v>
      </c>
      <c r="BB98" s="138">
        <f t="shared" si="31"/>
        <v>0</v>
      </c>
    </row>
    <row r="99" spans="30:54">
      <c r="AF99" s="49">
        <v>3</v>
      </c>
      <c r="AH99" s="49">
        <f t="shared" ref="AH99:AW99" si="32">SUM(AH$23:AH$40)</f>
        <v>25</v>
      </c>
      <c r="AI99" s="49">
        <f t="shared" si="32"/>
        <v>56</v>
      </c>
      <c r="AJ99" s="49">
        <f t="shared" si="32"/>
        <v>25</v>
      </c>
      <c r="AK99" s="49">
        <f t="shared" si="32"/>
        <v>0</v>
      </c>
      <c r="AL99" s="49">
        <f t="shared" si="32"/>
        <v>12</v>
      </c>
      <c r="AM99" s="49">
        <f t="shared" si="32"/>
        <v>0</v>
      </c>
      <c r="AN99" s="49">
        <f t="shared" si="32"/>
        <v>12</v>
      </c>
      <c r="AO99" s="49">
        <f t="shared" si="32"/>
        <v>0</v>
      </c>
      <c r="AP99" s="49">
        <f t="shared" si="32"/>
        <v>0</v>
      </c>
      <c r="AQ99" s="49">
        <f t="shared" si="32"/>
        <v>0</v>
      </c>
      <c r="AR99" s="49">
        <f t="shared" si="32"/>
        <v>0</v>
      </c>
      <c r="AS99" s="49">
        <f t="shared" si="32"/>
        <v>0</v>
      </c>
      <c r="AT99" s="49">
        <f t="shared" si="32"/>
        <v>15</v>
      </c>
      <c r="AU99" s="49">
        <f t="shared" si="32"/>
        <v>0</v>
      </c>
      <c r="AV99" s="49">
        <f t="shared" si="32"/>
        <v>0</v>
      </c>
      <c r="AW99" s="49">
        <f t="shared" si="32"/>
        <v>30</v>
      </c>
      <c r="AX99" s="49">
        <f>SUM(AX$23:AX$40)</f>
        <v>92</v>
      </c>
      <c r="AY99" s="49">
        <f>SUM(AY$23:AY$40)</f>
        <v>0</v>
      </c>
      <c r="AZ99" s="138">
        <f t="shared" ref="AZ99:BB99" si="33">SUM(AZ$23:AZ$40)</f>
        <v>0</v>
      </c>
      <c r="BA99" s="138">
        <f t="shared" si="33"/>
        <v>0</v>
      </c>
      <c r="BB99" s="138">
        <f t="shared" si="33"/>
        <v>0</v>
      </c>
    </row>
    <row r="100" spans="30:54">
      <c r="AF100" s="49">
        <v>4</v>
      </c>
      <c r="AH100" s="49">
        <f t="shared" ref="AH100:AW100" si="34">SUM(AH$23:AH$46)</f>
        <v>60</v>
      </c>
      <c r="AI100" s="49">
        <f t="shared" si="34"/>
        <v>75</v>
      </c>
      <c r="AJ100" s="49">
        <f t="shared" si="34"/>
        <v>44</v>
      </c>
      <c r="AK100" s="49">
        <f t="shared" si="34"/>
        <v>480</v>
      </c>
      <c r="AL100" s="49">
        <f t="shared" si="34"/>
        <v>70</v>
      </c>
      <c r="AM100" s="49">
        <f t="shared" si="34"/>
        <v>0</v>
      </c>
      <c r="AN100" s="49">
        <f t="shared" si="34"/>
        <v>18</v>
      </c>
      <c r="AO100" s="49">
        <f t="shared" si="34"/>
        <v>0</v>
      </c>
      <c r="AP100" s="49">
        <f t="shared" si="34"/>
        <v>0</v>
      </c>
      <c r="AQ100" s="49">
        <f t="shared" si="34"/>
        <v>0</v>
      </c>
      <c r="AR100" s="49">
        <f t="shared" si="34"/>
        <v>10</v>
      </c>
      <c r="AS100" s="49">
        <f t="shared" si="34"/>
        <v>0</v>
      </c>
      <c r="AT100" s="49">
        <f t="shared" si="34"/>
        <v>15</v>
      </c>
      <c r="AU100" s="49">
        <f t="shared" si="34"/>
        <v>0</v>
      </c>
      <c r="AV100" s="49">
        <f t="shared" si="34"/>
        <v>0</v>
      </c>
      <c r="AW100" s="49">
        <f t="shared" si="34"/>
        <v>270</v>
      </c>
      <c r="AX100" s="49">
        <f>SUM(AX$23:AX$46)</f>
        <v>122</v>
      </c>
      <c r="AY100" s="49">
        <f>SUM(AY$23:AY$46)</f>
        <v>0</v>
      </c>
      <c r="AZ100" s="138">
        <f t="shared" ref="AZ100:BB100" si="35">SUM(AZ$23:AZ$46)</f>
        <v>0</v>
      </c>
      <c r="BA100" s="138">
        <f t="shared" si="35"/>
        <v>0</v>
      </c>
      <c r="BB100" s="138">
        <f t="shared" si="35"/>
        <v>0</v>
      </c>
    </row>
    <row r="101" spans="30:54">
      <c r="AF101" s="49">
        <v>5</v>
      </c>
      <c r="AH101" s="49">
        <f t="shared" ref="AH101:AW101" si="36">SUM(AH$23:AH$52)</f>
        <v>107</v>
      </c>
      <c r="AI101" s="49">
        <f t="shared" si="36"/>
        <v>115</v>
      </c>
      <c r="AJ101" s="49">
        <f t="shared" si="36"/>
        <v>65</v>
      </c>
      <c r="AK101" s="49">
        <f t="shared" si="36"/>
        <v>480</v>
      </c>
      <c r="AL101" s="49">
        <f t="shared" si="36"/>
        <v>156</v>
      </c>
      <c r="AM101" s="49">
        <f t="shared" si="36"/>
        <v>0</v>
      </c>
      <c r="AN101" s="49">
        <f t="shared" si="36"/>
        <v>23</v>
      </c>
      <c r="AO101" s="49">
        <f t="shared" si="36"/>
        <v>10</v>
      </c>
      <c r="AP101" s="49">
        <f t="shared" si="36"/>
        <v>12</v>
      </c>
      <c r="AQ101" s="49">
        <f t="shared" si="36"/>
        <v>0</v>
      </c>
      <c r="AR101" s="49">
        <f t="shared" si="36"/>
        <v>10</v>
      </c>
      <c r="AS101" s="49">
        <f t="shared" si="36"/>
        <v>0</v>
      </c>
      <c r="AT101" s="49">
        <f t="shared" si="36"/>
        <v>30</v>
      </c>
      <c r="AU101" s="49">
        <f t="shared" si="36"/>
        <v>0</v>
      </c>
      <c r="AV101" s="49">
        <f t="shared" si="36"/>
        <v>0</v>
      </c>
      <c r="AW101" s="49">
        <f t="shared" si="36"/>
        <v>270</v>
      </c>
      <c r="AX101" s="49">
        <f>SUM(AX$23:AX$52)</f>
        <v>122</v>
      </c>
      <c r="AY101" s="49">
        <f>SUM(AY$23:AY$52)</f>
        <v>0</v>
      </c>
      <c r="AZ101" s="138">
        <f t="shared" ref="AZ101:BB101" si="37">SUM(AZ$23:AZ$52)</f>
        <v>0</v>
      </c>
      <c r="BA101" s="138">
        <f t="shared" si="37"/>
        <v>0</v>
      </c>
      <c r="BB101" s="138">
        <f t="shared" si="37"/>
        <v>0</v>
      </c>
    </row>
    <row r="102" spans="30:54">
      <c r="AF102" s="49">
        <v>6</v>
      </c>
      <c r="AH102" s="49">
        <f t="shared" ref="AH102:AW102" si="38">SUM(AH$23:AH$58)</f>
        <v>139</v>
      </c>
      <c r="AI102" s="49">
        <f t="shared" si="38"/>
        <v>155</v>
      </c>
      <c r="AJ102" s="49">
        <f t="shared" si="38"/>
        <v>81</v>
      </c>
      <c r="AK102" s="49">
        <f t="shared" si="38"/>
        <v>730</v>
      </c>
      <c r="AL102" s="49">
        <f t="shared" si="38"/>
        <v>256</v>
      </c>
      <c r="AM102" s="49">
        <f t="shared" si="38"/>
        <v>0</v>
      </c>
      <c r="AN102" s="49">
        <f t="shared" si="38"/>
        <v>23</v>
      </c>
      <c r="AO102" s="49">
        <f t="shared" si="38"/>
        <v>10</v>
      </c>
      <c r="AP102" s="49">
        <f t="shared" si="38"/>
        <v>58</v>
      </c>
      <c r="AQ102" s="49">
        <f t="shared" si="38"/>
        <v>7</v>
      </c>
      <c r="AR102" s="49">
        <f t="shared" si="38"/>
        <v>10</v>
      </c>
      <c r="AS102" s="49">
        <f t="shared" si="38"/>
        <v>0</v>
      </c>
      <c r="AT102" s="49">
        <f t="shared" si="38"/>
        <v>45</v>
      </c>
      <c r="AU102" s="49">
        <f t="shared" si="38"/>
        <v>0</v>
      </c>
      <c r="AV102" s="49">
        <f t="shared" si="38"/>
        <v>0</v>
      </c>
      <c r="AW102" s="49">
        <f t="shared" si="38"/>
        <v>270</v>
      </c>
      <c r="AX102" s="49">
        <f>SUM(AX$23:AX$58)</f>
        <v>122</v>
      </c>
      <c r="AY102" s="49">
        <f>SUM(AY$23:AY$58)</f>
        <v>0</v>
      </c>
      <c r="AZ102" s="138">
        <f t="shared" ref="AZ102:BB102" si="39">SUM(AZ$23:AZ$58)</f>
        <v>0</v>
      </c>
      <c r="BA102" s="138">
        <f t="shared" si="39"/>
        <v>0</v>
      </c>
      <c r="BB102" s="138">
        <f t="shared" si="39"/>
        <v>0</v>
      </c>
    </row>
    <row r="103" spans="30:54">
      <c r="AF103" s="49">
        <v>7</v>
      </c>
      <c r="AH103" s="49">
        <f t="shared" ref="AH103:AW103" si="40">SUM(AH$23:AH$64)</f>
        <v>148</v>
      </c>
      <c r="AI103" s="49">
        <f t="shared" si="40"/>
        <v>175</v>
      </c>
      <c r="AJ103" s="49">
        <f t="shared" si="40"/>
        <v>90</v>
      </c>
      <c r="AK103" s="49">
        <f t="shared" si="40"/>
        <v>1010</v>
      </c>
      <c r="AL103" s="49">
        <f t="shared" si="40"/>
        <v>412</v>
      </c>
      <c r="AM103" s="49">
        <f t="shared" si="40"/>
        <v>0</v>
      </c>
      <c r="AN103" s="49">
        <f t="shared" si="40"/>
        <v>17</v>
      </c>
      <c r="AO103" s="49">
        <f t="shared" si="40"/>
        <v>10</v>
      </c>
      <c r="AP103" s="49">
        <f t="shared" si="40"/>
        <v>108</v>
      </c>
      <c r="AQ103" s="49">
        <f t="shared" si="40"/>
        <v>17</v>
      </c>
      <c r="AR103" s="49">
        <f t="shared" si="40"/>
        <v>10</v>
      </c>
      <c r="AS103" s="49">
        <f t="shared" si="40"/>
        <v>0</v>
      </c>
      <c r="AT103" s="49">
        <f t="shared" si="40"/>
        <v>65</v>
      </c>
      <c r="AU103" s="49">
        <f t="shared" si="40"/>
        <v>0</v>
      </c>
      <c r="AV103" s="49">
        <f t="shared" si="40"/>
        <v>0</v>
      </c>
      <c r="AW103" s="49">
        <f t="shared" si="40"/>
        <v>650</v>
      </c>
      <c r="AX103" s="49">
        <f>SUM(AX$23:AX$64)</f>
        <v>172</v>
      </c>
      <c r="AY103" s="49">
        <f>SUM(AY$23:AY$64)</f>
        <v>0</v>
      </c>
      <c r="AZ103" s="138">
        <f t="shared" ref="AZ103:BB103" si="41">SUM(AZ$23:AZ$64)</f>
        <v>0</v>
      </c>
      <c r="BA103" s="138">
        <f t="shared" si="41"/>
        <v>0</v>
      </c>
      <c r="BB103" s="138">
        <f t="shared" si="41"/>
        <v>0</v>
      </c>
    </row>
    <row r="104" spans="30:54">
      <c r="AF104" s="49">
        <v>8</v>
      </c>
      <c r="AH104" s="49">
        <f t="shared" ref="AH104:AW104" si="42">SUM(AH$23:AH$70)</f>
        <v>176</v>
      </c>
      <c r="AI104" s="49">
        <f t="shared" si="42"/>
        <v>230</v>
      </c>
      <c r="AJ104" s="49">
        <f t="shared" si="42"/>
        <v>115</v>
      </c>
      <c r="AK104" s="49">
        <f t="shared" si="42"/>
        <v>1010</v>
      </c>
      <c r="AL104" s="49">
        <f t="shared" si="42"/>
        <v>523</v>
      </c>
      <c r="AM104" s="49">
        <f t="shared" si="42"/>
        <v>0</v>
      </c>
      <c r="AN104" s="49">
        <f t="shared" si="42"/>
        <v>37</v>
      </c>
      <c r="AO104" s="49">
        <f t="shared" si="42"/>
        <v>10</v>
      </c>
      <c r="AP104" s="49">
        <f t="shared" si="42"/>
        <v>183</v>
      </c>
      <c r="AQ104" s="49">
        <f t="shared" si="42"/>
        <v>22</v>
      </c>
      <c r="AR104" s="49">
        <f t="shared" si="42"/>
        <v>10</v>
      </c>
      <c r="AS104" s="49">
        <f t="shared" si="42"/>
        <v>0</v>
      </c>
      <c r="AT104" s="49">
        <f t="shared" si="42"/>
        <v>80</v>
      </c>
      <c r="AU104" s="49">
        <f t="shared" si="42"/>
        <v>0</v>
      </c>
      <c r="AV104" s="49">
        <f t="shared" si="42"/>
        <v>30</v>
      </c>
      <c r="AW104" s="49">
        <f t="shared" si="42"/>
        <v>650</v>
      </c>
      <c r="AX104" s="49">
        <f>SUM(AX$23:AX$70)</f>
        <v>172</v>
      </c>
      <c r="AY104" s="49">
        <f>SUM(AY$23:AY$70)</f>
        <v>0</v>
      </c>
      <c r="AZ104" s="138">
        <f t="shared" ref="AZ104:BB104" si="43">SUM(AZ$23:AZ$70)</f>
        <v>0</v>
      </c>
      <c r="BA104" s="138">
        <f t="shared" si="43"/>
        <v>0</v>
      </c>
      <c r="BB104" s="138">
        <f t="shared" si="43"/>
        <v>0</v>
      </c>
    </row>
    <row r="105" spans="30:54">
      <c r="AF105" s="49">
        <v>9</v>
      </c>
      <c r="AH105" s="49">
        <f t="shared" ref="AH105:AW105" si="44">SUM(AH$23:AH$76)</f>
        <v>249</v>
      </c>
      <c r="AI105" s="49">
        <f t="shared" si="44"/>
        <v>297</v>
      </c>
      <c r="AJ105" s="49">
        <f t="shared" si="44"/>
        <v>169</v>
      </c>
      <c r="AK105" s="49">
        <f t="shared" si="44"/>
        <v>1460</v>
      </c>
      <c r="AL105" s="49">
        <f t="shared" si="44"/>
        <v>616</v>
      </c>
      <c r="AM105" s="49">
        <f t="shared" si="44"/>
        <v>0</v>
      </c>
      <c r="AN105" s="49">
        <f t="shared" si="44"/>
        <v>52</v>
      </c>
      <c r="AO105" s="49">
        <f t="shared" si="44"/>
        <v>10</v>
      </c>
      <c r="AP105" s="49">
        <f t="shared" si="44"/>
        <v>199</v>
      </c>
      <c r="AQ105" s="49">
        <f t="shared" si="44"/>
        <v>22</v>
      </c>
      <c r="AR105" s="49">
        <f t="shared" si="44"/>
        <v>20</v>
      </c>
      <c r="AS105" s="49">
        <f t="shared" si="44"/>
        <v>0</v>
      </c>
      <c r="AT105" s="49">
        <f t="shared" si="44"/>
        <v>105</v>
      </c>
      <c r="AU105" s="49">
        <f t="shared" si="44"/>
        <v>0</v>
      </c>
      <c r="AV105" s="49">
        <f t="shared" si="44"/>
        <v>30</v>
      </c>
      <c r="AW105" s="49">
        <f t="shared" si="44"/>
        <v>850</v>
      </c>
      <c r="AX105" s="49">
        <f>SUM(AX$23:AX$76)</f>
        <v>272</v>
      </c>
      <c r="AY105" s="49">
        <f>SUM(AY$23:AY$76)</f>
        <v>0</v>
      </c>
      <c r="AZ105" s="138">
        <f t="shared" ref="AZ105:BB105" si="45">SUM(AZ$23:AZ$76)</f>
        <v>15</v>
      </c>
      <c r="BA105" s="138">
        <f t="shared" si="45"/>
        <v>0</v>
      </c>
      <c r="BB105" s="138">
        <f t="shared" si="45"/>
        <v>0</v>
      </c>
    </row>
    <row r="106" spans="30:54">
      <c r="AF106" s="49">
        <v>10</v>
      </c>
      <c r="AH106" s="49">
        <f t="shared" ref="AH106:AW106" si="46">SUM(AH$23:AH$82)</f>
        <v>334</v>
      </c>
      <c r="AI106" s="49">
        <f t="shared" si="46"/>
        <v>322</v>
      </c>
      <c r="AJ106" s="49">
        <f t="shared" si="46"/>
        <v>194</v>
      </c>
      <c r="AK106" s="49">
        <f t="shared" si="46"/>
        <v>2340</v>
      </c>
      <c r="AL106" s="49">
        <f t="shared" si="46"/>
        <v>805</v>
      </c>
      <c r="AM106" s="49">
        <f t="shared" si="46"/>
        <v>0</v>
      </c>
      <c r="AN106" s="49">
        <f t="shared" si="46"/>
        <v>56</v>
      </c>
      <c r="AO106" s="49">
        <f t="shared" si="46"/>
        <v>20</v>
      </c>
      <c r="AP106" s="49">
        <f t="shared" si="46"/>
        <v>229</v>
      </c>
      <c r="AQ106" s="49">
        <f t="shared" si="46"/>
        <v>22</v>
      </c>
      <c r="AR106" s="49">
        <f t="shared" si="46"/>
        <v>20</v>
      </c>
      <c r="AS106" s="49">
        <f t="shared" si="46"/>
        <v>0</v>
      </c>
      <c r="AT106" s="49">
        <f t="shared" si="46"/>
        <v>105</v>
      </c>
      <c r="AU106" s="49">
        <f t="shared" si="46"/>
        <v>0</v>
      </c>
      <c r="AV106" s="49">
        <f t="shared" si="46"/>
        <v>30</v>
      </c>
      <c r="AW106" s="49">
        <f t="shared" si="46"/>
        <v>1830</v>
      </c>
      <c r="AX106" s="49">
        <f>SUM(AX$23:AX$82)</f>
        <v>322</v>
      </c>
      <c r="AY106" s="49">
        <f>SUM(AY$23:AY$82)</f>
        <v>0</v>
      </c>
      <c r="AZ106" s="138">
        <f t="shared" ref="AZ106:BB106" si="47">SUM(AZ$23:AZ$82)</f>
        <v>15</v>
      </c>
      <c r="BA106" s="138">
        <f t="shared" si="47"/>
        <v>0</v>
      </c>
      <c r="BB106" s="138">
        <f t="shared" si="47"/>
        <v>0</v>
      </c>
    </row>
    <row r="107" spans="30:54">
      <c r="AD107" s="138"/>
      <c r="AE107" s="138"/>
      <c r="AF107" s="138">
        <v>11</v>
      </c>
      <c r="AG107" s="138"/>
      <c r="AH107" s="138">
        <f t="shared" ref="AH107:AY107" si="48">SUM(AH$23:AH$88)</f>
        <v>450</v>
      </c>
      <c r="AI107" s="138">
        <f t="shared" si="48"/>
        <v>414</v>
      </c>
      <c r="AJ107" s="138">
        <f t="shared" si="48"/>
        <v>250</v>
      </c>
      <c r="AK107" s="138">
        <f t="shared" si="48"/>
        <v>3340</v>
      </c>
      <c r="AL107" s="138">
        <f t="shared" si="48"/>
        <v>837</v>
      </c>
      <c r="AM107" s="138">
        <f t="shared" si="48"/>
        <v>0</v>
      </c>
      <c r="AN107" s="138">
        <f t="shared" si="48"/>
        <v>56</v>
      </c>
      <c r="AO107" s="138">
        <f t="shared" si="48"/>
        <v>35</v>
      </c>
      <c r="AP107" s="138">
        <f t="shared" si="48"/>
        <v>229</v>
      </c>
      <c r="AQ107" s="138">
        <f t="shared" si="48"/>
        <v>22</v>
      </c>
      <c r="AR107" s="138">
        <f t="shared" si="48"/>
        <v>20</v>
      </c>
      <c r="AS107" s="138">
        <f t="shared" si="48"/>
        <v>0</v>
      </c>
      <c r="AT107" s="138">
        <f t="shared" si="48"/>
        <v>105</v>
      </c>
      <c r="AU107" s="138">
        <f t="shared" si="48"/>
        <v>0</v>
      </c>
      <c r="AV107" s="138">
        <f t="shared" si="48"/>
        <v>30</v>
      </c>
      <c r="AW107" s="138">
        <f t="shared" si="48"/>
        <v>2230</v>
      </c>
      <c r="AX107" s="138">
        <f t="shared" si="48"/>
        <v>322</v>
      </c>
      <c r="AY107" s="138">
        <f t="shared" si="48"/>
        <v>12</v>
      </c>
      <c r="AZ107" s="138">
        <f t="shared" ref="AZ107:BB107" si="49">SUM(AZ$23:AZ$88)</f>
        <v>15</v>
      </c>
      <c r="BA107" s="138">
        <f t="shared" si="49"/>
        <v>0</v>
      </c>
      <c r="BB107" s="138">
        <f t="shared" si="49"/>
        <v>0</v>
      </c>
    </row>
    <row r="108" spans="30:54">
      <c r="AD108" s="138"/>
      <c r="AE108" s="138"/>
      <c r="AF108" s="138">
        <v>12</v>
      </c>
      <c r="AG108" s="138"/>
      <c r="AH108" s="138">
        <f t="shared" ref="AH108:AY108" si="50">SUM(AH$23:AH$94)</f>
        <v>541</v>
      </c>
      <c r="AI108" s="138">
        <f t="shared" si="50"/>
        <v>470</v>
      </c>
      <c r="AJ108" s="138">
        <f t="shared" si="50"/>
        <v>281</v>
      </c>
      <c r="AK108" s="138">
        <f t="shared" si="50"/>
        <v>3340</v>
      </c>
      <c r="AL108" s="138">
        <f t="shared" si="50"/>
        <v>1027</v>
      </c>
      <c r="AM108" s="138">
        <f t="shared" si="50"/>
        <v>0</v>
      </c>
      <c r="AN108" s="138">
        <f t="shared" si="50"/>
        <v>56</v>
      </c>
      <c r="AO108" s="138">
        <f t="shared" si="50"/>
        <v>35</v>
      </c>
      <c r="AP108" s="138">
        <f t="shared" si="50"/>
        <v>254</v>
      </c>
      <c r="AQ108" s="138">
        <f t="shared" si="50"/>
        <v>22</v>
      </c>
      <c r="AR108" s="138">
        <f t="shared" si="50"/>
        <v>20</v>
      </c>
      <c r="AS108" s="138">
        <f t="shared" si="50"/>
        <v>0</v>
      </c>
      <c r="AT108" s="138">
        <f t="shared" si="50"/>
        <v>105</v>
      </c>
      <c r="AU108" s="138">
        <f t="shared" si="50"/>
        <v>0</v>
      </c>
      <c r="AV108" s="138">
        <f t="shared" si="50"/>
        <v>30</v>
      </c>
      <c r="AW108" s="138">
        <f t="shared" si="50"/>
        <v>2430</v>
      </c>
      <c r="AX108" s="138">
        <f t="shared" si="50"/>
        <v>372</v>
      </c>
      <c r="AY108" s="138">
        <f t="shared" si="50"/>
        <v>12</v>
      </c>
      <c r="AZ108" s="138">
        <f t="shared" ref="AZ108:BB108" si="51">SUM(AZ$23:AZ$94)</f>
        <v>15</v>
      </c>
      <c r="BA108" s="138">
        <f t="shared" si="51"/>
        <v>0</v>
      </c>
      <c r="BB108" s="138">
        <f t="shared" si="51"/>
        <v>0</v>
      </c>
    </row>
    <row r="110" spans="30:54">
      <c r="AF110" s="49" t="s">
        <v>1095</v>
      </c>
      <c r="AG110" s="49">
        <f>$V$2</f>
        <v>12</v>
      </c>
      <c r="AH110" s="50" t="s">
        <v>3</v>
      </c>
      <c r="AI110" s="50" t="s">
        <v>4</v>
      </c>
      <c r="AJ110" s="50" t="s">
        <v>5</v>
      </c>
      <c r="AK110" s="50" t="s">
        <v>103</v>
      </c>
      <c r="AL110" s="50" t="s">
        <v>14</v>
      </c>
      <c r="AM110" s="50" t="s">
        <v>47</v>
      </c>
      <c r="AN110" s="50" t="s">
        <v>35</v>
      </c>
      <c r="AO110" s="50" t="s">
        <v>38</v>
      </c>
      <c r="AP110" s="50" t="s">
        <v>34</v>
      </c>
      <c r="AQ110" s="50" t="s">
        <v>56</v>
      </c>
      <c r="AR110" s="50" t="s">
        <v>84</v>
      </c>
      <c r="AS110" s="50" t="s">
        <v>98</v>
      </c>
      <c r="AT110" s="50" t="s">
        <v>2099</v>
      </c>
      <c r="AU110" s="119" t="s">
        <v>1874</v>
      </c>
      <c r="AV110" s="50" t="s">
        <v>91</v>
      </c>
      <c r="AW110" s="50" t="s">
        <v>13</v>
      </c>
      <c r="AX110" s="50" t="s">
        <v>18</v>
      </c>
      <c r="AY110" s="51" t="s">
        <v>71</v>
      </c>
      <c r="AZ110" s="50" t="s">
        <v>130</v>
      </c>
      <c r="BA110" s="141" t="s">
        <v>2096</v>
      </c>
      <c r="BB110" s="141" t="s">
        <v>2097</v>
      </c>
    </row>
    <row r="111" spans="30:54">
      <c r="AE111" s="49" t="str">
        <f>单英雄!$C$12</f>
        <v>√</v>
      </c>
      <c r="AF111" s="49" t="str">
        <f>IFERROR(VLOOKUP($AG111,装备属性!$A:$B,2,0),"暂无")</f>
        <v>橙装</v>
      </c>
      <c r="AG111" s="49" t="str">
        <f>IF($AE111="√",VLOOKUP($AG$110,$V$42:$AC$53,3,0),0)</f>
        <v>地覆</v>
      </c>
      <c r="AH111" s="49">
        <f>IFERROR(VLOOKUP($AG111,装备属性!$A:$Y,5,0),0)</f>
        <v>60</v>
      </c>
      <c r="AI111" s="49">
        <f>IFERROR(VLOOKUP($AG111,装备属性!$A:$Y,6,0),0)</f>
        <v>0</v>
      </c>
      <c r="AJ111" s="49">
        <f>IFERROR(VLOOKUP($AG111,装备属性!$A:$Y,7,0),0)</f>
        <v>0</v>
      </c>
      <c r="AK111" s="49">
        <f>IFERROR(VLOOKUP($AG111,装备属性!$A:$Y,8,0),0)</f>
        <v>0</v>
      </c>
      <c r="AL111" s="49">
        <f>IFERROR(VLOOKUP($AG111,装备属性!$A:$Y,9,0),0)</f>
        <v>100</v>
      </c>
      <c r="AM111" s="49">
        <f>IFERROR(VLOOKUP($AG111,装备属性!$A:$Y,10,0),0)</f>
        <v>0</v>
      </c>
      <c r="AN111" s="49">
        <f>IFERROR(VLOOKUP($AG111,装备属性!$A:$Y,11,0),0)</f>
        <v>0</v>
      </c>
      <c r="AO111" s="49">
        <f>IFERROR(VLOOKUP($AG111,装备属性!$A:$Y,12,0),0)</f>
        <v>0</v>
      </c>
      <c r="AP111" s="49">
        <f>IFERROR(VLOOKUP($AG111,装备属性!$A:$Y,13,0),0)</f>
        <v>0</v>
      </c>
      <c r="AQ111" s="49">
        <f>IFERROR(VLOOKUP($AG111,装备属性!$A:$Y,14,0),0)</f>
        <v>0</v>
      </c>
      <c r="AR111" s="49">
        <f>IFERROR(VLOOKUP($AG111,装备属性!$A:$Y,15,0),0)</f>
        <v>0</v>
      </c>
      <c r="AS111" s="49">
        <f>IFERROR(VLOOKUP($AG111,装备属性!$A:$Y,16,0),0)</f>
        <v>0</v>
      </c>
      <c r="AT111" s="49">
        <f>IFERROR(VLOOKUP($AG111,装备属性!$A:$Y,17,0),0)</f>
        <v>0</v>
      </c>
      <c r="AU111" s="49">
        <f>IFERROR(VLOOKUP($AG111,装备属性!$A:$Y,18,0),0)</f>
        <v>0</v>
      </c>
      <c r="AV111" s="49">
        <f>IFERROR(VLOOKUP($AG111,装备属性!$A:$Y,19,0),0)</f>
        <v>0</v>
      </c>
      <c r="AW111" s="49">
        <f>IFERROR(VLOOKUP($AG111,装备属性!$A:$Y,20,0),0)</f>
        <v>200</v>
      </c>
      <c r="AX111" s="49">
        <f>IFERROR(VLOOKUP($AG111,装备属性!$A:$Y,21,0),0)</f>
        <v>50</v>
      </c>
      <c r="AY111" s="49">
        <f>IFERROR(VLOOKUP($AG111,装备属性!$A:$Y,22,0),0)</f>
        <v>0</v>
      </c>
      <c r="AZ111" s="138">
        <f>IFERROR(VLOOKUP($AG111,装备属性!$A:$Y,23,0),0)</f>
        <v>0</v>
      </c>
      <c r="BA111" s="138">
        <f>IFERROR(VLOOKUP($AG111,装备属性!$A:$Y,24,0),0)</f>
        <v>0</v>
      </c>
      <c r="BB111" s="138">
        <f>IFERROR(VLOOKUP($AG111,装备属性!$A:$Y,25,0),0)</f>
        <v>0</v>
      </c>
    </row>
    <row r="112" spans="30:54">
      <c r="AE112" s="49" t="str">
        <f>单英雄!$D$12</f>
        <v>√</v>
      </c>
      <c r="AF112" s="49" t="str">
        <f>IFERROR(VLOOKUP($AG112,装备属性!$A:$B,2,0),"暂无")</f>
        <v>紫装</v>
      </c>
      <c r="AG112" s="49" t="str">
        <f>IF($AE112="√",VLOOKUP($AG$110,$V$42:$AC$53,4,0),0)</f>
        <v>麒麟弯刀</v>
      </c>
      <c r="AH112" s="49">
        <f>IFERROR(VLOOKUP($AG112,装备属性!$A:$Y,5,0),0)</f>
        <v>0</v>
      </c>
      <c r="AI112" s="49">
        <f>IFERROR(VLOOKUP($AG112,装备属性!$A:$Y,6,0),0)</f>
        <v>0</v>
      </c>
      <c r="AJ112" s="49">
        <f>IFERROR(VLOOKUP($AG112,装备属性!$A:$Y,7,0),0)</f>
        <v>0</v>
      </c>
      <c r="AK112" s="49">
        <f>IFERROR(VLOOKUP($AG112,装备属性!$A:$Y,8,0),0)</f>
        <v>0</v>
      </c>
      <c r="AL112" s="49">
        <f>IFERROR(VLOOKUP($AG112,装备属性!$A:$Y,9,0),0)</f>
        <v>90</v>
      </c>
      <c r="AM112" s="49">
        <f>IFERROR(VLOOKUP($AG112,装备属性!$A:$Y,10,0),0)</f>
        <v>0</v>
      </c>
      <c r="AN112" s="49">
        <f>IFERROR(VLOOKUP($AG112,装备属性!$A:$Y,11,0),0)</f>
        <v>0</v>
      </c>
      <c r="AO112" s="49">
        <f>IFERROR(VLOOKUP($AG112,装备属性!$A:$Y,12,0),0)</f>
        <v>0</v>
      </c>
      <c r="AP112" s="49">
        <f>IFERROR(VLOOKUP($AG112,装备属性!$A:$Y,13,0),0)</f>
        <v>0</v>
      </c>
      <c r="AQ112" s="49">
        <f>IFERROR(VLOOKUP($AG112,装备属性!$A:$Y,14,0),0)</f>
        <v>0</v>
      </c>
      <c r="AR112" s="49">
        <f>IFERROR(VLOOKUP($AG112,装备属性!$A:$Y,15,0),0)</f>
        <v>0</v>
      </c>
      <c r="AS112" s="49">
        <f>IFERROR(VLOOKUP($AG112,装备属性!$A:$Y,16,0),0)</f>
        <v>0</v>
      </c>
      <c r="AT112" s="49">
        <f>IFERROR(VLOOKUP($AG112,装备属性!$A:$Y,17,0),0)</f>
        <v>0</v>
      </c>
      <c r="AU112" s="49">
        <f>IFERROR(VLOOKUP($AG112,装备属性!$A:$Y,18,0),0)</f>
        <v>0</v>
      </c>
      <c r="AV112" s="49">
        <f>IFERROR(VLOOKUP($AG112,装备属性!$A:$Y,19,0),0)</f>
        <v>0</v>
      </c>
      <c r="AW112" s="49">
        <f>IFERROR(VLOOKUP($AG112,装备属性!$A:$Y,20,0),0)</f>
        <v>0</v>
      </c>
      <c r="AX112" s="49">
        <f>IFERROR(VLOOKUP($AG112,装备属性!$A:$Y,21,0),0)</f>
        <v>0</v>
      </c>
      <c r="AY112" s="49">
        <f>IFERROR(VLOOKUP($AG112,装备属性!$A:$Y,22,0),0)</f>
        <v>0</v>
      </c>
      <c r="AZ112" s="138">
        <f>IFERROR(VLOOKUP($AG112,装备属性!$A:$Y,23,0),0)</f>
        <v>0</v>
      </c>
      <c r="BA112" s="138">
        <f>IFERROR(VLOOKUP($AG112,装备属性!$A:$Y,24,0),0)</f>
        <v>0</v>
      </c>
      <c r="BB112" s="138">
        <f>IFERROR(VLOOKUP($AG112,装备属性!$A:$Y,25,0),0)</f>
        <v>0</v>
      </c>
    </row>
    <row r="113" spans="28:54">
      <c r="AE113" s="49" t="str">
        <f>单英雄!$E$12</f>
        <v>√</v>
      </c>
      <c r="AF113" s="49" t="str">
        <f>IFERROR(VLOOKUP($AG113,装备属性!$A:$B,2,0),"暂无")</f>
        <v>紫装</v>
      </c>
      <c r="AG113" s="49" t="str">
        <f>IF($AE113="√",VLOOKUP($AG$110,$V$42:$AC$53,5,0),0)</f>
        <v>振奋石</v>
      </c>
      <c r="AH113" s="49">
        <f>IFERROR(VLOOKUP($AG113,装备属性!$A:$Y,5,0),0)</f>
        <v>0</v>
      </c>
      <c r="AI113" s="49">
        <f>IFERROR(VLOOKUP($AG113,装备属性!$A:$Y,6,0),0)</f>
        <v>0</v>
      </c>
      <c r="AJ113" s="49">
        <f>IFERROR(VLOOKUP($AG113,装备属性!$A:$Y,7,0),0)</f>
        <v>0</v>
      </c>
      <c r="AK113" s="49">
        <f>IFERROR(VLOOKUP($AG113,装备属性!$A:$Y,8,0),0)</f>
        <v>0</v>
      </c>
      <c r="AL113" s="49">
        <f>IFERROR(VLOOKUP($AG113,装备属性!$A:$Y,9,0),0)</f>
        <v>0</v>
      </c>
      <c r="AM113" s="49">
        <f>IFERROR(VLOOKUP($AG113,装备属性!$A:$Y,10,0),0)</f>
        <v>0</v>
      </c>
      <c r="AN113" s="49">
        <f>IFERROR(VLOOKUP($AG113,装备属性!$A:$Y,11,0),0)</f>
        <v>0</v>
      </c>
      <c r="AO113" s="49">
        <f>IFERROR(VLOOKUP($AG113,装备属性!$A:$Y,12,0),0)</f>
        <v>0</v>
      </c>
      <c r="AP113" s="49">
        <f>IFERROR(VLOOKUP($AG113,装备属性!$A:$Y,13,0),0)</f>
        <v>25</v>
      </c>
      <c r="AQ113" s="49">
        <f>IFERROR(VLOOKUP($AG113,装备属性!$A:$Y,14,0),0)</f>
        <v>0</v>
      </c>
      <c r="AR113" s="49">
        <f>IFERROR(VLOOKUP($AG113,装备属性!$A:$Y,15,0),0)</f>
        <v>0</v>
      </c>
      <c r="AS113" s="49">
        <f>IFERROR(VLOOKUP($AG113,装备属性!$A:$Y,16,0),0)</f>
        <v>0</v>
      </c>
      <c r="AT113" s="49">
        <f>IFERROR(VLOOKUP($AG113,装备属性!$A:$Y,17,0),0)</f>
        <v>0</v>
      </c>
      <c r="AU113" s="49">
        <f>IFERROR(VLOOKUP($AG113,装备属性!$A:$Y,18,0),0)</f>
        <v>0</v>
      </c>
      <c r="AV113" s="49">
        <f>IFERROR(VLOOKUP($AG113,装备属性!$A:$Y,19,0),0)</f>
        <v>0</v>
      </c>
      <c r="AW113" s="49">
        <f>IFERROR(VLOOKUP($AG113,装备属性!$A:$Y,20,0),0)</f>
        <v>0</v>
      </c>
      <c r="AX113" s="49">
        <f>IFERROR(VLOOKUP($AG113,装备属性!$A:$Y,21,0),0)</f>
        <v>0</v>
      </c>
      <c r="AY113" s="49">
        <f>IFERROR(VLOOKUP($AG113,装备属性!$A:$Y,22,0),0)</f>
        <v>0</v>
      </c>
      <c r="AZ113" s="138">
        <f>IFERROR(VLOOKUP($AG113,装备属性!$A:$Y,23,0),0)</f>
        <v>0</v>
      </c>
      <c r="BA113" s="138">
        <f>IFERROR(VLOOKUP($AG113,装备属性!$A:$Y,24,0),0)</f>
        <v>0</v>
      </c>
      <c r="BB113" s="138">
        <f>IFERROR(VLOOKUP($AG113,装备属性!$A:$Y,25,0),0)</f>
        <v>0</v>
      </c>
    </row>
    <row r="114" spans="28:54">
      <c r="AE114" s="49" t="str">
        <f>单英雄!$F$12</f>
        <v>√</v>
      </c>
      <c r="AF114" s="49" t="str">
        <f>IFERROR(VLOOKUP($AG114,装备属性!$A:$B,2,0),"暂无")</f>
        <v>紫装</v>
      </c>
      <c r="AG114" s="49" t="str">
        <f>IF($AE114="√",VLOOKUP($AG$110,$V$42:$AC$53,6,0),0)</f>
        <v>角鹰弓</v>
      </c>
      <c r="AH114" s="49">
        <f>IFERROR(VLOOKUP($AG114,装备属性!$A:$Y,5,0),0)</f>
        <v>0</v>
      </c>
      <c r="AI114" s="49">
        <f>IFERROR(VLOOKUP($AG114,装备属性!$A:$Y,6,0),0)</f>
        <v>25</v>
      </c>
      <c r="AJ114" s="49">
        <f>IFERROR(VLOOKUP($AG114,装备属性!$A:$Y,7,0),0)</f>
        <v>0</v>
      </c>
      <c r="AK114" s="49">
        <f>IFERROR(VLOOKUP($AG114,装备属性!$A:$Y,8,0),0)</f>
        <v>0</v>
      </c>
      <c r="AL114" s="49">
        <f>IFERROR(VLOOKUP($AG114,装备属性!$A:$Y,9,0),0)</f>
        <v>0</v>
      </c>
      <c r="AM114" s="49">
        <f>IFERROR(VLOOKUP($AG114,装备属性!$A:$Y,10,0),0)</f>
        <v>0</v>
      </c>
      <c r="AN114" s="49">
        <f>IFERROR(VLOOKUP($AG114,装备属性!$A:$Y,11,0),0)</f>
        <v>0</v>
      </c>
      <c r="AO114" s="49">
        <f>IFERROR(VLOOKUP($AG114,装备属性!$A:$Y,12,0),0)</f>
        <v>0</v>
      </c>
      <c r="AP114" s="49">
        <f>IFERROR(VLOOKUP($AG114,装备属性!$A:$Y,13,0),0)</f>
        <v>0</v>
      </c>
      <c r="AQ114" s="49">
        <f>IFERROR(VLOOKUP($AG114,装备属性!$A:$Y,14,0),0)</f>
        <v>0</v>
      </c>
      <c r="AR114" s="49">
        <f>IFERROR(VLOOKUP($AG114,装备属性!$A:$Y,15,0),0)</f>
        <v>0</v>
      </c>
      <c r="AS114" s="49">
        <f>IFERROR(VLOOKUP($AG114,装备属性!$A:$Y,16,0),0)</f>
        <v>0</v>
      </c>
      <c r="AT114" s="49">
        <f>IFERROR(VLOOKUP($AG114,装备属性!$A:$Y,17,0),0)</f>
        <v>0</v>
      </c>
      <c r="AU114" s="49">
        <f>IFERROR(VLOOKUP($AG114,装备属性!$A:$Y,18,0),0)</f>
        <v>0</v>
      </c>
      <c r="AV114" s="49">
        <f>IFERROR(VLOOKUP($AG114,装备属性!$A:$Y,19,0),0)</f>
        <v>0</v>
      </c>
      <c r="AW114" s="49">
        <f>IFERROR(VLOOKUP($AG114,装备属性!$A:$Y,20,0),0)</f>
        <v>0</v>
      </c>
      <c r="AX114" s="49">
        <f>IFERROR(VLOOKUP($AG114,装备属性!$A:$Y,21,0),0)</f>
        <v>0</v>
      </c>
      <c r="AY114" s="49">
        <f>IFERROR(VLOOKUP($AG114,装备属性!$A:$Y,22,0),0)</f>
        <v>0</v>
      </c>
      <c r="AZ114" s="138">
        <f>IFERROR(VLOOKUP($AG114,装备属性!$A:$Y,23,0),0)</f>
        <v>0</v>
      </c>
      <c r="BA114" s="138">
        <f>IFERROR(VLOOKUP($AG114,装备属性!$A:$Y,24,0),0)</f>
        <v>0</v>
      </c>
      <c r="BB114" s="138">
        <f>IFERROR(VLOOKUP($AG114,装备属性!$A:$Y,25,0),0)</f>
        <v>0</v>
      </c>
    </row>
    <row r="115" spans="28:54">
      <c r="AE115" s="49" t="str">
        <f>单英雄!$G$12</f>
        <v>√</v>
      </c>
      <c r="AF115" s="49" t="str">
        <f>IFERROR(VLOOKUP($AG115,装备属性!$A:$B,2,0),"暂无")</f>
        <v>紫装</v>
      </c>
      <c r="AG115" s="49" t="str">
        <f>IF($AE115="√",VLOOKUP($AG$110,$V$42:$AC$53,7,0),0)</f>
        <v>疾行鞋</v>
      </c>
      <c r="AH115" s="49">
        <f>IFERROR(VLOOKUP($AG115,装备属性!$A:$Y,5,0),0)</f>
        <v>31</v>
      </c>
      <c r="AI115" s="49">
        <f>IFERROR(VLOOKUP($AG115,装备属性!$A:$Y,6,0),0)</f>
        <v>31</v>
      </c>
      <c r="AJ115" s="49">
        <f>IFERROR(VLOOKUP($AG115,装备属性!$A:$Y,7,0),0)</f>
        <v>31</v>
      </c>
      <c r="AK115" s="49">
        <f>IFERROR(VLOOKUP($AG115,装备属性!$A:$Y,8,0),0)</f>
        <v>0</v>
      </c>
      <c r="AL115" s="49">
        <f>IFERROR(VLOOKUP($AG115,装备属性!$A:$Y,9,0),0)</f>
        <v>0</v>
      </c>
      <c r="AM115" s="49">
        <f>IFERROR(VLOOKUP($AG115,装备属性!$A:$Y,10,0),0)</f>
        <v>0</v>
      </c>
      <c r="AN115" s="49">
        <f>IFERROR(VLOOKUP($AG115,装备属性!$A:$Y,11,0),0)</f>
        <v>0</v>
      </c>
      <c r="AO115" s="49">
        <f>IFERROR(VLOOKUP($AG115,装备属性!$A:$Y,12,0),0)</f>
        <v>0</v>
      </c>
      <c r="AP115" s="49">
        <f>IFERROR(VLOOKUP($AG115,装备属性!$A:$Y,13,0),0)</f>
        <v>0</v>
      </c>
      <c r="AQ115" s="49">
        <f>IFERROR(VLOOKUP($AG115,装备属性!$A:$Y,14,0),0)</f>
        <v>0</v>
      </c>
      <c r="AR115" s="49">
        <f>IFERROR(VLOOKUP($AG115,装备属性!$A:$Y,15,0),0)</f>
        <v>0</v>
      </c>
      <c r="AS115" s="49">
        <f>IFERROR(VLOOKUP($AG115,装备属性!$A:$Y,16,0),0)</f>
        <v>0</v>
      </c>
      <c r="AT115" s="49">
        <f>IFERROR(VLOOKUP($AG115,装备属性!$A:$Y,17,0),0)</f>
        <v>0</v>
      </c>
      <c r="AU115" s="49">
        <f>IFERROR(VLOOKUP($AG115,装备属性!$A:$Y,18,0),0)</f>
        <v>0</v>
      </c>
      <c r="AV115" s="49">
        <f>IFERROR(VLOOKUP($AG115,装备属性!$A:$Y,19,0),0)</f>
        <v>0</v>
      </c>
      <c r="AW115" s="49">
        <f>IFERROR(VLOOKUP($AG115,装备属性!$A:$Y,20,0),0)</f>
        <v>0</v>
      </c>
      <c r="AX115" s="49">
        <f>IFERROR(VLOOKUP($AG115,装备属性!$A:$Y,21,0),0)</f>
        <v>0</v>
      </c>
      <c r="AY115" s="49">
        <f>IFERROR(VLOOKUP($AG115,装备属性!$A:$Y,22,0),0)</f>
        <v>0</v>
      </c>
      <c r="AZ115" s="138">
        <f>IFERROR(VLOOKUP($AG115,装备属性!$A:$Y,23,0),0)</f>
        <v>0</v>
      </c>
      <c r="BA115" s="138">
        <f>IFERROR(VLOOKUP($AG115,装备属性!$A:$Y,24,0),0)</f>
        <v>0</v>
      </c>
      <c r="BB115" s="138">
        <f>IFERROR(VLOOKUP($AG115,装备属性!$A:$Y,25,0),0)</f>
        <v>0</v>
      </c>
    </row>
    <row r="116" spans="28:54">
      <c r="AE116" s="49" t="str">
        <f>单英雄!$H$12</f>
        <v>×</v>
      </c>
      <c r="AF116" s="49" t="str">
        <f>IFERROR(VLOOKUP($AG116,装备属性!$A:$B,2,0),"暂无")</f>
        <v>暂无</v>
      </c>
      <c r="AG116" s="49">
        <f>IF($AE116="√",VLOOKUP($AG$110,$V$42:$AC$53,8,0),0)</f>
        <v>0</v>
      </c>
      <c r="AH116" s="49">
        <f>IFERROR(VLOOKUP($AG116,装备属性!$A:$Y,5,0),0)</f>
        <v>0</v>
      </c>
      <c r="AI116" s="49">
        <f>IFERROR(VLOOKUP($AG116,装备属性!$A:$Y,6,0),0)</f>
        <v>0</v>
      </c>
      <c r="AJ116" s="49">
        <f>IFERROR(VLOOKUP($AG116,装备属性!$A:$Y,7,0),0)</f>
        <v>0</v>
      </c>
      <c r="AK116" s="49">
        <f>IFERROR(VLOOKUP($AG116,装备属性!$A:$Y,8,0),0)</f>
        <v>0</v>
      </c>
      <c r="AL116" s="49">
        <f>IFERROR(VLOOKUP($AG116,装备属性!$A:$Y,9,0),0)</f>
        <v>0</v>
      </c>
      <c r="AM116" s="49">
        <f>IFERROR(VLOOKUP($AG116,装备属性!$A:$Y,10,0),0)</f>
        <v>0</v>
      </c>
      <c r="AN116" s="49">
        <f>IFERROR(VLOOKUP($AG116,装备属性!$A:$Y,11,0),0)</f>
        <v>0</v>
      </c>
      <c r="AO116" s="49">
        <f>IFERROR(VLOOKUP($AG116,装备属性!$A:$Y,12,0),0)</f>
        <v>0</v>
      </c>
      <c r="AP116" s="49">
        <f>IFERROR(VLOOKUP($AG116,装备属性!$A:$Y,13,0),0)</f>
        <v>0</v>
      </c>
      <c r="AQ116" s="49">
        <f>IFERROR(VLOOKUP($AG116,装备属性!$A:$Y,14,0),0)</f>
        <v>0</v>
      </c>
      <c r="AR116" s="49">
        <f>IFERROR(VLOOKUP($AG116,装备属性!$A:$Y,15,0),0)</f>
        <v>0</v>
      </c>
      <c r="AS116" s="49">
        <f>IFERROR(VLOOKUP($AG116,装备属性!$A:$Y,16,0),0)</f>
        <v>0</v>
      </c>
      <c r="AT116" s="49">
        <f>IFERROR(VLOOKUP($AG116,装备属性!$A:$Y,17,0),0)</f>
        <v>0</v>
      </c>
      <c r="AU116" s="49">
        <f>IFERROR(VLOOKUP($AG116,装备属性!$A:$Y,18,0),0)</f>
        <v>0</v>
      </c>
      <c r="AV116" s="49">
        <f>IFERROR(VLOOKUP($AG116,装备属性!$A:$Y,19,0),0)</f>
        <v>0</v>
      </c>
      <c r="AW116" s="49">
        <f>IFERROR(VLOOKUP($AG116,装备属性!$A:$Y,20,0),0)</f>
        <v>0</v>
      </c>
      <c r="AX116" s="49">
        <f>IFERROR(VLOOKUP($AG116,装备属性!$A:$Y,21,0),0)</f>
        <v>0</v>
      </c>
      <c r="AY116" s="49">
        <f>IFERROR(VLOOKUP($AG116,装备属性!$A:$Y,22,0),0)</f>
        <v>0</v>
      </c>
      <c r="AZ116" s="138">
        <f>IFERROR(VLOOKUP($AG116,装备属性!$A:$Y,23,0),0)</f>
        <v>0</v>
      </c>
      <c r="BA116" s="138">
        <f>IFERROR(VLOOKUP($AG116,装备属性!$A:$Y,24,0),0)</f>
        <v>0</v>
      </c>
      <c r="BB116" s="138">
        <f>IFERROR(VLOOKUP($AG116,装备属性!$A:$Y,25,0),0)</f>
        <v>0</v>
      </c>
    </row>
    <row r="118" spans="28:54">
      <c r="AF118" s="49" t="s">
        <v>1096</v>
      </c>
      <c r="AH118" s="50" t="s">
        <v>3</v>
      </c>
      <c r="AI118" s="50" t="s">
        <v>4</v>
      </c>
      <c r="AJ118" s="50" t="s">
        <v>5</v>
      </c>
      <c r="AK118" s="50" t="s">
        <v>103</v>
      </c>
      <c r="AL118" s="50" t="s">
        <v>14</v>
      </c>
      <c r="AM118" s="50" t="s">
        <v>47</v>
      </c>
      <c r="AN118" s="50" t="s">
        <v>35</v>
      </c>
      <c r="AO118" s="50" t="s">
        <v>38</v>
      </c>
      <c r="AP118" s="50" t="s">
        <v>34</v>
      </c>
      <c r="AQ118" s="50" t="s">
        <v>56</v>
      </c>
      <c r="AR118" s="50" t="s">
        <v>84</v>
      </c>
      <c r="AS118" s="50" t="s">
        <v>98</v>
      </c>
      <c r="AT118" s="50" t="s">
        <v>2099</v>
      </c>
      <c r="AU118" s="119" t="s">
        <v>1874</v>
      </c>
      <c r="AV118" s="50" t="s">
        <v>91</v>
      </c>
      <c r="AW118" s="50" t="s">
        <v>13</v>
      </c>
      <c r="AX118" s="50" t="s">
        <v>18</v>
      </c>
      <c r="AY118" s="51" t="s">
        <v>71</v>
      </c>
      <c r="AZ118" s="50" t="s">
        <v>130</v>
      </c>
      <c r="BA118" s="141" t="s">
        <v>2096</v>
      </c>
      <c r="BB118" s="141" t="s">
        <v>2097</v>
      </c>
    </row>
    <row r="119" spans="28:54">
      <c r="AF119" s="49">
        <f>HLOOKUP(单英雄!$C$13,中介表格1!$V$65:$AA$66,2,0)</f>
        <v>5</v>
      </c>
      <c r="AG119" s="49" t="str">
        <f>VLOOKUP($AG$110,$V$42:$AC$53,3,0)</f>
        <v>地覆</v>
      </c>
      <c r="AH119" s="49">
        <f>IFERROR(VLOOKUP($AG119,装备附魔!$A:$Y,5,0)*$AF119,0)</f>
        <v>40</v>
      </c>
      <c r="AI119" s="49">
        <f>IFERROR(VLOOKUP($AG119,装备附魔!$A:$Y,6,0)*$AF119,0)</f>
        <v>0</v>
      </c>
      <c r="AJ119" s="49">
        <f>IFERROR(VLOOKUP($AG119,装备附魔!$A:$Y,7,0)*$AF119,0)</f>
        <v>0</v>
      </c>
      <c r="AK119" s="49">
        <f>IFERROR(VLOOKUP($AG119,装备附魔!$A:$Y,8,0)*$AF119,0)</f>
        <v>0</v>
      </c>
      <c r="AL119" s="49">
        <f>IFERROR(VLOOKUP($AG119,装备附魔!$A:$Y,9,0)*$AF119,0)</f>
        <v>85</v>
      </c>
      <c r="AM119" s="49">
        <f>IFERROR(VLOOKUP($AG119,装备附魔!$A:$Y,10,0)*$AF119,0)</f>
        <v>0</v>
      </c>
      <c r="AN119" s="49">
        <f>IFERROR(VLOOKUP($AG119,装备附魔!$A:$Y,11,0)*$AF119,0)</f>
        <v>0</v>
      </c>
      <c r="AO119" s="49">
        <f>IFERROR(VLOOKUP($AG119,装备附魔!$A:$Y,12,0)*$AF119,0)</f>
        <v>0</v>
      </c>
      <c r="AP119" s="49">
        <f>IFERROR(VLOOKUP($AG119,装备附魔!$A:$Y,13,0)*$AF119,0)</f>
        <v>0</v>
      </c>
      <c r="AQ119" s="49">
        <f>IFERROR(VLOOKUP($AG119,装备附魔!$A:$Y,14,0)*$AF119,0)</f>
        <v>0</v>
      </c>
      <c r="AR119" s="49">
        <f>IFERROR(VLOOKUP($AG119,装备附魔!$A:$Y,15,0)*$AF119,0)</f>
        <v>0</v>
      </c>
      <c r="AS119" s="49">
        <f>IFERROR(VLOOKUP($AG119,装备附魔!$A:$Y,16,0)*$AF119,0)</f>
        <v>0</v>
      </c>
      <c r="AT119" s="49">
        <f>IFERROR(VLOOKUP($AG119,装备附魔!$A:$Y,17,0)*$AF119,0)</f>
        <v>0</v>
      </c>
      <c r="AU119" s="49">
        <f>IFERROR(VLOOKUP($AG119,装备附魔!$A:$Y,18,0)*$AF119,0)</f>
        <v>0</v>
      </c>
      <c r="AV119" s="49">
        <f>IFERROR(VLOOKUP($AG119,装备附魔!$A:$Y,19,0)*$AF119,0)</f>
        <v>0</v>
      </c>
      <c r="AW119" s="49">
        <f>IFERROR(VLOOKUP($AG119,装备附魔!$A:$Y,20,0)*$AF119,0)</f>
        <v>175</v>
      </c>
      <c r="AX119" s="49">
        <f>IFERROR(VLOOKUP($AG119,装备附魔!$A:$Y,21,0)*$AF119,0)</f>
        <v>50</v>
      </c>
      <c r="AY119" s="49">
        <f>IFERROR(VLOOKUP($AG119,装备附魔!$A:$Y,22,0)*$AF119,0)</f>
        <v>0</v>
      </c>
      <c r="AZ119" s="138">
        <f>IFERROR(VLOOKUP($AG119,装备附魔!$A:$Y,23,0)*$AF119,0)</f>
        <v>0</v>
      </c>
      <c r="BA119" s="138">
        <f>IFERROR(VLOOKUP($AG119,装备附魔!$A:$Y,24,0)*$AF119,0)</f>
        <v>0</v>
      </c>
      <c r="BB119" s="138">
        <f>IFERROR(VLOOKUP($AG119,装备附魔!$A:$Y,25,0)*$AF119,0)</f>
        <v>0</v>
      </c>
    </row>
    <row r="120" spans="28:54">
      <c r="AF120" s="49">
        <f>HLOOKUP(单英雄!$D$13,中介表格1!$V$65:$AA$66,2,0)</f>
        <v>5</v>
      </c>
      <c r="AG120" s="49" t="str">
        <f>VLOOKUP($AG$110,$V$42:$AC$53,4,0)</f>
        <v>麒麟弯刀</v>
      </c>
      <c r="AH120" s="49">
        <f>IFERROR(VLOOKUP($AG120,装备附魔!$A:$Y,5,0)*$AF120,0)</f>
        <v>0</v>
      </c>
      <c r="AI120" s="49">
        <f>IFERROR(VLOOKUP($AG120,装备附魔!$A:$Y,6,0)*$AF120,0)</f>
        <v>0</v>
      </c>
      <c r="AJ120" s="49">
        <f>IFERROR(VLOOKUP($AG120,装备附魔!$A:$Y,7,0)*$AF120,0)</f>
        <v>0</v>
      </c>
      <c r="AK120" s="49">
        <f>IFERROR(VLOOKUP($AG120,装备附魔!$A:$Y,8,0)*$AF120,0)</f>
        <v>0</v>
      </c>
      <c r="AL120" s="49">
        <f>IFERROR(VLOOKUP($AG120,装备附魔!$A:$Y,9,0)*$AF120,0)</f>
        <v>160</v>
      </c>
      <c r="AM120" s="49">
        <f>IFERROR(VLOOKUP($AG120,装备附魔!$A:$Y,10,0)*$AF120,0)</f>
        <v>0</v>
      </c>
      <c r="AN120" s="49">
        <f>IFERROR(VLOOKUP($AG120,装备附魔!$A:$Y,11,0)*$AF120,0)</f>
        <v>0</v>
      </c>
      <c r="AO120" s="49">
        <f>IFERROR(VLOOKUP($AG120,装备附魔!$A:$Y,12,0)*$AF120,0)</f>
        <v>0</v>
      </c>
      <c r="AP120" s="49">
        <f>IFERROR(VLOOKUP($AG120,装备附魔!$A:$Y,13,0)*$AF120,0)</f>
        <v>0</v>
      </c>
      <c r="AQ120" s="49">
        <f>IFERROR(VLOOKUP($AG120,装备附魔!$A:$Y,14,0)*$AF120,0)</f>
        <v>0</v>
      </c>
      <c r="AR120" s="49">
        <f>IFERROR(VLOOKUP($AG120,装备附魔!$A:$Y,15,0)*$AF120,0)</f>
        <v>0</v>
      </c>
      <c r="AS120" s="49">
        <f>IFERROR(VLOOKUP($AG120,装备附魔!$A:$Y,16,0)*$AF120,0)</f>
        <v>0</v>
      </c>
      <c r="AT120" s="49">
        <f>IFERROR(VLOOKUP($AG120,装备附魔!$A:$Y,17,0)*$AF120,0)</f>
        <v>0</v>
      </c>
      <c r="AU120" s="49">
        <f>IFERROR(VLOOKUP($AG120,装备附魔!$A:$Y,18,0)*$AF120,0)</f>
        <v>0</v>
      </c>
      <c r="AV120" s="49">
        <f>IFERROR(VLOOKUP($AG120,装备附魔!$A:$Y,19,0)*$AF120,0)</f>
        <v>0</v>
      </c>
      <c r="AW120" s="49">
        <f>IFERROR(VLOOKUP($AG120,装备附魔!$A:$Y,20,0)*$AF120,0)</f>
        <v>0</v>
      </c>
      <c r="AX120" s="49">
        <f>IFERROR(VLOOKUP($AG120,装备附魔!$A:$Y,21,0)*$AF120,0)</f>
        <v>0</v>
      </c>
      <c r="AY120" s="49">
        <f>IFERROR(VLOOKUP($AG120,装备附魔!$A:$Y,22,0)*$AF120,0)</f>
        <v>0</v>
      </c>
      <c r="AZ120" s="138">
        <f>IFERROR(VLOOKUP($AG120,装备附魔!$A:$Y,23,0)*$AF120,0)</f>
        <v>0</v>
      </c>
      <c r="BA120" s="138">
        <f>IFERROR(VLOOKUP($AG120,装备附魔!$A:$Y,24,0)*$AF120,0)</f>
        <v>0</v>
      </c>
      <c r="BB120" s="138">
        <f>IFERROR(VLOOKUP($AG120,装备附魔!$A:$Y,25,0)*$AF120,0)</f>
        <v>0</v>
      </c>
    </row>
    <row r="121" spans="28:54">
      <c r="AF121" s="49">
        <f>HLOOKUP(单英雄!$E$13,中介表格1!$V$65:$AA$66,2,0)</f>
        <v>5</v>
      </c>
      <c r="AG121" s="49" t="str">
        <f>VLOOKUP($AG$110,$V$42:$AC$53,5,0)</f>
        <v>振奋石</v>
      </c>
      <c r="AH121" s="49">
        <f>IFERROR(VLOOKUP($AG121,装备附魔!$A:$Y,5,0)*$AF121,0)</f>
        <v>0</v>
      </c>
      <c r="AI121" s="49">
        <f>IFERROR(VLOOKUP($AG121,装备附魔!$A:$Y,6,0)*$AF121,0)</f>
        <v>0</v>
      </c>
      <c r="AJ121" s="49">
        <f>IFERROR(VLOOKUP($AG121,装备附魔!$A:$Y,7,0)*$AF121,0)</f>
        <v>0</v>
      </c>
      <c r="AK121" s="49">
        <f>IFERROR(VLOOKUP($AG121,装备附魔!$A:$Y,8,0)*$AF121,0)</f>
        <v>0</v>
      </c>
      <c r="AL121" s="49">
        <f>IFERROR(VLOOKUP($AG121,装备附魔!$A:$Y,9,0)*$AF121,0)</f>
        <v>0</v>
      </c>
      <c r="AM121" s="49">
        <f>IFERROR(VLOOKUP($AG121,装备附魔!$A:$Y,10,0)*$AF121,0)</f>
        <v>0</v>
      </c>
      <c r="AN121" s="49">
        <f>IFERROR(VLOOKUP($AG121,装备附魔!$A:$Y,11,0)*$AF121,0)</f>
        <v>0</v>
      </c>
      <c r="AO121" s="49">
        <f>IFERROR(VLOOKUP($AG121,装备附魔!$A:$Y,12,0)*$AF121,0)</f>
        <v>0</v>
      </c>
      <c r="AP121" s="49">
        <f>IFERROR(VLOOKUP($AG121,装备附魔!$A:$Y,13,0)*$AF121,0)</f>
        <v>60</v>
      </c>
      <c r="AQ121" s="49">
        <f>IFERROR(VLOOKUP($AG121,装备附魔!$A:$Y,14,0)*$AF121,0)</f>
        <v>0</v>
      </c>
      <c r="AR121" s="49">
        <f>IFERROR(VLOOKUP($AG121,装备附魔!$A:$Y,15,0)*$AF121,0)</f>
        <v>0</v>
      </c>
      <c r="AS121" s="49">
        <f>IFERROR(VLOOKUP($AG121,装备附魔!$A:$Y,16,0)*$AF121,0)</f>
        <v>0</v>
      </c>
      <c r="AT121" s="49">
        <f>IFERROR(VLOOKUP($AG121,装备附魔!$A:$Y,17,0)*$AF121,0)</f>
        <v>0</v>
      </c>
      <c r="AU121" s="49">
        <f>IFERROR(VLOOKUP($AG121,装备附魔!$A:$Y,18,0)*$AF121,0)</f>
        <v>0</v>
      </c>
      <c r="AV121" s="49">
        <f>IFERROR(VLOOKUP($AG121,装备附魔!$A:$Y,19,0)*$AF121,0)</f>
        <v>0</v>
      </c>
      <c r="AW121" s="49">
        <f>IFERROR(VLOOKUP($AG121,装备附魔!$A:$Y,20,0)*$AF121,0)</f>
        <v>0</v>
      </c>
      <c r="AX121" s="49">
        <f>IFERROR(VLOOKUP($AG121,装备附魔!$A:$Y,21,0)*$AF121,0)</f>
        <v>0</v>
      </c>
      <c r="AY121" s="49">
        <f>IFERROR(VLOOKUP($AG121,装备附魔!$A:$Y,22,0)*$AF121,0)</f>
        <v>0</v>
      </c>
      <c r="AZ121" s="138">
        <f>IFERROR(VLOOKUP($AG121,装备附魔!$A:$Y,23,0)*$AF121,0)</f>
        <v>0</v>
      </c>
      <c r="BA121" s="138">
        <f>IFERROR(VLOOKUP($AG121,装备附魔!$A:$Y,24,0)*$AF121,0)</f>
        <v>0</v>
      </c>
      <c r="BB121" s="138">
        <f>IFERROR(VLOOKUP($AG121,装备附魔!$A:$Y,25,0)*$AF121,0)</f>
        <v>0</v>
      </c>
    </row>
    <row r="122" spans="28:54">
      <c r="AB122" s="97"/>
      <c r="AF122" s="49">
        <f>HLOOKUP(单英雄!$F$13,中介表格1!$V$65:$AA$66,2,0)</f>
        <v>5</v>
      </c>
      <c r="AG122" s="49" t="str">
        <f>VLOOKUP($AG$110,$V$42:$AC$53,6,0)</f>
        <v>角鹰弓</v>
      </c>
      <c r="AH122" s="49">
        <f>IFERROR(VLOOKUP($AG122,装备附魔!$A:$Y,5,0)*$AF122,0)</f>
        <v>0</v>
      </c>
      <c r="AI122" s="49">
        <f>IFERROR(VLOOKUP($AG122,装备附魔!$A:$Y,6,0)*$AF122,0)</f>
        <v>80</v>
      </c>
      <c r="AJ122" s="49">
        <f>IFERROR(VLOOKUP($AG122,装备附魔!$A:$Y,7,0)*$AF122,0)</f>
        <v>0</v>
      </c>
      <c r="AK122" s="49">
        <f>IFERROR(VLOOKUP($AG122,装备附魔!$A:$Y,8,0)*$AF122,0)</f>
        <v>0</v>
      </c>
      <c r="AL122" s="49">
        <f>IFERROR(VLOOKUP($AG122,装备附魔!$A:$Y,9,0)*$AF122,0)</f>
        <v>0</v>
      </c>
      <c r="AM122" s="49">
        <f>IFERROR(VLOOKUP($AG122,装备附魔!$A:$Y,10,0)*$AF122,0)</f>
        <v>0</v>
      </c>
      <c r="AN122" s="49">
        <f>IFERROR(VLOOKUP($AG122,装备附魔!$A:$Y,11,0)*$AF122,0)</f>
        <v>0</v>
      </c>
      <c r="AO122" s="49">
        <f>IFERROR(VLOOKUP($AG122,装备附魔!$A:$Y,12,0)*$AF122,0)</f>
        <v>0</v>
      </c>
      <c r="AP122" s="49">
        <f>IFERROR(VLOOKUP($AG122,装备附魔!$A:$Y,13,0)*$AF122,0)</f>
        <v>0</v>
      </c>
      <c r="AQ122" s="49">
        <f>IFERROR(VLOOKUP($AG122,装备附魔!$A:$Y,14,0)*$AF122,0)</f>
        <v>0</v>
      </c>
      <c r="AR122" s="49">
        <f>IFERROR(VLOOKUP($AG122,装备附魔!$A:$Y,15,0)*$AF122,0)</f>
        <v>0</v>
      </c>
      <c r="AS122" s="49">
        <f>IFERROR(VLOOKUP($AG122,装备附魔!$A:$Y,16,0)*$AF122,0)</f>
        <v>0</v>
      </c>
      <c r="AT122" s="49">
        <f>IFERROR(VLOOKUP($AG122,装备附魔!$A:$Y,17,0)*$AF122,0)</f>
        <v>0</v>
      </c>
      <c r="AU122" s="49">
        <f>IFERROR(VLOOKUP($AG122,装备附魔!$A:$Y,18,0)*$AF122,0)</f>
        <v>0</v>
      </c>
      <c r="AV122" s="49">
        <f>IFERROR(VLOOKUP($AG122,装备附魔!$A:$Y,19,0)*$AF122,0)</f>
        <v>0</v>
      </c>
      <c r="AW122" s="49">
        <f>IFERROR(VLOOKUP($AG122,装备附魔!$A:$Y,20,0)*$AF122,0)</f>
        <v>0</v>
      </c>
      <c r="AX122" s="49">
        <f>IFERROR(VLOOKUP($AG122,装备附魔!$A:$Y,21,0)*$AF122,0)</f>
        <v>0</v>
      </c>
      <c r="AY122" s="49">
        <f>IFERROR(VLOOKUP($AG122,装备附魔!$A:$Y,22,0)*$AF122,0)</f>
        <v>0</v>
      </c>
      <c r="AZ122" s="138">
        <f>IFERROR(VLOOKUP($AG122,装备附魔!$A:$Y,23,0)*$AF122,0)</f>
        <v>0</v>
      </c>
      <c r="BA122" s="138">
        <f>IFERROR(VLOOKUP($AG122,装备附魔!$A:$Y,24,0)*$AF122,0)</f>
        <v>0</v>
      </c>
      <c r="BB122" s="138">
        <f>IFERROR(VLOOKUP($AG122,装备附魔!$A:$Y,25,0)*$AF122,0)</f>
        <v>0</v>
      </c>
    </row>
    <row r="123" spans="28:54">
      <c r="AB123" s="97"/>
      <c r="AF123" s="49">
        <f>HLOOKUP(单英雄!$G$13,中介表格1!$V$65:$AA$66,2,0)</f>
        <v>5</v>
      </c>
      <c r="AG123" s="49" t="str">
        <f>VLOOKUP($AG$110,$V$42:$AC$53,7,0)</f>
        <v>疾行鞋</v>
      </c>
      <c r="AH123" s="49">
        <f>IFERROR(VLOOKUP($AG123,装备附魔!$A:$Y,5,0)*$AF123,0)</f>
        <v>30</v>
      </c>
      <c r="AI123" s="49">
        <f>IFERROR(VLOOKUP($AG123,装备附魔!$A:$Y,6,0)*$AF123,0)</f>
        <v>30</v>
      </c>
      <c r="AJ123" s="49">
        <f>IFERROR(VLOOKUP($AG123,装备附魔!$A:$Y,7,0)*$AF123,0)</f>
        <v>30</v>
      </c>
      <c r="AK123" s="49">
        <f>IFERROR(VLOOKUP($AG123,装备附魔!$A:$Y,8,0)*$AF123,0)</f>
        <v>0</v>
      </c>
      <c r="AL123" s="49">
        <f>IFERROR(VLOOKUP($AG123,装备附魔!$A:$Y,9,0)*$AF123,0)</f>
        <v>0</v>
      </c>
      <c r="AM123" s="49">
        <f>IFERROR(VLOOKUP($AG123,装备附魔!$A:$Y,10,0)*$AF123,0)</f>
        <v>0</v>
      </c>
      <c r="AN123" s="49">
        <f>IFERROR(VLOOKUP($AG123,装备附魔!$A:$Y,11,0)*$AF123,0)</f>
        <v>0</v>
      </c>
      <c r="AO123" s="49">
        <f>IFERROR(VLOOKUP($AG123,装备附魔!$A:$Y,12,0)*$AF123,0)</f>
        <v>0</v>
      </c>
      <c r="AP123" s="49">
        <f>IFERROR(VLOOKUP($AG123,装备附魔!$A:$Y,13,0)*$AF123,0)</f>
        <v>0</v>
      </c>
      <c r="AQ123" s="49">
        <f>IFERROR(VLOOKUP($AG123,装备附魔!$A:$Y,14,0)*$AF123,0)</f>
        <v>0</v>
      </c>
      <c r="AR123" s="49">
        <f>IFERROR(VLOOKUP($AG123,装备附魔!$A:$Y,15,0)*$AF123,0)</f>
        <v>0</v>
      </c>
      <c r="AS123" s="49">
        <f>IFERROR(VLOOKUP($AG123,装备附魔!$A:$Y,16,0)*$AF123,0)</f>
        <v>0</v>
      </c>
      <c r="AT123" s="49">
        <f>IFERROR(VLOOKUP($AG123,装备附魔!$A:$Y,17,0)*$AF123,0)</f>
        <v>0</v>
      </c>
      <c r="AU123" s="49">
        <f>IFERROR(VLOOKUP($AG123,装备附魔!$A:$Y,18,0)*$AF123,0)</f>
        <v>0</v>
      </c>
      <c r="AV123" s="49">
        <f>IFERROR(VLOOKUP($AG123,装备附魔!$A:$Y,19,0)*$AF123,0)</f>
        <v>0</v>
      </c>
      <c r="AW123" s="49">
        <f>IFERROR(VLOOKUP($AG123,装备附魔!$A:$Y,20,0)*$AF123,0)</f>
        <v>0</v>
      </c>
      <c r="AX123" s="49">
        <f>IFERROR(VLOOKUP($AG123,装备附魔!$A:$Y,21,0)*$AF123,0)</f>
        <v>0</v>
      </c>
      <c r="AY123" s="49">
        <f>IFERROR(VLOOKUP($AG123,装备附魔!$A:$Y,22,0)*$AF123,0)</f>
        <v>0</v>
      </c>
      <c r="AZ123" s="138">
        <f>IFERROR(VLOOKUP($AG123,装备附魔!$A:$Y,23,0)*$AF123,0)</f>
        <v>0</v>
      </c>
      <c r="BA123" s="138">
        <f>IFERROR(VLOOKUP($AG123,装备附魔!$A:$Y,24,0)*$AF123,0)</f>
        <v>0</v>
      </c>
      <c r="BB123" s="138">
        <f>IFERROR(VLOOKUP($AG123,装备附魔!$A:$Y,25,0)*$AF123,0)</f>
        <v>0</v>
      </c>
    </row>
    <row r="124" spans="28:54">
      <c r="AB124" s="97"/>
      <c r="AF124" s="49">
        <f>HLOOKUP(单英雄!$H$13,中介表格1!$V$65:$AA$66,2,0)</f>
        <v>0</v>
      </c>
      <c r="AG124" s="49" t="str">
        <f>VLOOKUP($AG$110,$V$42:$AC$53,8,0)</f>
        <v>?</v>
      </c>
      <c r="AH124" s="49">
        <f>IFERROR(VLOOKUP($AG124,装备附魔!$A:$Y,5,0)*$AF124,0)</f>
        <v>0</v>
      </c>
      <c r="AI124" s="49">
        <f>IFERROR(VLOOKUP($AG124,装备附魔!$A:$Y,6,0)*$AF124,0)</f>
        <v>0</v>
      </c>
      <c r="AJ124" s="49">
        <f>IFERROR(VLOOKUP($AG124,装备附魔!$A:$Y,7,0)*$AF124,0)</f>
        <v>0</v>
      </c>
      <c r="AK124" s="49">
        <f>IFERROR(VLOOKUP($AG124,装备附魔!$A:$Y,8,0)*$AF124,0)</f>
        <v>0</v>
      </c>
      <c r="AL124" s="49">
        <f>IFERROR(VLOOKUP($AG124,装备附魔!$A:$Y,9,0)*$AF124,0)</f>
        <v>0</v>
      </c>
      <c r="AM124" s="49">
        <f>IFERROR(VLOOKUP($AG124,装备附魔!$A:$Y,10,0)*$AF124,0)</f>
        <v>0</v>
      </c>
      <c r="AN124" s="49">
        <f>IFERROR(VLOOKUP($AG124,装备附魔!$A:$Y,11,0)*$AF124,0)</f>
        <v>0</v>
      </c>
      <c r="AO124" s="49">
        <f>IFERROR(VLOOKUP($AG124,装备附魔!$A:$Y,12,0)*$AF124,0)</f>
        <v>0</v>
      </c>
      <c r="AP124" s="49">
        <f>IFERROR(VLOOKUP($AG124,装备附魔!$A:$Y,13,0)*$AF124,0)</f>
        <v>0</v>
      </c>
      <c r="AQ124" s="49">
        <f>IFERROR(VLOOKUP($AG124,装备附魔!$A:$Y,14,0)*$AF124,0)</f>
        <v>0</v>
      </c>
      <c r="AR124" s="49">
        <f>IFERROR(VLOOKUP($AG124,装备附魔!$A:$Y,15,0)*$AF124,0)</f>
        <v>0</v>
      </c>
      <c r="AS124" s="49">
        <f>IFERROR(VLOOKUP($AG124,装备附魔!$A:$Y,16,0)*$AF124,0)</f>
        <v>0</v>
      </c>
      <c r="AT124" s="49">
        <f>IFERROR(VLOOKUP($AG124,装备附魔!$A:$Y,17,0)*$AF124,0)</f>
        <v>0</v>
      </c>
      <c r="AU124" s="49">
        <f>IFERROR(VLOOKUP($AG124,装备附魔!$A:$Y,18,0)*$AF124,0)</f>
        <v>0</v>
      </c>
      <c r="AV124" s="49">
        <f>IFERROR(VLOOKUP($AG124,装备附魔!$A:$Y,19,0)*$AF124,0)</f>
        <v>0</v>
      </c>
      <c r="AW124" s="49">
        <f>IFERROR(VLOOKUP($AG124,装备附魔!$A:$Y,20,0)*$AF124,0)</f>
        <v>0</v>
      </c>
      <c r="AX124" s="49">
        <f>IFERROR(VLOOKUP($AG124,装备附魔!$A:$Y,21,0)*$AF124,0)</f>
        <v>0</v>
      </c>
      <c r="AY124" s="49">
        <f>IFERROR(VLOOKUP($AG124,装备附魔!$A:$Y,22,0)*$AF124,0)</f>
        <v>0</v>
      </c>
      <c r="AZ124" s="138">
        <f>IFERROR(VLOOKUP($AG124,装备附魔!$A:$Y,23,0)*$AF124,0)</f>
        <v>0</v>
      </c>
      <c r="BA124" s="138">
        <f>IFERROR(VLOOKUP($AG124,装备附魔!$A:$Y,24,0)*$AF124,0)</f>
        <v>0</v>
      </c>
      <c r="BB124" s="138">
        <f>IFERROR(VLOOKUP($AG124,装备附魔!$A:$Y,25,0)*$AF124,0)</f>
        <v>0</v>
      </c>
    </row>
    <row r="125" spans="28:54">
      <c r="AB125" s="97"/>
    </row>
    <row r="127" spans="28:54">
      <c r="AG127" s="48" t="s">
        <v>1741</v>
      </c>
    </row>
    <row r="128" spans="28:54">
      <c r="AD128" s="97">
        <f>IF($AG$128="",,VLOOKUP(单英雄!$C$2,英雄初始!$A:$AE,20,0))</f>
        <v>0</v>
      </c>
      <c r="AE128" s="97">
        <f>VLOOKUP(单英雄!$C$2,英雄初始!$A:$AE,24,0)</f>
        <v>0</v>
      </c>
      <c r="AF128" s="97">
        <f>VLOOKUP(单英雄!$C$2,英雄初始!$A:$AE,28,0)</f>
        <v>0</v>
      </c>
      <c r="AG128" s="56" t="str">
        <f>IF($G$5="",VLOOKUP(单英雄!$C$2,英雄初始!$A:$AE,16,0),"")</f>
        <v>瞬间出剑6次，攻击敌阵中随机目标。因为速度太快，没有人在施放无敌斩期间击中剑圣。</v>
      </c>
    </row>
    <row r="129" spans="30:52">
      <c r="AD129" s="97">
        <f>IF($AG$129="",,VLOOKUP(单英雄!$C$2,英雄初始!$A:$AE,21,0))</f>
        <v>0</v>
      </c>
      <c r="AE129" s="97">
        <f>VLOOKUP(单英雄!$C$2,英雄初始!$A:$AE,25,0)</f>
        <v>0</v>
      </c>
      <c r="AF129" s="97">
        <f>VLOOKUP(单英雄!$C$2,英雄初始!$A:$AE,29,0)</f>
        <v>0</v>
      </c>
      <c r="AG129" s="56" t="str">
        <f>IF(AND($V$2&gt;1,$G$5=""),VLOOKUP(单英雄!$C$2,英雄初始!$A:$AE,17,0),"")</f>
        <v>舞起剑刃风暴切人敌军,对周围的敌方单位造成物理伤害。剑圣此时对魔法免疫。</v>
      </c>
    </row>
    <row r="130" spans="30:52">
      <c r="AD130" s="97">
        <f>IF($AG$130="",,VLOOKUP(单英雄!$C$2,英雄初始!$A:$AE,22,0))</f>
        <v>0</v>
      </c>
      <c r="AE130" s="97">
        <f>VLOOKUP(单英雄!$C$2,英雄初始!$A:$AE,26,0)</f>
        <v>0</v>
      </c>
      <c r="AF130" s="97">
        <f>VLOOKUP(单英雄!$C$2,英雄初始!$A:$AE,30,0)</f>
        <v>0</v>
      </c>
      <c r="AG130" s="56" t="str">
        <f>IF(AND($V$2&gt;3,$G$5=""),VLOOKUP(单英雄!$C$2,英雄初始!$A:$AE,18,0),"")</f>
        <v>放置一个治疗图腾,为所有队友缓慢恢复生命值。</v>
      </c>
    </row>
    <row r="131" spans="30:52">
      <c r="AD131" s="97" t="str">
        <f>IF($AG$131="",,VLOOKUP(单英雄!$C$2,英雄初始!$A:$AE,23,0))</f>
        <v>敏捷</v>
      </c>
      <c r="AE131" s="97">
        <f>VLOOKUP(单英雄!$C$2,英雄初始!$A:$AE,27,0)</f>
        <v>120</v>
      </c>
      <c r="AF131" s="97">
        <f>VLOOKUP(单英雄!$C$2,英雄初始!$A:$AE,31,0)</f>
        <v>3</v>
      </c>
      <c r="AG131" s="56" t="str">
        <f>IF(AND($V$2&gt;6,$G$5=""),VLOOKUP(单英雄!$C$2,英雄初始!$A:$AE,19,0),"")</f>
        <v>被动：高超的剑术可以轻易击中敌人的要害，大幅提高暴击。</v>
      </c>
    </row>
    <row r="133" spans="30:52">
      <c r="AG133" s="234" t="s">
        <v>1742</v>
      </c>
      <c r="AH133" s="232" t="s">
        <v>203</v>
      </c>
      <c r="AI133" s="232" t="s">
        <v>3</v>
      </c>
      <c r="AJ133" s="232">
        <f>IF($AD$128=AI133,$AE$128+单英雄!$C$4*中介表格1!$AF$128,0)+IF($AD$129=AI133,$AE$129+单英雄!$C$4*中介表格1!$AF$129,0)+IF($AD$130=AI133,$AE$130+(单英雄!$C$4-20)*中介表格1!$AF$130,0)+IF($AD$131=AI133,$AE$131+(单英雄!$C$4-40)*中介表格1!$AF$131,0)</f>
        <v>0</v>
      </c>
      <c r="AK133" s="232" t="s">
        <v>4</v>
      </c>
      <c r="AL133" s="232">
        <f>IF($AD$128=AK133,$AE$128+单英雄!$C$4*中介表格1!$AF$128,0)+IF($AD$129=AK133,$AE$129+单英雄!$C$4*中介表格1!$AF$129,0)+IF($AD$130=AK133,$AE$130+(单英雄!$C$4-20)*中介表格1!$AF$130,0)+IF($AD$131=AK133,$AE$131+(单英雄!$C$4-40)*中介表格1!$AF$131,0)</f>
        <v>270</v>
      </c>
      <c r="AM133" s="232" t="s">
        <v>5</v>
      </c>
      <c r="AN133" s="232">
        <f>IF($AD$128=AM133,$AE$128+单英雄!$C$4*中介表格1!$AF$128,0)+IF($AD$129=AM133,$AE$129+单英雄!$C$4*中介表格1!$AF$129,0)+IF($AD$130=AM133,$AE$130+(单英雄!$C$4-20)*中介表格1!$AF$130,0)+IF($AD$131=AM133,$AE$131+(单英雄!$C$4-40)*中介表格1!$AF$131,0)</f>
        <v>0</v>
      </c>
      <c r="AO133" s="97"/>
      <c r="AP133" s="97"/>
      <c r="AQ133" s="97"/>
      <c r="AR133" s="97"/>
      <c r="AS133" s="97"/>
      <c r="AT133" s="97"/>
      <c r="AU133" s="97"/>
      <c r="AV133" s="97"/>
      <c r="AW133" s="97"/>
    </row>
    <row r="134" spans="30:52">
      <c r="AG134" s="234"/>
      <c r="AH134" s="232"/>
      <c r="AI134" s="232"/>
      <c r="AJ134" s="232"/>
      <c r="AK134" s="232"/>
      <c r="AL134" s="232"/>
      <c r="AM134" s="232"/>
      <c r="AN134" s="232"/>
      <c r="AO134" s="97"/>
      <c r="AP134" s="97"/>
      <c r="AQ134" s="97"/>
      <c r="AR134" s="97"/>
      <c r="AS134" s="97"/>
      <c r="AT134" s="97"/>
      <c r="AU134" s="97"/>
      <c r="AV134" s="97"/>
      <c r="AW134" s="97"/>
    </row>
    <row r="135" spans="30:52">
      <c r="AG135" s="234"/>
      <c r="AH135" s="232" t="s">
        <v>1077</v>
      </c>
      <c r="AI135" s="50" t="s">
        <v>103</v>
      </c>
      <c r="AJ135" s="50" t="s">
        <v>14</v>
      </c>
      <c r="AK135" s="50" t="s">
        <v>47</v>
      </c>
      <c r="AL135" s="50" t="s">
        <v>35</v>
      </c>
      <c r="AM135" s="50" t="s">
        <v>38</v>
      </c>
      <c r="AN135" s="50" t="s">
        <v>34</v>
      </c>
      <c r="AO135" s="50" t="s">
        <v>56</v>
      </c>
      <c r="AP135" s="50" t="s">
        <v>84</v>
      </c>
      <c r="AQ135" s="50" t="s">
        <v>98</v>
      </c>
      <c r="AR135" s="50" t="s">
        <v>2099</v>
      </c>
      <c r="AS135" s="119" t="s">
        <v>1874</v>
      </c>
      <c r="AT135" s="50" t="s">
        <v>91</v>
      </c>
      <c r="AU135" s="50" t="s">
        <v>13</v>
      </c>
      <c r="AV135" s="50" t="s">
        <v>18</v>
      </c>
      <c r="AW135" s="51" t="s">
        <v>71</v>
      </c>
      <c r="AX135" s="50" t="s">
        <v>130</v>
      </c>
      <c r="AY135" s="141" t="s">
        <v>2096</v>
      </c>
      <c r="AZ135" s="141" t="s">
        <v>2097</v>
      </c>
    </row>
    <row r="136" spans="30:52">
      <c r="AG136" s="234"/>
      <c r="AH136" s="232"/>
      <c r="AI136" s="97">
        <f>IF($AD$128=AI135,$AE$128+单英雄!$C$4*中介表格1!$AF$128,0)+IF($AD$129=AI135,$AE$129+单英雄!$C$4*中介表格1!$AF$129,0)+IF($AD$130=AI135,$AE$130+(单英雄!$C$4-20)*中介表格1!$AF$130,0)+IF($AD$131=AI135,$AE$131+(单英雄!$C$4-40)*中介表格1!$AF$131,0)</f>
        <v>0</v>
      </c>
      <c r="AJ136" s="97">
        <f>IF($AD$128=AJ135,$AE$128+单英雄!$C$4*中介表格1!$AF$128,0)+IF($AD$129=AJ135,$AE$129+单英雄!$C$4*中介表格1!$AF$129,0)+IF($AD$130=AJ135,$AE$130+(单英雄!$C$4-20)*中介表格1!$AF$130,0)+IF($AD$131=AJ135,$AE$131+(单英雄!$C$4-40)*中介表格1!$AF$131,0)</f>
        <v>0</v>
      </c>
      <c r="AK136" s="97">
        <f>IF($AD$128=AK135,$AE$128+单英雄!$C$4*中介表格1!$AF$128,0)+IF($AD$129=AK135,$AE$129+单英雄!$C$4*中介表格1!$AF$129,0)+IF($AD$130=AK135,$AE$130+(单英雄!$C$4-20)*中介表格1!$AF$130,0)+IF($AD$131=AK135,$AE$131+(单英雄!$C$4-40)*中介表格1!$AF$131,0)</f>
        <v>0</v>
      </c>
      <c r="AL136" s="97">
        <f>IF($AD$128=AL135,$AE$128+单英雄!$C$4*中介表格1!$AF$128,0)+IF($AD$129=AL135,$AE$129+单英雄!$C$4*中介表格1!$AF$129,0)+IF($AD$130=AL135,$AE$130+(单英雄!$C$4-20)*中介表格1!$AF$130,0)+IF($AD$131=AL135,$AE$131+(单英雄!$C$4-40)*中介表格1!$AF$131,0)</f>
        <v>0</v>
      </c>
      <c r="AM136" s="97">
        <f>IF($AD$128=AM135,$AE$128+单英雄!$C$4*中介表格1!$AF$128,0)+IF($AD$129=AM135,$AE$129+单英雄!$C$4*中介表格1!$AF$129,0)+IF($AD$130=AM135,$AE$130+(单英雄!$C$4-20)*中介表格1!$AF$130,0)+IF($AD$131=AM135,$AE$131+(单英雄!$C$4-40)*中介表格1!$AF$131,0)</f>
        <v>0</v>
      </c>
      <c r="AN136" s="97">
        <f>IF($AD$128=AN135,$AE$128+单英雄!$C$4*中介表格1!$AF$128,0)+IF($AD$129=AN135,$AE$129+单英雄!$C$4*中介表格1!$AF$129,0)+IF($AD$130=AN135,$AE$130+(单英雄!$C$4-20)*中介表格1!$AF$130,0)+IF($AD$131=AN135,$AE$131+(单英雄!$C$4-40)*中介表格1!$AF$131,0)</f>
        <v>0</v>
      </c>
      <c r="AO136" s="97">
        <f>IF($AD$128=AO135,$AE$128+单英雄!$C$4*中介表格1!$AF$128,0)+IF($AD$129=AO135,$AE$129+单英雄!$C$4*中介表格1!$AF$129,0)+IF($AD$130=AO135,$AE$130+(单英雄!$C$4-20)*中介表格1!$AF$130,0)+IF($AD$131=AO135,$AE$131+(单英雄!$C$4-40)*中介表格1!$AF$131,0)</f>
        <v>0</v>
      </c>
      <c r="AP136" s="97">
        <f>IF($AD$128=AP135,$AE$128+单英雄!$C$4*中介表格1!$AF$128,0)+IF($AD$129=AP135,$AE$129+单英雄!$C$4*中介表格1!$AF$129,0)+IF($AD$130=AP135,$AE$130+(单英雄!$C$4-20)*中介表格1!$AF$130,0)+IF($AD$131=AP135,$AE$131+(单英雄!$C$4-40)*中介表格1!$AF$131,0)</f>
        <v>0</v>
      </c>
      <c r="AQ136" s="97">
        <f>IF($AD$128=AQ135,$AE$128+单英雄!$C$4*中介表格1!$AF$128,0)+IF($AD$129=AQ135,$AE$129+单英雄!$C$4*中介表格1!$AF$129,0)+IF($AD$130=AQ135,$AE$130+(单英雄!$C$4-20)*中介表格1!$AF$130,0)+IF($AD$131=AQ135,$AE$131+(单英雄!$C$4-40)*中介表格1!$AF$131,0)</f>
        <v>0</v>
      </c>
      <c r="AR136" s="97">
        <f>IF($AD$128=AR135,$AE$128+单英雄!$C$4*中介表格1!$AF$128,0)+IF($AD$129=AR135,$AE$129+单英雄!$C$4*中介表格1!$AF$129,0)+IF($AD$130=AR135,$AE$130+(单英雄!$C$4-20)*中介表格1!$AF$130,0)+IF($AD$131=AR135,$AE$131+(单英雄!$C$4-40)*中介表格1!$AF$131,0)</f>
        <v>0</v>
      </c>
      <c r="AS136" s="97">
        <f>IF($AD$128=AS135,$AE$128+单英雄!$C$4*中介表格1!$AF$128,0)+IF($AD$129=AS135,$AE$129+单英雄!$C$4*中介表格1!$AF$129,0)+IF($AD$130=AS135,$AE$130+(单英雄!$C$4-20)*中介表格1!$AF$130,0)+IF($AD$131=AS135,$AE$131+(单英雄!$C$4-40)*中介表格1!$AF$131,0)</f>
        <v>0</v>
      </c>
      <c r="AT136" s="97">
        <f>IF($AD$128=AT135,$AE$128+单英雄!$C$4*中介表格1!$AF$128,0)+IF($AD$129=AT135,$AE$129+单英雄!$C$4*中介表格1!$AF$129,0)+IF($AD$130=AT135,$AE$130+(单英雄!$C$4-20)*中介表格1!$AF$130,0)+IF($AD$131=AT135,$AE$131+(单英雄!$C$4-40)*中介表格1!$AF$131,0)</f>
        <v>0</v>
      </c>
      <c r="AU136" s="97">
        <f>IF($AD$128=AU135,$AE$128+单英雄!$C$4*中介表格1!$AF$128,0)+IF($AD$129=AU135,$AE$129+单英雄!$C$4*中介表格1!$AF$129,0)+IF($AD$130=AU135,$AE$130+(单英雄!$C$4-20)*中介表格1!$AF$130,0)+IF($AD$131=AU135,$AE$131+(单英雄!$C$4-40)*中介表格1!$AF$131,0)</f>
        <v>0</v>
      </c>
      <c r="AV136" s="97">
        <f>IF($AD$128=AV135,$AE$128+单英雄!$C$4*中介表格1!$AF$128,0)+IF($AD$129=AV135,$AE$129+单英雄!$C$4*中介表格1!$AF$129,0)+IF($AD$130=AV135,$AE$130+(单英雄!$C$4-20)*中介表格1!$AF$130,0)+IF($AD$131=AV135,$AE$131+(单英雄!$C$4-40)*中介表格1!$AF$131,0)</f>
        <v>0</v>
      </c>
      <c r="AW136" s="97">
        <f>IF($AD$128=AW135,$AE$128+单英雄!$C$4*中介表格1!$AF$128,0)+IF($AD$129=AW135,$AE$129+单英雄!$C$4*中介表格1!$AF$129,0)+IF($AD$130=AW135,$AE$130+(单英雄!$C$4-20)*中介表格1!$AF$130,0)+IF($AD$131=AW135,$AE$131+(单英雄!$C$4-40)*中介表格1!$AF$131,0)</f>
        <v>0</v>
      </c>
      <c r="AX136" s="140">
        <f>IF($AD$128=AX135,$AE$128+单英雄!$C$4*中介表格1!$AF$128,0)+IF($AD$129=AX135,$AE$129+单英雄!$C$4*中介表格1!$AF$129,0)+IF($AD$130=AX135,$AE$130+(单英雄!$C$4-20)*中介表格1!$AF$130,0)+IF($AD$131=AX135,$AE$131+(单英雄!$C$4-40)*中介表格1!$AF$131,0)</f>
        <v>0</v>
      </c>
      <c r="AY136" s="140">
        <f>IF($AD$128=AY135,$AE$128+单英雄!$C$4*中介表格1!$AF$128,0)+IF($AD$129=AY135,$AE$129+单英雄!$C$4*中介表格1!$AF$129,0)+IF($AD$130=AY135,$AE$130+(单英雄!$C$4-20)*中介表格1!$AF$130,0)+IF($AD$131=AY135,$AE$131+(单英雄!$C$4-40)*中介表格1!$AF$131,0)</f>
        <v>0</v>
      </c>
      <c r="AZ136" s="140">
        <f>IF($AD$128=AZ135,$AE$128+单英雄!$C$4*中介表格1!$AF$128,0)+IF($AD$129=AZ135,$AE$129+单英雄!$C$4*中介表格1!$AF$129,0)+IF($AD$130=AZ135,$AE$130+(单英雄!$C$4-20)*中介表格1!$AF$130,0)+IF($AD$131=AZ135,$AE$131+(单英雄!$C$4-40)*中介表格1!$AF$131,0)</f>
        <v>0</v>
      </c>
    </row>
  </sheetData>
  <sheetProtection password="8926" sheet="1" objects="1" scenarios="1" selectLockedCells="1" selectUnlockedCells="1"/>
  <mergeCells count="52">
    <mergeCell ref="AG1:AG4"/>
    <mergeCell ref="AL133:AL134"/>
    <mergeCell ref="AM133:AM134"/>
    <mergeCell ref="AN133:AN134"/>
    <mergeCell ref="AH135:AH136"/>
    <mergeCell ref="AG133:AG136"/>
    <mergeCell ref="AH133:AH134"/>
    <mergeCell ref="AI133:AI134"/>
    <mergeCell ref="AJ133:AJ134"/>
    <mergeCell ref="AK133:AK134"/>
    <mergeCell ref="AI11:AI12"/>
    <mergeCell ref="AH13:AH14"/>
    <mergeCell ref="AJ11:AJ12"/>
    <mergeCell ref="AK11:AK12"/>
    <mergeCell ref="AM6:AM7"/>
    <mergeCell ref="AJ6:AJ7"/>
    <mergeCell ref="AO1:AO2"/>
    <mergeCell ref="AP1:AP2"/>
    <mergeCell ref="AN1:AN2"/>
    <mergeCell ref="AH3:AH4"/>
    <mergeCell ref="AH1:AH2"/>
    <mergeCell ref="AI1:AI2"/>
    <mergeCell ref="AJ1:AJ2"/>
    <mergeCell ref="AK1:AK2"/>
    <mergeCell ref="AL1:AL2"/>
    <mergeCell ref="AM1:AM2"/>
    <mergeCell ref="G5:G10"/>
    <mergeCell ref="AO6:AO7"/>
    <mergeCell ref="AG6:AG9"/>
    <mergeCell ref="AH6:AH7"/>
    <mergeCell ref="AI6:AI7"/>
    <mergeCell ref="E24:E29"/>
    <mergeCell ref="AJ16:AJ17"/>
    <mergeCell ref="AK16:AK17"/>
    <mergeCell ref="AG16:AG19"/>
    <mergeCell ref="AG11:AG14"/>
    <mergeCell ref="AP6:AP7"/>
    <mergeCell ref="AL16:AL17"/>
    <mergeCell ref="AN6:AN7"/>
    <mergeCell ref="AH8:AH9"/>
    <mergeCell ref="AL6:AL7"/>
    <mergeCell ref="AL11:AL12"/>
    <mergeCell ref="AM11:AM12"/>
    <mergeCell ref="AN11:AN12"/>
    <mergeCell ref="AK6:AK7"/>
    <mergeCell ref="AH11:AH12"/>
    <mergeCell ref="V71:AA72"/>
    <mergeCell ref="AM16:AM17"/>
    <mergeCell ref="AN16:AN17"/>
    <mergeCell ref="AH18:AH19"/>
    <mergeCell ref="AH16:AH17"/>
    <mergeCell ref="AI16:AI17"/>
  </mergeCells>
  <phoneticPr fontId="1" type="noConversion"/>
  <conditionalFormatting sqref="I3:T53">
    <cfRule type="expression" dxfId="39" priority="1" stopIfTrue="1">
      <formula>AND(I3&lt;&gt;"",COUNTIF($A:$A,I3)&gt;0)</formula>
    </cfRule>
    <cfRule type="expression" dxfId="38" priority="2" stopIfTrue="1">
      <formula>AND(I3&lt;&gt;"",COUNTIF($B:$B,I3)&gt;0)</formula>
    </cfRule>
    <cfRule type="expression" dxfId="37" priority="3" stopIfTrue="1">
      <formula>AND(I3&lt;&gt;"",COUNTIF($C:$C,I3)&gt;0)</formula>
    </cfRule>
    <cfRule type="expression" dxfId="36" priority="4" stopIfTrue="1">
      <formula>AND(I3&lt;&gt;"",COUNTIF($D:$D,I3)&gt;0)</formula>
    </cfRule>
    <cfRule type="expression" dxfId="35" priority="5" stopIfTrue="1">
      <formula>AND(I3&lt;&gt;"",COUNTIF($E:$E,I3)&gt;0)</formula>
    </cfRule>
  </conditionalFormatting>
  <dataValidations disablePrompts="1" count="1">
    <dataValidation type="whole" allowBlank="1" showInputMessage="1" showErrorMessage="1" sqref="D25">
      <formula1>0</formula1>
      <formula2>100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3"/>
  <dimension ref="A1:BC136"/>
  <sheetViews>
    <sheetView topLeftCell="BC26" zoomScale="85" zoomScaleNormal="85" workbookViewId="0">
      <selection activeCell="S56" sqref="S56"/>
    </sheetView>
  </sheetViews>
  <sheetFormatPr defaultRowHeight="13.5" outlineLevelCol="1"/>
  <cols>
    <col min="1" max="3" width="9" style="151" hidden="1" customWidth="1" outlineLevel="1"/>
    <col min="4" max="4" width="9.25" style="151" hidden="1" customWidth="1" outlineLevel="1"/>
    <col min="5" max="5" width="10.375" style="151" hidden="1" customWidth="1" outlineLevel="1"/>
    <col min="6" max="7" width="9" style="151" hidden="1" customWidth="1" outlineLevel="1"/>
    <col min="8" max="8" width="9" style="50" hidden="1" customWidth="1" outlineLevel="1"/>
    <col min="9" max="17" width="8.625" style="50" hidden="1" customWidth="1" outlineLevel="1"/>
    <col min="18" max="20" width="9" style="50" hidden="1" customWidth="1" outlineLevel="1"/>
    <col min="21" max="54" width="9" style="151" hidden="1" customWidth="1" outlineLevel="1"/>
    <col min="55" max="55" width="9" style="151" collapsed="1"/>
    <col min="56" max="16384" width="9" style="151"/>
  </cols>
  <sheetData>
    <row r="1" spans="1:52">
      <c r="A1" s="48" t="s">
        <v>1054</v>
      </c>
      <c r="B1" s="151" t="str">
        <f>英雄初始!A2</f>
        <v>潮汐</v>
      </c>
      <c r="D1" s="48" t="s">
        <v>1056</v>
      </c>
      <c r="E1" s="151" t="s">
        <v>247</v>
      </c>
      <c r="G1" s="48" t="s">
        <v>1063</v>
      </c>
      <c r="H1" s="50" t="s">
        <v>202</v>
      </c>
      <c r="I1" s="50" t="s">
        <v>1064</v>
      </c>
      <c r="J1" s="50" t="s">
        <v>1065</v>
      </c>
      <c r="K1" s="50" t="s">
        <v>1066</v>
      </c>
      <c r="L1" s="50" t="s">
        <v>1067</v>
      </c>
      <c r="M1" s="50" t="s">
        <v>1068</v>
      </c>
      <c r="N1" s="50" t="s">
        <v>1069</v>
      </c>
      <c r="O1" s="50" t="s">
        <v>1070</v>
      </c>
      <c r="P1" s="50" t="s">
        <v>1071</v>
      </c>
      <c r="Q1" s="50" t="s">
        <v>1072</v>
      </c>
      <c r="R1" s="50" t="s">
        <v>2088</v>
      </c>
      <c r="S1" s="50" t="s">
        <v>2089</v>
      </c>
      <c r="T1" s="50" t="s">
        <v>2090</v>
      </c>
      <c r="V1" s="48" t="s">
        <v>1073</v>
      </c>
      <c r="W1" s="151" t="str">
        <f>IF($V$2&lt;1,"","白")</f>
        <v>白</v>
      </c>
      <c r="X1" s="151" t="str">
        <f>VLOOKUP(英雄对比!$C$2,英雄装备!$F:$BZ,2,0)</f>
        <v>树枝</v>
      </c>
      <c r="Y1" s="151" t="str">
        <f>VLOOKUP(英雄对比!$C$2,英雄装备!$F:$BZ,3,0)</f>
        <v>树枝</v>
      </c>
      <c r="Z1" s="151" t="str">
        <f>VLOOKUP(英雄对比!$C$2,英雄装备!$F:$BZ,4,0)</f>
        <v>敏捷丝袜</v>
      </c>
      <c r="AA1" s="151" t="str">
        <f>VLOOKUP(英雄对比!$C$2,英雄装备!$F:$BZ,5,0)</f>
        <v>敏捷丝袜</v>
      </c>
      <c r="AB1" s="151" t="str">
        <f>VLOOKUP(英雄对比!$C$2,英雄装备!$F:$BZ,6,0)</f>
        <v>防御指环</v>
      </c>
      <c r="AC1" s="151" t="str">
        <f>VLOOKUP(英雄对比!$C$2,英雄装备!$F:$BZ,7,0)</f>
        <v>小圆盾</v>
      </c>
      <c r="AF1" s="48" t="s">
        <v>1078</v>
      </c>
      <c r="AG1" s="234" t="s">
        <v>1075</v>
      </c>
      <c r="AH1" s="232" t="s">
        <v>203</v>
      </c>
      <c r="AI1" s="232" t="s">
        <v>3</v>
      </c>
      <c r="AJ1" s="232">
        <f>AJ11+AJ16</f>
        <v>1025</v>
      </c>
      <c r="AK1" s="232" t="s">
        <v>4</v>
      </c>
      <c r="AL1" s="232">
        <f>AL11+AL16</f>
        <v>1105</v>
      </c>
      <c r="AM1" s="232" t="s">
        <v>5</v>
      </c>
      <c r="AN1" s="232">
        <f>AN11+AN16</f>
        <v>554</v>
      </c>
      <c r="AO1" s="232" t="s">
        <v>203</v>
      </c>
      <c r="AP1" s="232">
        <f>IF(英雄对比!$M$2="力量",AJ1,IF(英雄对比!$M$2="敏捷",AL1,AN1))</f>
        <v>1105</v>
      </c>
    </row>
    <row r="2" spans="1:52">
      <c r="B2" s="151" t="str">
        <f>英雄初始!A3</f>
        <v>船长</v>
      </c>
      <c r="E2" s="151" t="s">
        <v>1058</v>
      </c>
      <c r="I2" s="50" t="s">
        <v>228</v>
      </c>
      <c r="J2" s="50" t="s">
        <v>209</v>
      </c>
      <c r="K2" s="50" t="s">
        <v>210</v>
      </c>
      <c r="L2" s="50" t="s">
        <v>211</v>
      </c>
      <c r="M2" s="50" t="s">
        <v>212</v>
      </c>
      <c r="N2" s="50" t="s">
        <v>213</v>
      </c>
      <c r="O2" s="50" t="s">
        <v>214</v>
      </c>
      <c r="P2" s="50" t="s">
        <v>215</v>
      </c>
      <c r="Q2" s="50" t="s">
        <v>216</v>
      </c>
      <c r="R2" s="50" t="s">
        <v>217</v>
      </c>
      <c r="S2" s="50" t="s">
        <v>2091</v>
      </c>
      <c r="T2" s="50" t="s">
        <v>1862</v>
      </c>
      <c r="V2" s="151">
        <f>MIN(VLOOKUP(英雄对比!$C$5,中介表格2!$E$11:$F$22,2,0),IF(英雄对比!$C$4&lt;$G$11,1,IF(英雄对比!$C$4&lt;$G$12,2,IF(英雄对比!$C$4&lt;$G$13,3,IF(英雄对比!$C$4&lt;$G$14,4,IF(英雄对比!$C$4&lt;$G$15,5,IF(英雄对比!$C$4&lt;$G$16,6,IF(英雄对比!$C$4&lt;$G$17,7,IF(英雄对比!$C$4&lt;$G$18,8,IF(英雄对比!$C$4&lt;$G$19,9,IF(英雄对比!$C$4&lt;$G$20,10,IF(英雄对比!$C$4&lt;$G$21,11,12))))))))))))</f>
        <v>11</v>
      </c>
      <c r="W2" s="151" t="str">
        <f>IF($V$2&lt;2,"","绿")</f>
        <v>绿</v>
      </c>
      <c r="X2" s="151" t="str">
        <f>VLOOKUP(英雄对比!$C$2,英雄装备!$F:$BZ,8,0)</f>
        <v>吸血面具</v>
      </c>
      <c r="Y2" s="151" t="str">
        <f>VLOOKUP(英雄对比!$C$2,英雄装备!$F:$BZ,9,0)</f>
        <v>圣殿指环</v>
      </c>
      <c r="Z2" s="151" t="str">
        <f>VLOOKUP(英雄对比!$C$2,英雄装备!$F:$BZ,10,0)</f>
        <v>敏捷系带</v>
      </c>
      <c r="AA2" s="151" t="str">
        <f>VLOOKUP(英雄对比!$C$2,英雄装备!$F:$BZ,11,0)</f>
        <v>敏捷系带</v>
      </c>
      <c r="AB2" s="151" t="str">
        <f>VLOOKUP(英雄对比!$C$2,英雄装备!$F:$BZ,12,0)</f>
        <v>补刀斧</v>
      </c>
      <c r="AC2" s="151" t="str">
        <f>VLOOKUP(英雄对比!$C$2,英雄装备!$F:$BZ,13,0)</f>
        <v>鞋</v>
      </c>
      <c r="AG2" s="234"/>
      <c r="AH2" s="232"/>
      <c r="AI2" s="232"/>
      <c r="AJ2" s="232"/>
      <c r="AK2" s="232"/>
      <c r="AL2" s="232"/>
      <c r="AM2" s="232"/>
      <c r="AN2" s="232"/>
      <c r="AO2" s="232"/>
      <c r="AP2" s="232"/>
    </row>
    <row r="3" spans="1:52">
      <c r="B3" s="151" t="str">
        <f>英雄初始!A4</f>
        <v>大鱼人</v>
      </c>
      <c r="E3" s="151" t="s">
        <v>1059</v>
      </c>
      <c r="G3" s="151">
        <f>INDEX($H:$T,MATCH(英雄对比!$C$2,$H:$H,0),MATCH(英雄对比!$C$5,H2:T2,0)-1)</f>
        <v>79</v>
      </c>
      <c r="H3" s="50" t="s">
        <v>157</v>
      </c>
      <c r="I3" s="51">
        <f>MAX(VLOOKUP(INDEX(英雄装备!$F:$BZ,MATCH($H3,英雄装备!$F:$F,0),MATCH(I$2,英雄装备!$1:$1,0)-5),装备属性!$A:$C,3,0),VLOOKUP(INDEX(英雄装备!$F:$BZ,MATCH($H3,英雄装备!$F:$F,0),MATCH(I$2,英雄装备!$1:$1,0)-4),装备属性!$A:$C,3,0),VLOOKUP(INDEX(英雄装备!$F:$BZ,MATCH($H3,英雄装备!$F:$F,0),MATCH(I$2,英雄装备!$1:$1,0)-3),装备属性!$A:$C,3,0),VLOOKUP(INDEX(英雄装备!$F:$BZ,MATCH($H3,英雄装备!$F:$F,0),MATCH(I$2,英雄装备!$1:$1,0)-2),装备属性!$A:$C,3,0),VLOOKUP(INDEX(英雄装备!$F:$BZ,MATCH($H3,英雄装备!$F:$F,0),MATCH(I$2,英雄装备!$1:$1,0)-1),装备属性!$A:$C,3,0),VLOOKUP(INDEX(英雄装备!$F:$BZ,MATCH($H3,英雄装备!$F:$F,0),MATCH(I$2,英雄装备!$1:$1,0)),装备属性!$A:$C,3,0))</f>
        <v>2</v>
      </c>
      <c r="J3" s="51">
        <f>MAX(VLOOKUP(INDEX(英雄装备!$F:$BZ,MATCH($H3,英雄装备!$F:$F,0),MATCH(J$2,英雄装备!$1:$1,0)-5),装备属性!$A:$C,3,0),VLOOKUP(INDEX(英雄装备!$F:$BZ,MATCH($H3,英雄装备!$F:$F,0),MATCH(J$2,英雄装备!$1:$1,0)-4),装备属性!$A:$C,3,0),VLOOKUP(INDEX(英雄装备!$F:$BZ,MATCH($H3,英雄装备!$F:$F,0),MATCH(J$2,英雄装备!$1:$1,0)-3),装备属性!$A:$C,3,0),VLOOKUP(INDEX(英雄装备!$F:$BZ,MATCH($H3,英雄装备!$F:$F,0),MATCH(J$2,英雄装备!$1:$1,0)-2),装备属性!$A:$C,3,0),VLOOKUP(INDEX(英雄装备!$F:$BZ,MATCH($H3,英雄装备!$F:$F,0),MATCH(J$2,英雄装备!$1:$1,0)-1),装备属性!$A:$C,3,0),VLOOKUP(INDEX(英雄装备!$F:$BZ,MATCH($H3,英雄装备!$F:$F,0),MATCH(J$2,英雄装备!$1:$1,0)),装备属性!$A:$C,3,0))</f>
        <v>12</v>
      </c>
      <c r="K3" s="51">
        <f>MAX(VLOOKUP(INDEX(英雄装备!$F:$BZ,MATCH($H3,英雄装备!$F:$F,0),MATCH(K$2,英雄装备!$1:$1,0)-5),装备属性!$A:$C,3,0),VLOOKUP(INDEX(英雄装备!$F:$BZ,MATCH($H3,英雄装备!$F:$F,0),MATCH(K$2,英雄装备!$1:$1,0)-4),装备属性!$A:$C,3,0),VLOOKUP(INDEX(英雄装备!$F:$BZ,MATCH($H3,英雄装备!$F:$F,0),MATCH(K$2,英雄装备!$1:$1,0)-3),装备属性!$A:$C,3,0),VLOOKUP(INDEX(英雄装备!$F:$BZ,MATCH($H3,英雄装备!$F:$F,0),MATCH(K$2,英雄装备!$1:$1,0)-2),装备属性!$A:$C,3,0),VLOOKUP(INDEX(英雄装备!$F:$BZ,MATCH($H3,英雄装备!$F:$F,0),MATCH(K$2,英雄装备!$1:$1,0)-1),装备属性!$A:$C,3,0),VLOOKUP(INDEX(英雄装备!$F:$BZ,MATCH($H3,英雄装备!$F:$F,0),MATCH(K$2,英雄装备!$1:$1,0)),装备属性!$A:$C,3,0))</f>
        <v>22</v>
      </c>
      <c r="L3" s="51">
        <f>MAX(VLOOKUP(INDEX(英雄装备!$F:$BZ,MATCH($H3,英雄装备!$F:$F,0),MATCH(L$2,英雄装备!$1:$1,0)-5),装备属性!$A:$C,3,0),VLOOKUP(INDEX(英雄装备!$F:$BZ,MATCH($H3,英雄装备!$F:$F,0),MATCH(L$2,英雄装备!$1:$1,0)-4),装备属性!$A:$C,3,0),VLOOKUP(INDEX(英雄装备!$F:$BZ,MATCH($H3,英雄装备!$F:$F,0),MATCH(L$2,英雄装备!$1:$1,0)-3),装备属性!$A:$C,3,0),VLOOKUP(INDEX(英雄装备!$F:$BZ,MATCH($H3,英雄装备!$F:$F,0),MATCH(L$2,英雄装备!$1:$1,0)-2),装备属性!$A:$C,3,0),VLOOKUP(INDEX(英雄装备!$F:$BZ,MATCH($H3,英雄装备!$F:$F,0),MATCH(L$2,英雄装备!$1:$1,0)-1),装备属性!$A:$C,3,0),VLOOKUP(INDEX(英雄装备!$F:$BZ,MATCH($H3,英雄装备!$F:$F,0),MATCH(L$2,英雄装备!$1:$1,0)),装备属性!$A:$C,3,0))</f>
        <v>36</v>
      </c>
      <c r="M3" s="51">
        <f>MAX(VLOOKUP(INDEX(英雄装备!$F:$BZ,MATCH($H3,英雄装备!$F:$F,0),MATCH(M$2,英雄装备!$1:$1,0)-5),装备属性!$A:$C,3,0),VLOOKUP(INDEX(英雄装备!$F:$BZ,MATCH($H3,英雄装备!$F:$F,0),MATCH(M$2,英雄装备!$1:$1,0)-4),装备属性!$A:$C,3,0),VLOOKUP(INDEX(英雄装备!$F:$BZ,MATCH($H3,英雄装备!$F:$F,0),MATCH(M$2,英雄装备!$1:$1,0)-3),装备属性!$A:$C,3,0),VLOOKUP(INDEX(英雄装备!$F:$BZ,MATCH($H3,英雄装备!$F:$F,0),MATCH(M$2,英雄装备!$1:$1,0)-2),装备属性!$A:$C,3,0),VLOOKUP(INDEX(英雄装备!$F:$BZ,MATCH($H3,英雄装备!$F:$F,0),MATCH(M$2,英雄装备!$1:$1,0)-1),装备属性!$A:$C,3,0),VLOOKUP(INDEX(英雄装备!$F:$BZ,MATCH($H3,英雄装备!$F:$F,0),MATCH(M$2,英雄装备!$1:$1,0)),装备属性!$A:$C,3,0))</f>
        <v>42</v>
      </c>
      <c r="N3" s="51">
        <f>MAX(VLOOKUP(INDEX(英雄装备!$F:$BZ,MATCH($H3,英雄装备!$F:$F,0),MATCH(N$2,英雄装备!$1:$1,0)-5),装备属性!$A:$C,3,0),VLOOKUP(INDEX(英雄装备!$F:$BZ,MATCH($H3,英雄装备!$F:$F,0),MATCH(N$2,英雄装备!$1:$1,0)-4),装备属性!$A:$C,3,0),VLOOKUP(INDEX(英雄装备!$F:$BZ,MATCH($H3,英雄装备!$F:$F,0),MATCH(N$2,英雄装备!$1:$1,0)-3),装备属性!$A:$C,3,0),VLOOKUP(INDEX(英雄装备!$F:$BZ,MATCH($H3,英雄装备!$F:$F,0),MATCH(N$2,英雄装备!$1:$1,0)-2),装备属性!$A:$C,3,0),VLOOKUP(INDEX(英雄装备!$F:$BZ,MATCH($H3,英雄装备!$F:$F,0),MATCH(N$2,英雄装备!$1:$1,0)-1),装备属性!$A:$C,3,0),VLOOKUP(INDEX(英雄装备!$F:$BZ,MATCH($H3,英雄装备!$F:$F,0),MATCH(N$2,英雄装备!$1:$1,0)),装备属性!$A:$C,3,0))</f>
        <v>51</v>
      </c>
      <c r="O3" s="51">
        <f>MAX(VLOOKUP(INDEX(英雄装备!$F:$BZ,MATCH($H3,英雄装备!$F:$F,0),MATCH(O$2,英雄装备!$1:$1,0)-5),装备属性!$A:$C,3,0),VLOOKUP(INDEX(英雄装备!$F:$BZ,MATCH($H3,英雄装备!$F:$F,0),MATCH(O$2,英雄装备!$1:$1,0)-4),装备属性!$A:$C,3,0),VLOOKUP(INDEX(英雄装备!$F:$BZ,MATCH($H3,英雄装备!$F:$F,0),MATCH(O$2,英雄装备!$1:$1,0)-3),装备属性!$A:$C,3,0),VLOOKUP(INDEX(英雄装备!$F:$BZ,MATCH($H3,英雄装备!$F:$F,0),MATCH(O$2,英雄装备!$1:$1,0)-2),装备属性!$A:$C,3,0),VLOOKUP(INDEX(英雄装备!$F:$BZ,MATCH($H3,英雄装备!$F:$F,0),MATCH(O$2,英雄装备!$1:$1,0)-1),装备属性!$A:$C,3,0),VLOOKUP(INDEX(英雄装备!$F:$BZ,MATCH($H3,英雄装备!$F:$F,0),MATCH(O$2,英雄装备!$1:$1,0)),装备属性!$A:$C,3,0))</f>
        <v>60</v>
      </c>
      <c r="P3" s="51">
        <f>MAX(VLOOKUP(INDEX(英雄装备!$F:$BZ,MATCH($H3,英雄装备!$F:$F,0),MATCH(P$2,英雄装备!$1:$1,0)-5),装备属性!$A:$C,3,0),VLOOKUP(INDEX(英雄装备!$F:$BZ,MATCH($H3,英雄装备!$F:$F,0),MATCH(P$2,英雄装备!$1:$1,0)-4),装备属性!$A:$C,3,0),VLOOKUP(INDEX(英雄装备!$F:$BZ,MATCH($H3,英雄装备!$F:$F,0),MATCH(P$2,英雄装备!$1:$1,0)-3),装备属性!$A:$C,3,0),VLOOKUP(INDEX(英雄装备!$F:$BZ,MATCH($H3,英雄装备!$F:$F,0),MATCH(P$2,英雄装备!$1:$1,0)-2),装备属性!$A:$C,3,0),VLOOKUP(INDEX(英雄装备!$F:$BZ,MATCH($H3,英雄装备!$F:$F,0),MATCH(P$2,英雄装备!$1:$1,0)-1),装备属性!$A:$C,3,0),VLOOKUP(INDEX(英雄装备!$F:$BZ,MATCH($H3,英雄装备!$F:$F,0),MATCH(P$2,英雄装备!$1:$1,0)),装备属性!$A:$C,3,0))</f>
        <v>70</v>
      </c>
      <c r="Q3" s="51">
        <f>MAX(VLOOKUP(INDEX(英雄装备!$F:$BZ,MATCH($H3,英雄装备!$F:$F,0),MATCH(Q$2,英雄装备!$1:$1,0)-5),装备属性!$A:$C,3,0),VLOOKUP(INDEX(英雄装备!$F:$BZ,MATCH($H3,英雄装备!$F:$F,0),MATCH(Q$2,英雄装备!$1:$1,0)-4),装备属性!$A:$C,3,0),VLOOKUP(INDEX(英雄装备!$F:$BZ,MATCH($H3,英雄装备!$F:$F,0),MATCH(Q$2,英雄装备!$1:$1,0)-3),装备属性!$A:$C,3,0),VLOOKUP(INDEX(英雄装备!$F:$BZ,MATCH($H3,英雄装备!$F:$F,0),MATCH(Q$2,英雄装备!$1:$1,0)-2),装备属性!$A:$C,3,0),VLOOKUP(INDEX(英雄装备!$F:$BZ,MATCH($H3,英雄装备!$F:$F,0),MATCH(Q$2,英雄装备!$1:$1,0)-1),装备属性!$A:$C,3,0),VLOOKUP(INDEX(英雄装备!$F:$BZ,MATCH($H3,英雄装备!$F:$F,0),MATCH(Q$2,英雄装备!$1:$1,0)),装备属性!$A:$C,3,0))</f>
        <v>80</v>
      </c>
      <c r="R3" s="51">
        <f>MAX(VLOOKUP(INDEX(英雄装备!$F:$BZ,MATCH($H3,英雄装备!$F:$F,0),MATCH(R$2,英雄装备!$1:$1,0)-5),装备属性!$A:$C,3,0),VLOOKUP(INDEX(英雄装备!$F:$BZ,MATCH($H3,英雄装备!$F:$F,0),MATCH(R$2,英雄装备!$1:$1,0)-4),装备属性!$A:$C,3,0),VLOOKUP(INDEX(英雄装备!$F:$BZ,MATCH($H3,英雄装备!$F:$F,0),MATCH(R$2,英雄装备!$1:$1,0)-3),装备属性!$A:$C,3,0),VLOOKUP(INDEX(英雄装备!$F:$BZ,MATCH($H3,英雄装备!$F:$F,0),MATCH(R$2,英雄装备!$1:$1,0)-2),装备属性!$A:$C,3,0),VLOOKUP(INDEX(英雄装备!$F:$BZ,MATCH($H3,英雄装备!$F:$F,0),MATCH(R$2,英雄装备!$1:$1,0)-1),装备属性!$A:$C,3,0),VLOOKUP(INDEX(英雄装备!$F:$BZ,MATCH($H3,英雄装备!$F:$F,0),MATCH(R$2,英雄装备!$1:$1,0)),装备属性!$A:$C,3,0))</f>
        <v>80</v>
      </c>
      <c r="S3" s="51">
        <f>MAX(VLOOKUP(INDEX(英雄装备!$F:$BZ,MATCH($H3,英雄装备!$F:$F,0),MATCH(S$2,英雄装备!$1:$1,0)-5),装备属性!$A:$C,3,0),VLOOKUP(INDEX(英雄装备!$F:$BZ,MATCH($H3,英雄装备!$F:$F,0),MATCH(S$2,英雄装备!$1:$1,0)-4),装备属性!$A:$C,3,0),VLOOKUP(INDEX(英雄装备!$F:$BZ,MATCH($H3,英雄装备!$F:$F,0),MATCH(S$2,英雄装备!$1:$1,0)-3),装备属性!$A:$C,3,0),VLOOKUP(INDEX(英雄装备!$F:$BZ,MATCH($H3,英雄装备!$F:$F,0),MATCH(S$2,英雄装备!$1:$1,0)-2),装备属性!$A:$C,3,0),VLOOKUP(INDEX(英雄装备!$F:$BZ,MATCH($H3,英雄装备!$F:$F,0),MATCH(S$2,英雄装备!$1:$1,0)-1),装备属性!$A:$C,3,0),VLOOKUP(INDEX(英雄装备!$F:$BZ,MATCH($H3,英雄装备!$F:$F,0),MATCH(S$2,英雄装备!$1:$1,0)),装备属性!$A:$C,3,0))</f>
        <v>85</v>
      </c>
      <c r="T3" s="51">
        <f>MAX(VLOOKUP(INDEX(英雄装备!$F:$BZ,MATCH($H3,英雄装备!$F:$F,0),MATCH(T$2,英雄装备!$1:$1,0)-5),装备属性!$A:$C,3,0),VLOOKUP(INDEX(英雄装备!$F:$BZ,MATCH($H3,英雄装备!$F:$F,0),MATCH(T$2,英雄装备!$1:$1,0)-4),装备属性!$A:$C,3,0),VLOOKUP(INDEX(英雄装备!$F:$BZ,MATCH($H3,英雄装备!$F:$F,0),MATCH(T$2,英雄装备!$1:$1,0)-3),装备属性!$A:$C,3,0),VLOOKUP(INDEX(英雄装备!$F:$BZ,MATCH($H3,英雄装备!$F:$F,0),MATCH(T$2,英雄装备!$1:$1,0)-2),装备属性!$A:$C,3,0),VLOOKUP(INDEX(英雄装备!$F:$BZ,MATCH($H3,英雄装备!$F:$F,0),MATCH(T$2,英雄装备!$1:$1,0)-1),装备属性!$A:$C,3,0))</f>
        <v>88</v>
      </c>
      <c r="W3" s="151" t="str">
        <f>IF($V$2&lt;3,"","绿+1")</f>
        <v>绿+1</v>
      </c>
      <c r="X3" s="151" t="str">
        <f>VLOOKUP(英雄对比!$C$2,英雄装备!$F:$BZ,14,0)</f>
        <v>敏捷之刃</v>
      </c>
      <c r="Y3" s="151" t="str">
        <f>VLOOKUP(英雄对比!$C$2,英雄装备!$F:$BZ,15,0)</f>
        <v>祭品</v>
      </c>
      <c r="Z3" s="151" t="str">
        <f>VLOOKUP(英雄对比!$C$2,英雄装备!$F:$BZ,16,0)</f>
        <v>大魔杖</v>
      </c>
      <c r="AA3" s="151" t="str">
        <f>VLOOKUP(英雄对比!$C$2,英雄装备!$F:$BZ,17,0)</f>
        <v>生命之球</v>
      </c>
      <c r="AB3" s="151" t="str">
        <f>VLOOKUP(英雄对比!$C$2,英雄装备!$F:$BZ,18,0)</f>
        <v>攻击利爪</v>
      </c>
      <c r="AC3" s="151" t="str">
        <f>VLOOKUP(英雄对比!$C$2,英雄装备!$F:$BZ,19,0)</f>
        <v>鞋</v>
      </c>
      <c r="AG3" s="234"/>
      <c r="AH3" s="232" t="s">
        <v>1077</v>
      </c>
      <c r="AI3" s="50" t="s">
        <v>103</v>
      </c>
      <c r="AJ3" s="50" t="s">
        <v>14</v>
      </c>
      <c r="AK3" s="50" t="s">
        <v>47</v>
      </c>
      <c r="AL3" s="50" t="s">
        <v>35</v>
      </c>
      <c r="AM3" s="50" t="s">
        <v>38</v>
      </c>
      <c r="AN3" s="50" t="s">
        <v>34</v>
      </c>
      <c r="AO3" s="50" t="s">
        <v>56</v>
      </c>
      <c r="AP3" s="50" t="s">
        <v>84</v>
      </c>
      <c r="AQ3" s="50" t="s">
        <v>98</v>
      </c>
      <c r="AR3" s="50" t="s">
        <v>2099</v>
      </c>
      <c r="AS3" s="119" t="s">
        <v>1874</v>
      </c>
      <c r="AT3" s="50" t="s">
        <v>91</v>
      </c>
      <c r="AU3" s="50" t="s">
        <v>13</v>
      </c>
      <c r="AV3" s="50" t="s">
        <v>18</v>
      </c>
      <c r="AW3" s="51" t="s">
        <v>71</v>
      </c>
      <c r="AX3" s="50" t="s">
        <v>130</v>
      </c>
      <c r="AY3" s="141" t="s">
        <v>1867</v>
      </c>
      <c r="AZ3" s="141" t="s">
        <v>1877</v>
      </c>
    </row>
    <row r="4" spans="1:52">
      <c r="B4" s="151" t="str">
        <f>英雄初始!A5</f>
        <v>斧王</v>
      </c>
      <c r="E4" s="151" t="s">
        <v>251</v>
      </c>
      <c r="H4" s="50" t="s">
        <v>158</v>
      </c>
      <c r="I4" s="51">
        <f>MAX(VLOOKUP(INDEX(英雄装备!$F:$BZ,MATCH($H4,英雄装备!$F:$F,0),MATCH(I$2,英雄装备!$1:$1,0)-5),装备属性!$A:$C,3,0),VLOOKUP(INDEX(英雄装备!$F:$BZ,MATCH($H4,英雄装备!$F:$F,0),MATCH(I$2,英雄装备!$1:$1,0)-4),装备属性!$A:$C,3,0),VLOOKUP(INDEX(英雄装备!$F:$BZ,MATCH($H4,英雄装备!$F:$F,0),MATCH(I$2,英雄装备!$1:$1,0)-3),装备属性!$A:$C,3,0),VLOOKUP(INDEX(英雄装备!$F:$BZ,MATCH($H4,英雄装备!$F:$F,0),MATCH(I$2,英雄装备!$1:$1,0)-2),装备属性!$A:$C,3,0),VLOOKUP(INDEX(英雄装备!$F:$BZ,MATCH($H4,英雄装备!$F:$F,0),MATCH(I$2,英雄装备!$1:$1,0)-1),装备属性!$A:$C,3,0),VLOOKUP(INDEX(英雄装备!$F:$BZ,MATCH($H4,英雄装备!$F:$F,0),MATCH(I$2,英雄装备!$1:$1,0)),装备属性!$A:$C,3,0))</f>
        <v>2</v>
      </c>
      <c r="J4" s="51">
        <f>MAX(VLOOKUP(INDEX(英雄装备!$F:$BZ,MATCH($H4,英雄装备!$F:$F,0),MATCH(J$2,英雄装备!$1:$1,0)-5),装备属性!$A:$C,3,0),VLOOKUP(INDEX(英雄装备!$F:$BZ,MATCH($H4,英雄装备!$F:$F,0),MATCH(J$2,英雄装备!$1:$1,0)-4),装备属性!$A:$C,3,0),VLOOKUP(INDEX(英雄装备!$F:$BZ,MATCH($H4,英雄装备!$F:$F,0),MATCH(J$2,英雄装备!$1:$1,0)-3),装备属性!$A:$C,3,0),VLOOKUP(INDEX(英雄装备!$F:$BZ,MATCH($H4,英雄装备!$F:$F,0),MATCH(J$2,英雄装备!$1:$1,0)-2),装备属性!$A:$C,3,0),VLOOKUP(INDEX(英雄装备!$F:$BZ,MATCH($H4,英雄装备!$F:$F,0),MATCH(J$2,英雄装备!$1:$1,0)-1),装备属性!$A:$C,3,0),VLOOKUP(INDEX(英雄装备!$F:$BZ,MATCH($H4,英雄装备!$F:$F,0),MATCH(J$2,英雄装备!$1:$1,0)),装备属性!$A:$C,3,0))</f>
        <v>10</v>
      </c>
      <c r="K4" s="51">
        <f>MAX(VLOOKUP(INDEX(英雄装备!$F:$BZ,MATCH($H4,英雄装备!$F:$F,0),MATCH(K$2,英雄装备!$1:$1,0)-5),装备属性!$A:$C,3,0),VLOOKUP(INDEX(英雄装备!$F:$BZ,MATCH($H4,英雄装备!$F:$F,0),MATCH(K$2,英雄装备!$1:$1,0)-4),装备属性!$A:$C,3,0),VLOOKUP(INDEX(英雄装备!$F:$BZ,MATCH($H4,英雄装备!$F:$F,0),MATCH(K$2,英雄装备!$1:$1,0)-3),装备属性!$A:$C,3,0),VLOOKUP(INDEX(英雄装备!$F:$BZ,MATCH($H4,英雄装备!$F:$F,0),MATCH(K$2,英雄装备!$1:$1,0)-2),装备属性!$A:$C,3,0),VLOOKUP(INDEX(英雄装备!$F:$BZ,MATCH($H4,英雄装备!$F:$F,0),MATCH(K$2,英雄装备!$1:$1,0)-1),装备属性!$A:$C,3,0),VLOOKUP(INDEX(英雄装备!$F:$BZ,MATCH($H4,英雄装备!$F:$F,0),MATCH(K$2,英雄装备!$1:$1,0)),装备属性!$A:$C,3,0))</f>
        <v>22</v>
      </c>
      <c r="L4" s="51">
        <f>MAX(VLOOKUP(INDEX(英雄装备!$F:$BZ,MATCH($H4,英雄装备!$F:$F,0),MATCH(L$2,英雄装备!$1:$1,0)-5),装备属性!$A:$C,3,0),VLOOKUP(INDEX(英雄装备!$F:$BZ,MATCH($H4,英雄装备!$F:$F,0),MATCH(L$2,英雄装备!$1:$1,0)-4),装备属性!$A:$C,3,0),VLOOKUP(INDEX(英雄装备!$F:$BZ,MATCH($H4,英雄装备!$F:$F,0),MATCH(L$2,英雄装备!$1:$1,0)-3),装备属性!$A:$C,3,0),VLOOKUP(INDEX(英雄装备!$F:$BZ,MATCH($H4,英雄装备!$F:$F,0),MATCH(L$2,英雄装备!$1:$1,0)-2),装备属性!$A:$C,3,0),VLOOKUP(INDEX(英雄装备!$F:$BZ,MATCH($H4,英雄装备!$F:$F,0),MATCH(L$2,英雄装备!$1:$1,0)-1),装备属性!$A:$C,3,0),VLOOKUP(INDEX(英雄装备!$F:$BZ,MATCH($H4,英雄装备!$F:$F,0),MATCH(L$2,英雄装备!$1:$1,0)),装备属性!$A:$C,3,0))</f>
        <v>34</v>
      </c>
      <c r="M4" s="51">
        <f>MAX(VLOOKUP(INDEX(英雄装备!$F:$BZ,MATCH($H4,英雄装备!$F:$F,0),MATCH(M$2,英雄装备!$1:$1,0)-5),装备属性!$A:$C,3,0),VLOOKUP(INDEX(英雄装备!$F:$BZ,MATCH($H4,英雄装备!$F:$F,0),MATCH(M$2,英雄装备!$1:$1,0)-4),装备属性!$A:$C,3,0),VLOOKUP(INDEX(英雄装备!$F:$BZ,MATCH($H4,英雄装备!$F:$F,0),MATCH(M$2,英雄装备!$1:$1,0)-3),装备属性!$A:$C,3,0),VLOOKUP(INDEX(英雄装备!$F:$BZ,MATCH($H4,英雄装备!$F:$F,0),MATCH(M$2,英雄装备!$1:$1,0)-2),装备属性!$A:$C,3,0),VLOOKUP(INDEX(英雄装备!$F:$BZ,MATCH($H4,英雄装备!$F:$F,0),MATCH(M$2,英雄装备!$1:$1,0)-1),装备属性!$A:$C,3,0),VLOOKUP(INDEX(英雄装备!$F:$BZ,MATCH($H4,英雄装备!$F:$F,0),MATCH(M$2,英雄装备!$1:$1,0)),装备属性!$A:$C,3,0))</f>
        <v>43</v>
      </c>
      <c r="N4" s="51">
        <f>MAX(VLOOKUP(INDEX(英雄装备!$F:$BZ,MATCH($H4,英雄装备!$F:$F,0),MATCH(N$2,英雄装备!$1:$1,0)-5),装备属性!$A:$C,3,0),VLOOKUP(INDEX(英雄装备!$F:$BZ,MATCH($H4,英雄装备!$F:$F,0),MATCH(N$2,英雄装备!$1:$1,0)-4),装备属性!$A:$C,3,0),VLOOKUP(INDEX(英雄装备!$F:$BZ,MATCH($H4,英雄装备!$F:$F,0),MATCH(N$2,英雄装备!$1:$1,0)-3),装备属性!$A:$C,3,0),VLOOKUP(INDEX(英雄装备!$F:$BZ,MATCH($H4,英雄装备!$F:$F,0),MATCH(N$2,英雄装备!$1:$1,0)-2),装备属性!$A:$C,3,0),VLOOKUP(INDEX(英雄装备!$F:$BZ,MATCH($H4,英雄装备!$F:$F,0),MATCH(N$2,英雄装备!$1:$1,0)-1),装备属性!$A:$C,3,0),VLOOKUP(INDEX(英雄装备!$F:$BZ,MATCH($H4,英雄装备!$F:$F,0),MATCH(N$2,英雄装备!$1:$1,0)),装备属性!$A:$C,3,0))</f>
        <v>51</v>
      </c>
      <c r="O4" s="51">
        <f>MAX(VLOOKUP(INDEX(英雄装备!$F:$BZ,MATCH($H4,英雄装备!$F:$F,0),MATCH(O$2,英雄装备!$1:$1,0)-5),装备属性!$A:$C,3,0),VLOOKUP(INDEX(英雄装备!$F:$BZ,MATCH($H4,英雄装备!$F:$F,0),MATCH(O$2,英雄装备!$1:$1,0)-4),装备属性!$A:$C,3,0),VLOOKUP(INDEX(英雄装备!$F:$BZ,MATCH($H4,英雄装备!$F:$F,0),MATCH(O$2,英雄装备!$1:$1,0)-3),装备属性!$A:$C,3,0),VLOOKUP(INDEX(英雄装备!$F:$BZ,MATCH($H4,英雄装备!$F:$F,0),MATCH(O$2,英雄装备!$1:$1,0)-2),装备属性!$A:$C,3,0),VLOOKUP(INDEX(英雄装备!$F:$BZ,MATCH($H4,英雄装备!$F:$F,0),MATCH(O$2,英雄装备!$1:$1,0)-1),装备属性!$A:$C,3,0),VLOOKUP(INDEX(英雄装备!$F:$BZ,MATCH($H4,英雄装备!$F:$F,0),MATCH(O$2,英雄装备!$1:$1,0)),装备属性!$A:$C,3,0))</f>
        <v>59</v>
      </c>
      <c r="P4" s="51">
        <f>MAX(VLOOKUP(INDEX(英雄装备!$F:$BZ,MATCH($H4,英雄装备!$F:$F,0),MATCH(P$2,英雄装备!$1:$1,0)-5),装备属性!$A:$C,3,0),VLOOKUP(INDEX(英雄装备!$F:$BZ,MATCH($H4,英雄装备!$F:$F,0),MATCH(P$2,英雄装备!$1:$1,0)-4),装备属性!$A:$C,3,0),VLOOKUP(INDEX(英雄装备!$F:$BZ,MATCH($H4,英雄装备!$F:$F,0),MATCH(P$2,英雄装备!$1:$1,0)-3),装备属性!$A:$C,3,0),VLOOKUP(INDEX(英雄装备!$F:$BZ,MATCH($H4,英雄装备!$F:$F,0),MATCH(P$2,英雄装备!$1:$1,0)-2),装备属性!$A:$C,3,0),VLOOKUP(INDEX(英雄装备!$F:$BZ,MATCH($H4,英雄装备!$F:$F,0),MATCH(P$2,英雄装备!$1:$1,0)-1),装备属性!$A:$C,3,0),VLOOKUP(INDEX(英雄装备!$F:$BZ,MATCH($H4,英雄装备!$F:$F,0),MATCH(P$2,英雄装备!$1:$1,0)),装备属性!$A:$C,3,0))</f>
        <v>72</v>
      </c>
      <c r="Q4" s="51">
        <f>MAX(VLOOKUP(INDEX(英雄装备!$F:$BZ,MATCH($H4,英雄装备!$F:$F,0),MATCH(Q$2,英雄装备!$1:$1,0)-5),装备属性!$A:$C,3,0),VLOOKUP(INDEX(英雄装备!$F:$BZ,MATCH($H4,英雄装备!$F:$F,0),MATCH(Q$2,英雄装备!$1:$1,0)-4),装备属性!$A:$C,3,0),VLOOKUP(INDEX(英雄装备!$F:$BZ,MATCH($H4,英雄装备!$F:$F,0),MATCH(Q$2,英雄装备!$1:$1,0)-3),装备属性!$A:$C,3,0),VLOOKUP(INDEX(英雄装备!$F:$BZ,MATCH($H4,英雄装备!$F:$F,0),MATCH(Q$2,英雄装备!$1:$1,0)-2),装备属性!$A:$C,3,0),VLOOKUP(INDEX(英雄装备!$F:$BZ,MATCH($H4,英雄装备!$F:$F,0),MATCH(Q$2,英雄装备!$1:$1,0)-1),装备属性!$A:$C,3,0),VLOOKUP(INDEX(英雄装备!$F:$BZ,MATCH($H4,英雄装备!$F:$F,0),MATCH(Q$2,英雄装备!$1:$1,0)),装备属性!$A:$C,3,0))</f>
        <v>79</v>
      </c>
      <c r="R4" s="51">
        <f>MAX(VLOOKUP(INDEX(英雄装备!$F:$BZ,MATCH($H4,英雄装备!$F:$F,0),MATCH(R$2,英雄装备!$1:$1,0)-5),装备属性!$A:$C,3,0),VLOOKUP(INDEX(英雄装备!$F:$BZ,MATCH($H4,英雄装备!$F:$F,0),MATCH(R$2,英雄装备!$1:$1,0)-4),装备属性!$A:$C,3,0),VLOOKUP(INDEX(英雄装备!$F:$BZ,MATCH($H4,英雄装备!$F:$F,0),MATCH(R$2,英雄装备!$1:$1,0)-3),装备属性!$A:$C,3,0),VLOOKUP(INDEX(英雄装备!$F:$BZ,MATCH($H4,英雄装备!$F:$F,0),MATCH(R$2,英雄装备!$1:$1,0)-2),装备属性!$A:$C,3,0),VLOOKUP(INDEX(英雄装备!$F:$BZ,MATCH($H4,英雄装备!$F:$F,0),MATCH(R$2,英雄装备!$1:$1,0)-1),装备属性!$A:$C,3,0),VLOOKUP(INDEX(英雄装备!$F:$BZ,MATCH($H4,英雄装备!$F:$F,0),MATCH(R$2,英雄装备!$1:$1,0)),装备属性!$A:$C,3,0))</f>
        <v>80</v>
      </c>
      <c r="S4" s="51">
        <f>MAX(VLOOKUP(INDEX(英雄装备!$F:$BZ,MATCH($H4,英雄装备!$F:$F,0),MATCH(S$2,英雄装备!$1:$1,0)-5),装备属性!$A:$C,3,0),VLOOKUP(INDEX(英雄装备!$F:$BZ,MATCH($H4,英雄装备!$F:$F,0),MATCH(S$2,英雄装备!$1:$1,0)-4),装备属性!$A:$C,3,0),VLOOKUP(INDEX(英雄装备!$F:$BZ,MATCH($H4,英雄装备!$F:$F,0),MATCH(S$2,英雄装备!$1:$1,0)-3),装备属性!$A:$C,3,0),VLOOKUP(INDEX(英雄装备!$F:$BZ,MATCH($H4,英雄装备!$F:$F,0),MATCH(S$2,英雄装备!$1:$1,0)-2),装备属性!$A:$C,3,0),VLOOKUP(INDEX(英雄装备!$F:$BZ,MATCH($H4,英雄装备!$F:$F,0),MATCH(S$2,英雄装备!$1:$1,0)-1),装备属性!$A:$C,3,0),VLOOKUP(INDEX(英雄装备!$F:$BZ,MATCH($H4,英雄装备!$F:$F,0),MATCH(S$2,英雄装备!$1:$1,0)),装备属性!$A:$C,3,0))</f>
        <v>85</v>
      </c>
      <c r="T4" s="51">
        <f>MAX(VLOOKUP(INDEX(英雄装备!$F:$BZ,MATCH($H4,英雄装备!$F:$F,0),MATCH(T$2,英雄装备!$1:$1,0)-5),装备属性!$A:$C,3,0),VLOOKUP(INDEX(英雄装备!$F:$BZ,MATCH($H4,英雄装备!$F:$F,0),MATCH(T$2,英雄装备!$1:$1,0)-4),装备属性!$A:$C,3,0),VLOOKUP(INDEX(英雄装备!$F:$BZ,MATCH($H4,英雄装备!$F:$F,0),MATCH(T$2,英雄装备!$1:$1,0)-3),装备属性!$A:$C,3,0),VLOOKUP(INDEX(英雄装备!$F:$BZ,MATCH($H4,英雄装备!$F:$F,0),MATCH(T$2,英雄装备!$1:$1,0)-2),装备属性!$A:$C,3,0),VLOOKUP(INDEX(英雄装备!$F:$BZ,MATCH($H4,英雄装备!$F:$F,0),MATCH(T$2,英雄装备!$1:$1,0)-1),装备属性!$A:$C,3,0))</f>
        <v>88</v>
      </c>
      <c r="W4" s="151" t="str">
        <f>IF($V$2&lt;4,"","蓝")</f>
        <v>蓝</v>
      </c>
      <c r="X4" s="151" t="str">
        <f>VLOOKUP(英雄对比!$C$2,英雄装备!$F:$BZ,20,0)</f>
        <v>洛萨</v>
      </c>
      <c r="Y4" s="151" t="str">
        <f>VLOOKUP(英雄对比!$C$2,英雄装备!$F:$BZ,21,0)</f>
        <v>鬼手</v>
      </c>
      <c r="Z4" s="151" t="str">
        <f>VLOOKUP(英雄对比!$C$2,英雄装备!$F:$BZ,22,0)</f>
        <v>标枪</v>
      </c>
      <c r="AA4" s="151" t="str">
        <f>VLOOKUP(英雄对比!$C$2,英雄装备!$F:$BZ,23,0)</f>
        <v>冲锋盾</v>
      </c>
      <c r="AB4" s="151" t="str">
        <f>VLOOKUP(英雄对比!$C$2,英雄装备!$F:$BZ,24,0)</f>
        <v>力量腰带</v>
      </c>
      <c r="AC4" s="151" t="str">
        <f>VLOOKUP(英雄对比!$C$2,英雄装备!$F:$BZ,25,0)</f>
        <v>相位鞋</v>
      </c>
      <c r="AG4" s="234"/>
      <c r="AH4" s="232"/>
      <c r="AI4" s="151">
        <f>AI14+AI19+(AJ1-AF7)*18</f>
        <v>20557</v>
      </c>
      <c r="AJ4" s="151">
        <f>AJ14+AJ19+(AP1-VLOOKUP(英雄对比!$M$2,中介表格2!$AE$7:$AF$9,2,0))+(AL1-AF8)*0.4</f>
        <v>2451.6</v>
      </c>
      <c r="AK4" s="151">
        <f>AK14+AK19+(AN1-AF9)*2.4</f>
        <v>1329.3999999999999</v>
      </c>
      <c r="AL4" s="151">
        <f>AL14+AL19+(AJ1-AF7)*0.15+(AL1-AF8)*0.08</f>
        <v>313.91999999999996</v>
      </c>
      <c r="AM4" s="151">
        <f>AM14+AM19+(AN1-AF9)/10</f>
        <v>137.1</v>
      </c>
      <c r="AN4" s="151">
        <f>AN14+AN19+(AL1-AF8)*0.4</f>
        <v>734.6</v>
      </c>
      <c r="AO4" s="151">
        <f t="shared" ref="AO4:AZ4" si="0">AO14+AO19</f>
        <v>29</v>
      </c>
      <c r="AP4" s="151">
        <f t="shared" si="0"/>
        <v>0</v>
      </c>
      <c r="AQ4" s="151">
        <f t="shared" si="0"/>
        <v>0</v>
      </c>
      <c r="AR4" s="151">
        <f t="shared" si="0"/>
        <v>63</v>
      </c>
      <c r="AS4" s="151">
        <f t="shared" si="0"/>
        <v>0</v>
      </c>
      <c r="AT4" s="151">
        <f t="shared" si="0"/>
        <v>30</v>
      </c>
      <c r="AU4" s="151">
        <f t="shared" si="0"/>
        <v>1755</v>
      </c>
      <c r="AV4" s="151">
        <f t="shared" si="0"/>
        <v>277</v>
      </c>
      <c r="AW4" s="151">
        <f t="shared" si="0"/>
        <v>0</v>
      </c>
      <c r="AX4" s="151">
        <f t="shared" si="0"/>
        <v>0</v>
      </c>
      <c r="AY4" s="151">
        <f t="shared" si="0"/>
        <v>0</v>
      </c>
      <c r="AZ4" s="151">
        <f t="shared" si="0"/>
        <v>0</v>
      </c>
    </row>
    <row r="5" spans="1:52" ht="13.5" customHeight="1">
      <c r="B5" s="151" t="str">
        <f>英雄初始!A6</f>
        <v>骷髅王</v>
      </c>
      <c r="E5" s="151" t="s">
        <v>252</v>
      </c>
      <c r="G5" s="233" t="str">
        <f>IF(英雄对比!$C$5="白","",IF($G$3&gt;英雄对比!$C$4,"你输入的级别无法达到当前卡色，请重新输入",""))</f>
        <v/>
      </c>
      <c r="H5" s="50" t="s">
        <v>159</v>
      </c>
      <c r="I5" s="51">
        <f>MAX(VLOOKUP(INDEX(英雄装备!$F:$BZ,MATCH($H5,英雄装备!$F:$F,0),MATCH(I$2,英雄装备!$1:$1,0)-5),装备属性!$A:$C,3,0),VLOOKUP(INDEX(英雄装备!$F:$BZ,MATCH($H5,英雄装备!$F:$F,0),MATCH(I$2,英雄装备!$1:$1,0)-4),装备属性!$A:$C,3,0),VLOOKUP(INDEX(英雄装备!$F:$BZ,MATCH($H5,英雄装备!$F:$F,0),MATCH(I$2,英雄装备!$1:$1,0)-3),装备属性!$A:$C,3,0),VLOOKUP(INDEX(英雄装备!$F:$BZ,MATCH($H5,英雄装备!$F:$F,0),MATCH(I$2,英雄装备!$1:$1,0)-2),装备属性!$A:$C,3,0),VLOOKUP(INDEX(英雄装备!$F:$BZ,MATCH($H5,英雄装备!$F:$F,0),MATCH(I$2,英雄装备!$1:$1,0)-1),装备属性!$A:$C,3,0),VLOOKUP(INDEX(英雄装备!$F:$BZ,MATCH($H5,英雄装备!$F:$F,0),MATCH(I$2,英雄装备!$1:$1,0)),装备属性!$A:$C,3,0))</f>
        <v>2</v>
      </c>
      <c r="J5" s="51">
        <f>MAX(VLOOKUP(INDEX(英雄装备!$F:$BZ,MATCH($H5,英雄装备!$F:$F,0),MATCH(J$2,英雄装备!$1:$1,0)-5),装备属性!$A:$C,3,0),VLOOKUP(INDEX(英雄装备!$F:$BZ,MATCH($H5,英雄装备!$F:$F,0),MATCH(J$2,英雄装备!$1:$1,0)-4),装备属性!$A:$C,3,0),VLOOKUP(INDEX(英雄装备!$F:$BZ,MATCH($H5,英雄装备!$F:$F,0),MATCH(J$2,英雄装备!$1:$1,0)-3),装备属性!$A:$C,3,0),VLOOKUP(INDEX(英雄装备!$F:$BZ,MATCH($H5,英雄装备!$F:$F,0),MATCH(J$2,英雄装备!$1:$1,0)-2),装备属性!$A:$C,3,0),VLOOKUP(INDEX(英雄装备!$F:$BZ,MATCH($H5,英雄装备!$F:$F,0),MATCH(J$2,英雄装备!$1:$1,0)-1),装备属性!$A:$C,3,0),VLOOKUP(INDEX(英雄装备!$F:$BZ,MATCH($H5,英雄装备!$F:$F,0),MATCH(J$2,英雄装备!$1:$1,0)),装备属性!$A:$C,3,0))</f>
        <v>10</v>
      </c>
      <c r="K5" s="51">
        <f>MAX(VLOOKUP(INDEX(英雄装备!$F:$BZ,MATCH($H5,英雄装备!$F:$F,0),MATCH(K$2,英雄装备!$1:$1,0)-5),装备属性!$A:$C,3,0),VLOOKUP(INDEX(英雄装备!$F:$BZ,MATCH($H5,英雄装备!$F:$F,0),MATCH(K$2,英雄装备!$1:$1,0)-4),装备属性!$A:$C,3,0),VLOOKUP(INDEX(英雄装备!$F:$BZ,MATCH($H5,英雄装备!$F:$F,0),MATCH(K$2,英雄装备!$1:$1,0)-3),装备属性!$A:$C,3,0),VLOOKUP(INDEX(英雄装备!$F:$BZ,MATCH($H5,英雄装备!$F:$F,0),MATCH(K$2,英雄装备!$1:$1,0)-2),装备属性!$A:$C,3,0),VLOOKUP(INDEX(英雄装备!$F:$BZ,MATCH($H5,英雄装备!$F:$F,0),MATCH(K$2,英雄装备!$1:$1,0)-1),装备属性!$A:$C,3,0),VLOOKUP(INDEX(英雄装备!$F:$BZ,MATCH($H5,英雄装备!$F:$F,0),MATCH(K$2,英雄装备!$1:$1,0)),装备属性!$A:$C,3,0))</f>
        <v>26</v>
      </c>
      <c r="L5" s="51">
        <f>MAX(VLOOKUP(INDEX(英雄装备!$F:$BZ,MATCH($H5,英雄装备!$F:$F,0),MATCH(L$2,英雄装备!$1:$1,0)-5),装备属性!$A:$C,3,0),VLOOKUP(INDEX(英雄装备!$F:$BZ,MATCH($H5,英雄装备!$F:$F,0),MATCH(L$2,英雄装备!$1:$1,0)-4),装备属性!$A:$C,3,0),VLOOKUP(INDEX(英雄装备!$F:$BZ,MATCH($H5,英雄装备!$F:$F,0),MATCH(L$2,英雄装备!$1:$1,0)-3),装备属性!$A:$C,3,0),VLOOKUP(INDEX(英雄装备!$F:$BZ,MATCH($H5,英雄装备!$F:$F,0),MATCH(L$2,英雄装备!$1:$1,0)-2),装备属性!$A:$C,3,0),VLOOKUP(INDEX(英雄装备!$F:$BZ,MATCH($H5,英雄装备!$F:$F,0),MATCH(L$2,英雄装备!$1:$1,0)-1),装备属性!$A:$C,3,0),VLOOKUP(INDEX(英雄装备!$F:$BZ,MATCH($H5,英雄装备!$F:$F,0),MATCH(L$2,英雄装备!$1:$1,0)),装备属性!$A:$C,3,0))</f>
        <v>35</v>
      </c>
      <c r="M5" s="51">
        <f>MAX(VLOOKUP(INDEX(英雄装备!$F:$BZ,MATCH($H5,英雄装备!$F:$F,0),MATCH(M$2,英雄装备!$1:$1,0)-5),装备属性!$A:$C,3,0),VLOOKUP(INDEX(英雄装备!$F:$BZ,MATCH($H5,英雄装备!$F:$F,0),MATCH(M$2,英雄装备!$1:$1,0)-4),装备属性!$A:$C,3,0),VLOOKUP(INDEX(英雄装备!$F:$BZ,MATCH($H5,英雄装备!$F:$F,0),MATCH(M$2,英雄装备!$1:$1,0)-3),装备属性!$A:$C,3,0),VLOOKUP(INDEX(英雄装备!$F:$BZ,MATCH($H5,英雄装备!$F:$F,0),MATCH(M$2,英雄装备!$1:$1,0)-2),装备属性!$A:$C,3,0),VLOOKUP(INDEX(英雄装备!$F:$BZ,MATCH($H5,英雄装备!$F:$F,0),MATCH(M$2,英雄装备!$1:$1,0)-1),装备属性!$A:$C,3,0),VLOOKUP(INDEX(英雄装备!$F:$BZ,MATCH($H5,英雄装备!$F:$F,0),MATCH(M$2,英雄装备!$1:$1,0)),装备属性!$A:$C,3,0))</f>
        <v>36</v>
      </c>
      <c r="N5" s="51">
        <f>MAX(VLOOKUP(INDEX(英雄装备!$F:$BZ,MATCH($H5,英雄装备!$F:$F,0),MATCH(N$2,英雄装备!$1:$1,0)-5),装备属性!$A:$C,3,0),VLOOKUP(INDEX(英雄装备!$F:$BZ,MATCH($H5,英雄装备!$F:$F,0),MATCH(N$2,英雄装备!$1:$1,0)-4),装备属性!$A:$C,3,0),VLOOKUP(INDEX(英雄装备!$F:$BZ,MATCH($H5,英雄装备!$F:$F,0),MATCH(N$2,英雄装备!$1:$1,0)-3),装备属性!$A:$C,3,0),VLOOKUP(INDEX(英雄装备!$F:$BZ,MATCH($H5,英雄装备!$F:$F,0),MATCH(N$2,英雄装备!$1:$1,0)-2),装备属性!$A:$C,3,0),VLOOKUP(INDEX(英雄装备!$F:$BZ,MATCH($H5,英雄装备!$F:$F,0),MATCH(N$2,英雄装备!$1:$1,0)-1),装备属性!$A:$C,3,0),VLOOKUP(INDEX(英雄装备!$F:$BZ,MATCH($H5,英雄装备!$F:$F,0),MATCH(N$2,英雄装备!$1:$1,0)),装备属性!$A:$C,3,0))</f>
        <v>52</v>
      </c>
      <c r="O5" s="51">
        <f>MAX(VLOOKUP(INDEX(英雄装备!$F:$BZ,MATCH($H5,英雄装备!$F:$F,0),MATCH(O$2,英雄装备!$1:$1,0)-5),装备属性!$A:$C,3,0),VLOOKUP(INDEX(英雄装备!$F:$BZ,MATCH($H5,英雄装备!$F:$F,0),MATCH(O$2,英雄装备!$1:$1,0)-4),装备属性!$A:$C,3,0),VLOOKUP(INDEX(英雄装备!$F:$BZ,MATCH($H5,英雄装备!$F:$F,0),MATCH(O$2,英雄装备!$1:$1,0)-3),装备属性!$A:$C,3,0),VLOOKUP(INDEX(英雄装备!$F:$BZ,MATCH($H5,英雄装备!$F:$F,0),MATCH(O$2,英雄装备!$1:$1,0)-2),装备属性!$A:$C,3,0),VLOOKUP(INDEX(英雄装备!$F:$BZ,MATCH($H5,英雄装备!$F:$F,0),MATCH(O$2,英雄装备!$1:$1,0)-1),装备属性!$A:$C,3,0),VLOOKUP(INDEX(英雄装备!$F:$BZ,MATCH($H5,英雄装备!$F:$F,0),MATCH(O$2,英雄装备!$1:$1,0)),装备属性!$A:$C,3,0))</f>
        <v>62</v>
      </c>
      <c r="P5" s="51">
        <f>MAX(VLOOKUP(INDEX(英雄装备!$F:$BZ,MATCH($H5,英雄装备!$F:$F,0),MATCH(P$2,英雄装备!$1:$1,0)-5),装备属性!$A:$C,3,0),VLOOKUP(INDEX(英雄装备!$F:$BZ,MATCH($H5,英雄装备!$F:$F,0),MATCH(P$2,英雄装备!$1:$1,0)-4),装备属性!$A:$C,3,0),VLOOKUP(INDEX(英雄装备!$F:$BZ,MATCH($H5,英雄装备!$F:$F,0),MATCH(P$2,英雄装备!$1:$1,0)-3),装备属性!$A:$C,3,0),VLOOKUP(INDEX(英雄装备!$F:$BZ,MATCH($H5,英雄装备!$F:$F,0),MATCH(P$2,英雄装备!$1:$1,0)-2),装备属性!$A:$C,3,0),VLOOKUP(INDEX(英雄装备!$F:$BZ,MATCH($H5,英雄装备!$F:$F,0),MATCH(P$2,英雄装备!$1:$1,0)-1),装备属性!$A:$C,3,0),VLOOKUP(INDEX(英雄装备!$F:$BZ,MATCH($H5,英雄装备!$F:$F,0),MATCH(P$2,英雄装备!$1:$1,0)),装备属性!$A:$C,3,0))</f>
        <v>72</v>
      </c>
      <c r="Q5" s="51">
        <f>MAX(VLOOKUP(INDEX(英雄装备!$F:$BZ,MATCH($H5,英雄装备!$F:$F,0),MATCH(Q$2,英雄装备!$1:$1,0)-5),装备属性!$A:$C,3,0),VLOOKUP(INDEX(英雄装备!$F:$BZ,MATCH($H5,英雄装备!$F:$F,0),MATCH(Q$2,英雄装备!$1:$1,0)-4),装备属性!$A:$C,3,0),VLOOKUP(INDEX(英雄装备!$F:$BZ,MATCH($H5,英雄装备!$F:$F,0),MATCH(Q$2,英雄装备!$1:$1,0)-3),装备属性!$A:$C,3,0),VLOOKUP(INDEX(英雄装备!$F:$BZ,MATCH($H5,英雄装备!$F:$F,0),MATCH(Q$2,英雄装备!$1:$1,0)-2),装备属性!$A:$C,3,0),VLOOKUP(INDEX(英雄装备!$F:$BZ,MATCH($H5,英雄装备!$F:$F,0),MATCH(Q$2,英雄装备!$1:$1,0)-1),装备属性!$A:$C,3,0),VLOOKUP(INDEX(英雄装备!$F:$BZ,MATCH($H5,英雄装备!$F:$F,0),MATCH(Q$2,英雄装备!$1:$1,0)),装备属性!$A:$C,3,0))</f>
        <v>80</v>
      </c>
      <c r="R5" s="51">
        <f>MAX(VLOOKUP(INDEX(英雄装备!$F:$BZ,MATCH($H5,英雄装备!$F:$F,0),MATCH(R$2,英雄装备!$1:$1,0)-5),装备属性!$A:$C,3,0),VLOOKUP(INDEX(英雄装备!$F:$BZ,MATCH($H5,英雄装备!$F:$F,0),MATCH(R$2,英雄装备!$1:$1,0)-4),装备属性!$A:$C,3,0),VLOOKUP(INDEX(英雄装备!$F:$BZ,MATCH($H5,英雄装备!$F:$F,0),MATCH(R$2,英雄装备!$1:$1,0)-3),装备属性!$A:$C,3,0),VLOOKUP(INDEX(英雄装备!$F:$BZ,MATCH($H5,英雄装备!$F:$F,0),MATCH(R$2,英雄装备!$1:$1,0)-2),装备属性!$A:$C,3,0),VLOOKUP(INDEX(英雄装备!$F:$BZ,MATCH($H5,英雄装备!$F:$F,0),MATCH(R$2,英雄装备!$1:$1,0)-1),装备属性!$A:$C,3,0),VLOOKUP(INDEX(英雄装备!$F:$BZ,MATCH($H5,英雄装备!$F:$F,0),MATCH(R$2,英雄装备!$1:$1,0)),装备属性!$A:$C,3,0))</f>
        <v>79</v>
      </c>
      <c r="S5" s="51">
        <f>MAX(VLOOKUP(INDEX(英雄装备!$F:$BZ,MATCH($H5,英雄装备!$F:$F,0),MATCH(S$2,英雄装备!$1:$1,0)-5),装备属性!$A:$C,3,0),VLOOKUP(INDEX(英雄装备!$F:$BZ,MATCH($H5,英雄装备!$F:$F,0),MATCH(S$2,英雄装备!$1:$1,0)-4),装备属性!$A:$C,3,0),VLOOKUP(INDEX(英雄装备!$F:$BZ,MATCH($H5,英雄装备!$F:$F,0),MATCH(S$2,英雄装备!$1:$1,0)-3),装备属性!$A:$C,3,0),VLOOKUP(INDEX(英雄装备!$F:$BZ,MATCH($H5,英雄装备!$F:$F,0),MATCH(S$2,英雄装备!$1:$1,0)-2),装备属性!$A:$C,3,0),VLOOKUP(INDEX(英雄装备!$F:$BZ,MATCH($H5,英雄装备!$F:$F,0),MATCH(S$2,英雄装备!$1:$1,0)-1),装备属性!$A:$C,3,0),VLOOKUP(INDEX(英雄装备!$F:$BZ,MATCH($H5,英雄装备!$F:$F,0),MATCH(S$2,英雄装备!$1:$1,0)),装备属性!$A:$C,3,0))</f>
        <v>84</v>
      </c>
      <c r="T5" s="51">
        <f>MAX(VLOOKUP(INDEX(英雄装备!$F:$BZ,MATCH($H5,英雄装备!$F:$F,0),MATCH(T$2,英雄装备!$1:$1,0)-5),装备属性!$A:$C,3,0),VLOOKUP(INDEX(英雄装备!$F:$BZ,MATCH($H5,英雄装备!$F:$F,0),MATCH(T$2,英雄装备!$1:$1,0)-4),装备属性!$A:$C,3,0),VLOOKUP(INDEX(英雄装备!$F:$BZ,MATCH($H5,英雄装备!$F:$F,0),MATCH(T$2,英雄装备!$1:$1,0)-3),装备属性!$A:$C,3,0),VLOOKUP(INDEX(英雄装备!$F:$BZ,MATCH($H5,英雄装备!$F:$F,0),MATCH(T$2,英雄装备!$1:$1,0)-2),装备属性!$A:$C,3,0),VLOOKUP(INDEX(英雄装备!$F:$BZ,MATCH($H5,英雄装备!$F:$F,0),MATCH(T$2,英雄装备!$1:$1,0)-1),装备属性!$A:$C,3,0))</f>
        <v>87</v>
      </c>
      <c r="W5" s="151" t="str">
        <f>IF($V$2&lt;5,"","蓝+1")</f>
        <v>蓝+1</v>
      </c>
      <c r="X5" s="151" t="str">
        <f>VLOOKUP(英雄对比!$C$2,英雄装备!$F:$BZ,26,0)</f>
        <v>碎骨锤</v>
      </c>
      <c r="Y5" s="151" t="str">
        <f>VLOOKUP(英雄对比!$C$2,英雄装备!$F:$BZ,27,0)</f>
        <v>黑黄</v>
      </c>
      <c r="Z5" s="151" t="str">
        <f>VLOOKUP(英雄对比!$C$2,英雄装备!$F:$BZ,28,0)</f>
        <v>散华</v>
      </c>
      <c r="AA5" s="151" t="str">
        <f>VLOOKUP(英雄对比!$C$2,英雄装备!$F:$BZ,29,0)</f>
        <v>魔抗头巾</v>
      </c>
      <c r="AB5" s="151" t="str">
        <f>VLOOKUP(英雄对比!$C$2,英雄装备!$F:$BZ,30,0)</f>
        <v>天鹰之戒</v>
      </c>
      <c r="AC5" s="151" t="str">
        <f>VLOOKUP(英雄对比!$C$2,英雄装备!$F:$BZ,31,0)</f>
        <v>相位鞋</v>
      </c>
    </row>
    <row r="6" spans="1:52">
      <c r="B6" s="151" t="str">
        <f>英雄初始!A7</f>
        <v>全能骑士</v>
      </c>
      <c r="G6" s="233"/>
      <c r="H6" s="50" t="s">
        <v>160</v>
      </c>
      <c r="I6" s="51">
        <f>MAX(VLOOKUP(INDEX(英雄装备!$F:$BZ,MATCH($H6,英雄装备!$F:$F,0),MATCH(I$2,英雄装备!$1:$1,0)-5),装备属性!$A:$C,3,0),VLOOKUP(INDEX(英雄装备!$F:$BZ,MATCH($H6,英雄装备!$F:$F,0),MATCH(I$2,英雄装备!$1:$1,0)-4),装备属性!$A:$C,3,0),VLOOKUP(INDEX(英雄装备!$F:$BZ,MATCH($H6,英雄装备!$F:$F,0),MATCH(I$2,英雄装备!$1:$1,0)-3),装备属性!$A:$C,3,0),VLOOKUP(INDEX(英雄装备!$F:$BZ,MATCH($H6,英雄装备!$F:$F,0),MATCH(I$2,英雄装备!$1:$1,0)-2),装备属性!$A:$C,3,0),VLOOKUP(INDEX(英雄装备!$F:$BZ,MATCH($H6,英雄装备!$F:$F,0),MATCH(I$2,英雄装备!$1:$1,0)-1),装备属性!$A:$C,3,0),VLOOKUP(INDEX(英雄装备!$F:$BZ,MATCH($H6,英雄装备!$F:$F,0),MATCH(I$2,英雄装备!$1:$1,0)),装备属性!$A:$C,3,0))</f>
        <v>2</v>
      </c>
      <c r="J6" s="51">
        <f>MAX(VLOOKUP(INDEX(英雄装备!$F:$BZ,MATCH($H6,英雄装备!$F:$F,0),MATCH(J$2,英雄装备!$1:$1,0)-5),装备属性!$A:$C,3,0),VLOOKUP(INDEX(英雄装备!$F:$BZ,MATCH($H6,英雄装备!$F:$F,0),MATCH(J$2,英雄装备!$1:$1,0)-4),装备属性!$A:$C,3,0),VLOOKUP(INDEX(英雄装备!$F:$BZ,MATCH($H6,英雄装备!$F:$F,0),MATCH(J$2,英雄装备!$1:$1,0)-3),装备属性!$A:$C,3,0),VLOOKUP(INDEX(英雄装备!$F:$BZ,MATCH($H6,英雄装备!$F:$F,0),MATCH(J$2,英雄装备!$1:$1,0)-2),装备属性!$A:$C,3,0),VLOOKUP(INDEX(英雄装备!$F:$BZ,MATCH($H6,英雄装备!$F:$F,0),MATCH(J$2,英雄装备!$1:$1,0)-1),装备属性!$A:$C,3,0),VLOOKUP(INDEX(英雄装备!$F:$BZ,MATCH($H6,英雄装备!$F:$F,0),MATCH(J$2,英雄装备!$1:$1,0)),装备属性!$A:$C,3,0))</f>
        <v>12</v>
      </c>
      <c r="K6" s="51">
        <f>MAX(VLOOKUP(INDEX(英雄装备!$F:$BZ,MATCH($H6,英雄装备!$F:$F,0),MATCH(K$2,英雄装备!$1:$1,0)-5),装备属性!$A:$C,3,0),VLOOKUP(INDEX(英雄装备!$F:$BZ,MATCH($H6,英雄装备!$F:$F,0),MATCH(K$2,英雄装备!$1:$1,0)-4),装备属性!$A:$C,3,0),VLOOKUP(INDEX(英雄装备!$F:$BZ,MATCH($H6,英雄装备!$F:$F,0),MATCH(K$2,英雄装备!$1:$1,0)-3),装备属性!$A:$C,3,0),VLOOKUP(INDEX(英雄装备!$F:$BZ,MATCH($H6,英雄装备!$F:$F,0),MATCH(K$2,英雄装备!$1:$1,0)-2),装备属性!$A:$C,3,0),VLOOKUP(INDEX(英雄装备!$F:$BZ,MATCH($H6,英雄装备!$F:$F,0),MATCH(K$2,英雄装备!$1:$1,0)-1),装备属性!$A:$C,3,0),VLOOKUP(INDEX(英雄装备!$F:$BZ,MATCH($H6,英雄装备!$F:$F,0),MATCH(K$2,英雄装备!$1:$1,0)),装备属性!$A:$C,3,0))</f>
        <v>21</v>
      </c>
      <c r="L6" s="51">
        <f>MAX(VLOOKUP(INDEX(英雄装备!$F:$BZ,MATCH($H6,英雄装备!$F:$F,0),MATCH(L$2,英雄装备!$1:$1,0)-5),装备属性!$A:$C,3,0),VLOOKUP(INDEX(英雄装备!$F:$BZ,MATCH($H6,英雄装备!$F:$F,0),MATCH(L$2,英雄装备!$1:$1,0)-4),装备属性!$A:$C,3,0),VLOOKUP(INDEX(英雄装备!$F:$BZ,MATCH($H6,英雄装备!$F:$F,0),MATCH(L$2,英雄装备!$1:$1,0)-3),装备属性!$A:$C,3,0),VLOOKUP(INDEX(英雄装备!$F:$BZ,MATCH($H6,英雄装备!$F:$F,0),MATCH(L$2,英雄装备!$1:$1,0)-2),装备属性!$A:$C,3,0),VLOOKUP(INDEX(英雄装备!$F:$BZ,MATCH($H6,英雄装备!$F:$F,0),MATCH(L$2,英雄装备!$1:$1,0)-1),装备属性!$A:$C,3,0),VLOOKUP(INDEX(英雄装备!$F:$BZ,MATCH($H6,英雄装备!$F:$F,0),MATCH(L$2,英雄装备!$1:$1,0)),装备属性!$A:$C,3,0))</f>
        <v>36</v>
      </c>
      <c r="M6" s="51">
        <f>MAX(VLOOKUP(INDEX(英雄装备!$F:$BZ,MATCH($H6,英雄装备!$F:$F,0),MATCH(M$2,英雄装备!$1:$1,0)-5),装备属性!$A:$C,3,0),VLOOKUP(INDEX(英雄装备!$F:$BZ,MATCH($H6,英雄装备!$F:$F,0),MATCH(M$2,英雄装备!$1:$1,0)-4),装备属性!$A:$C,3,0),VLOOKUP(INDEX(英雄装备!$F:$BZ,MATCH($H6,英雄装备!$F:$F,0),MATCH(M$2,英雄装备!$1:$1,0)-3),装备属性!$A:$C,3,0),VLOOKUP(INDEX(英雄装备!$F:$BZ,MATCH($H6,英雄装备!$F:$F,0),MATCH(M$2,英雄装备!$1:$1,0)-2),装备属性!$A:$C,3,0),VLOOKUP(INDEX(英雄装备!$F:$BZ,MATCH($H6,英雄装备!$F:$F,0),MATCH(M$2,英雄装备!$1:$1,0)-1),装备属性!$A:$C,3,0),VLOOKUP(INDEX(英雄装备!$F:$BZ,MATCH($H6,英雄装备!$F:$F,0),MATCH(M$2,英雄装备!$1:$1,0)),装备属性!$A:$C,3,0))</f>
        <v>43</v>
      </c>
      <c r="N6" s="51">
        <f>MAX(VLOOKUP(INDEX(英雄装备!$F:$BZ,MATCH($H6,英雄装备!$F:$F,0),MATCH(N$2,英雄装备!$1:$1,0)-5),装备属性!$A:$C,3,0),VLOOKUP(INDEX(英雄装备!$F:$BZ,MATCH($H6,英雄装备!$F:$F,0),MATCH(N$2,英雄装备!$1:$1,0)-4),装备属性!$A:$C,3,0),VLOOKUP(INDEX(英雄装备!$F:$BZ,MATCH($H6,英雄装备!$F:$F,0),MATCH(N$2,英雄装备!$1:$1,0)-3),装备属性!$A:$C,3,0),VLOOKUP(INDEX(英雄装备!$F:$BZ,MATCH($H6,英雄装备!$F:$F,0),MATCH(N$2,英雄装备!$1:$1,0)-2),装备属性!$A:$C,3,0),VLOOKUP(INDEX(英雄装备!$F:$BZ,MATCH($H6,英雄装备!$F:$F,0),MATCH(N$2,英雄装备!$1:$1,0)-1),装备属性!$A:$C,3,0),VLOOKUP(INDEX(英雄装备!$F:$BZ,MATCH($H6,英雄装备!$F:$F,0),MATCH(N$2,英雄装备!$1:$1,0)),装备属性!$A:$C,3,0))</f>
        <v>52</v>
      </c>
      <c r="O6" s="51">
        <f>MAX(VLOOKUP(INDEX(英雄装备!$F:$BZ,MATCH($H6,英雄装备!$F:$F,0),MATCH(O$2,英雄装备!$1:$1,0)-5),装备属性!$A:$C,3,0),VLOOKUP(INDEX(英雄装备!$F:$BZ,MATCH($H6,英雄装备!$F:$F,0),MATCH(O$2,英雄装备!$1:$1,0)-4),装备属性!$A:$C,3,0),VLOOKUP(INDEX(英雄装备!$F:$BZ,MATCH($H6,英雄装备!$F:$F,0),MATCH(O$2,英雄装备!$1:$1,0)-3),装备属性!$A:$C,3,0),VLOOKUP(INDEX(英雄装备!$F:$BZ,MATCH($H6,英雄装备!$F:$F,0),MATCH(O$2,英雄装备!$1:$1,0)-2),装备属性!$A:$C,3,0),VLOOKUP(INDEX(英雄装备!$F:$BZ,MATCH($H6,英雄装备!$F:$F,0),MATCH(O$2,英雄装备!$1:$1,0)-1),装备属性!$A:$C,3,0),VLOOKUP(INDEX(英雄装备!$F:$BZ,MATCH($H6,英雄装备!$F:$F,0),MATCH(O$2,英雄装备!$1:$1,0)),装备属性!$A:$C,3,0))</f>
        <v>59</v>
      </c>
      <c r="P6" s="51">
        <f>MAX(VLOOKUP(INDEX(英雄装备!$F:$BZ,MATCH($H6,英雄装备!$F:$F,0),MATCH(P$2,英雄装备!$1:$1,0)-5),装备属性!$A:$C,3,0),VLOOKUP(INDEX(英雄装备!$F:$BZ,MATCH($H6,英雄装备!$F:$F,0),MATCH(P$2,英雄装备!$1:$1,0)-4),装备属性!$A:$C,3,0),VLOOKUP(INDEX(英雄装备!$F:$BZ,MATCH($H6,英雄装备!$F:$F,0),MATCH(P$2,英雄装备!$1:$1,0)-3),装备属性!$A:$C,3,0),VLOOKUP(INDEX(英雄装备!$F:$BZ,MATCH($H6,英雄装备!$F:$F,0),MATCH(P$2,英雄装备!$1:$1,0)-2),装备属性!$A:$C,3,0),VLOOKUP(INDEX(英雄装备!$F:$BZ,MATCH($H6,英雄装备!$F:$F,0),MATCH(P$2,英雄装备!$1:$1,0)-1),装备属性!$A:$C,3,0),VLOOKUP(INDEX(英雄装备!$F:$BZ,MATCH($H6,英雄装备!$F:$F,0),MATCH(P$2,英雄装备!$1:$1,0)),装备属性!$A:$C,3,0))</f>
        <v>72</v>
      </c>
      <c r="Q6" s="51">
        <f>MAX(VLOOKUP(INDEX(英雄装备!$F:$BZ,MATCH($H6,英雄装备!$F:$F,0),MATCH(Q$2,英雄装备!$1:$1,0)-5),装备属性!$A:$C,3,0),VLOOKUP(INDEX(英雄装备!$F:$BZ,MATCH($H6,英雄装备!$F:$F,0),MATCH(Q$2,英雄装备!$1:$1,0)-4),装备属性!$A:$C,3,0),VLOOKUP(INDEX(英雄装备!$F:$BZ,MATCH($H6,英雄装备!$F:$F,0),MATCH(Q$2,英雄装备!$1:$1,0)-3),装备属性!$A:$C,3,0),VLOOKUP(INDEX(英雄装备!$F:$BZ,MATCH($H6,英雄装备!$F:$F,0),MATCH(Q$2,英雄装备!$1:$1,0)-2),装备属性!$A:$C,3,0),VLOOKUP(INDEX(英雄装备!$F:$BZ,MATCH($H6,英雄装备!$F:$F,0),MATCH(Q$2,英雄装备!$1:$1,0)-1),装备属性!$A:$C,3,0),VLOOKUP(INDEX(英雄装备!$F:$BZ,MATCH($H6,英雄装备!$F:$F,0),MATCH(Q$2,英雄装备!$1:$1,0)),装备属性!$A:$C,3,0))</f>
        <v>80</v>
      </c>
      <c r="R6" s="51">
        <f>MAX(VLOOKUP(INDEX(英雄装备!$F:$BZ,MATCH($H6,英雄装备!$F:$F,0),MATCH(R$2,英雄装备!$1:$1,0)-5),装备属性!$A:$C,3,0),VLOOKUP(INDEX(英雄装备!$F:$BZ,MATCH($H6,英雄装备!$F:$F,0),MATCH(R$2,英雄装备!$1:$1,0)-4),装备属性!$A:$C,3,0),VLOOKUP(INDEX(英雄装备!$F:$BZ,MATCH($H6,英雄装备!$F:$F,0),MATCH(R$2,英雄装备!$1:$1,0)-3),装备属性!$A:$C,3,0),VLOOKUP(INDEX(英雄装备!$F:$BZ,MATCH($H6,英雄装备!$F:$F,0),MATCH(R$2,英雄装备!$1:$1,0)-2),装备属性!$A:$C,3,0),VLOOKUP(INDEX(英雄装备!$F:$BZ,MATCH($H6,英雄装备!$F:$F,0),MATCH(R$2,英雄装备!$1:$1,0)-1),装备属性!$A:$C,3,0),VLOOKUP(INDEX(英雄装备!$F:$BZ,MATCH($H6,英雄装备!$F:$F,0),MATCH(R$2,英雄装备!$1:$1,0)),装备属性!$A:$C,3,0))</f>
        <v>80</v>
      </c>
      <c r="S6" s="51">
        <f>MAX(VLOOKUP(INDEX(英雄装备!$F:$BZ,MATCH($H6,英雄装备!$F:$F,0),MATCH(S$2,英雄装备!$1:$1,0)-5),装备属性!$A:$C,3,0),VLOOKUP(INDEX(英雄装备!$F:$BZ,MATCH($H6,英雄装备!$F:$F,0),MATCH(S$2,英雄装备!$1:$1,0)-4),装备属性!$A:$C,3,0),VLOOKUP(INDEX(英雄装备!$F:$BZ,MATCH($H6,英雄装备!$F:$F,0),MATCH(S$2,英雄装备!$1:$1,0)-3),装备属性!$A:$C,3,0),VLOOKUP(INDEX(英雄装备!$F:$BZ,MATCH($H6,英雄装备!$F:$F,0),MATCH(S$2,英雄装备!$1:$1,0)-2),装备属性!$A:$C,3,0),VLOOKUP(INDEX(英雄装备!$F:$BZ,MATCH($H6,英雄装备!$F:$F,0),MATCH(S$2,英雄装备!$1:$1,0)-1),装备属性!$A:$C,3,0),VLOOKUP(INDEX(英雄装备!$F:$BZ,MATCH($H6,英雄装备!$F:$F,0),MATCH(S$2,英雄装备!$1:$1,0)),装备属性!$A:$C,3,0))</f>
        <v>84</v>
      </c>
      <c r="T6" s="51">
        <f>MAX(VLOOKUP(INDEX(英雄装备!$F:$BZ,MATCH($H6,英雄装备!$F:$F,0),MATCH(T$2,英雄装备!$1:$1,0)-5),装备属性!$A:$C,3,0),VLOOKUP(INDEX(英雄装备!$F:$BZ,MATCH($H6,英雄装备!$F:$F,0),MATCH(T$2,英雄装备!$1:$1,0)-4),装备属性!$A:$C,3,0),VLOOKUP(INDEX(英雄装备!$F:$BZ,MATCH($H6,英雄装备!$F:$F,0),MATCH(T$2,英雄装备!$1:$1,0)-3),装备属性!$A:$C,3,0),VLOOKUP(INDEX(英雄装备!$F:$BZ,MATCH($H6,英雄装备!$F:$F,0),MATCH(T$2,英雄装备!$1:$1,0)-2),装备属性!$A:$C,3,0),VLOOKUP(INDEX(英雄装备!$F:$BZ,MATCH($H6,英雄装备!$F:$F,0),MATCH(T$2,英雄装备!$1:$1,0)-1),装备属性!$A:$C,3,0))</f>
        <v>87</v>
      </c>
      <c r="W6" s="151" t="str">
        <f>IF($V$2&lt;6,"","蓝+2")</f>
        <v>蓝+2</v>
      </c>
      <c r="X6" s="151" t="str">
        <f>VLOOKUP(英雄对比!$C$2,英雄装备!$F:$BZ,32,0)</f>
        <v>分身斧</v>
      </c>
      <c r="Y6" s="151" t="str">
        <f>VLOOKUP(英雄对比!$C$2,英雄装备!$F:$BZ,33,0)</f>
        <v>暗灭</v>
      </c>
      <c r="Z6" s="151" t="str">
        <f>VLOOKUP(英雄对比!$C$2,英雄装备!$F:$BZ,34,0)</f>
        <v>双刀</v>
      </c>
      <c r="AA6" s="151" t="str">
        <f>VLOOKUP(英雄对比!$C$2,英雄装备!$F:$BZ,35,0)</f>
        <v>板甲</v>
      </c>
      <c r="AB6" s="151" t="str">
        <f>VLOOKUP(英雄对比!$C$2,英雄装备!$F:$BZ,36,0)</f>
        <v>祭品</v>
      </c>
      <c r="AC6" s="151" t="str">
        <f>VLOOKUP(英雄对比!$C$2,英雄装备!$F:$BZ,37,0)</f>
        <v>相位鞋</v>
      </c>
      <c r="AE6" s="48" t="s">
        <v>1100</v>
      </c>
      <c r="AG6" s="232" t="s">
        <v>1076</v>
      </c>
      <c r="AH6" s="232" t="s">
        <v>203</v>
      </c>
      <c r="AI6" s="232" t="s">
        <v>3</v>
      </c>
      <c r="AJ6" s="232">
        <f>SUM(AH111:AH116,AH119:AH124,AJ133)</f>
        <v>242</v>
      </c>
      <c r="AK6" s="232" t="s">
        <v>4</v>
      </c>
      <c r="AL6" s="232">
        <f>SUM(AI111:AI116,AI119:AI124,AL133)</f>
        <v>171</v>
      </c>
      <c r="AM6" s="232" t="s">
        <v>5</v>
      </c>
      <c r="AN6" s="232">
        <f>SUM(AJ111:AJ116,AJ119:AJ124,AN133)</f>
        <v>55</v>
      </c>
      <c r="AO6" s="232" t="s">
        <v>1098</v>
      </c>
      <c r="AP6" s="232">
        <f>IF(英雄对比!$M$2="力量",AJ6,IF(英雄对比!$M$2="敏捷",AL6,AN6))</f>
        <v>171</v>
      </c>
    </row>
    <row r="7" spans="1:52">
      <c r="B7" s="151" t="str">
        <f>英雄初始!A8</f>
        <v>神灵武士</v>
      </c>
      <c r="D7" s="48" t="s">
        <v>1257</v>
      </c>
      <c r="E7" s="151" t="str">
        <f>VLOOKUP(英雄对比!$C$2,英雄初始!$A:$L,2,0)</f>
        <v>中排</v>
      </c>
      <c r="G7" s="233"/>
      <c r="H7" s="50" t="s">
        <v>161</v>
      </c>
      <c r="I7" s="51">
        <f>MAX(VLOOKUP(INDEX(英雄装备!$F:$BZ,MATCH($H7,英雄装备!$F:$F,0),MATCH(I$2,英雄装备!$1:$1,0)-5),装备属性!$A:$C,3,0),VLOOKUP(INDEX(英雄装备!$F:$BZ,MATCH($H7,英雄装备!$F:$F,0),MATCH(I$2,英雄装备!$1:$1,0)-4),装备属性!$A:$C,3,0),VLOOKUP(INDEX(英雄装备!$F:$BZ,MATCH($H7,英雄装备!$F:$F,0),MATCH(I$2,英雄装备!$1:$1,0)-3),装备属性!$A:$C,3,0),VLOOKUP(INDEX(英雄装备!$F:$BZ,MATCH($H7,英雄装备!$F:$F,0),MATCH(I$2,英雄装备!$1:$1,0)-2),装备属性!$A:$C,3,0),VLOOKUP(INDEX(英雄装备!$F:$BZ,MATCH($H7,英雄装备!$F:$F,0),MATCH(I$2,英雄装备!$1:$1,0)-1),装备属性!$A:$C,3,0),VLOOKUP(INDEX(英雄装备!$F:$BZ,MATCH($H7,英雄装备!$F:$F,0),MATCH(I$2,英雄装备!$1:$1,0)),装备属性!$A:$C,3,0))</f>
        <v>2</v>
      </c>
      <c r="J7" s="51">
        <f>MAX(VLOOKUP(INDEX(英雄装备!$F:$BZ,MATCH($H7,英雄装备!$F:$F,0),MATCH(J$2,英雄装备!$1:$1,0)-5),装备属性!$A:$C,3,0),VLOOKUP(INDEX(英雄装备!$F:$BZ,MATCH($H7,英雄装备!$F:$F,0),MATCH(J$2,英雄装备!$1:$1,0)-4),装备属性!$A:$C,3,0),VLOOKUP(INDEX(英雄装备!$F:$BZ,MATCH($H7,英雄装备!$F:$F,0),MATCH(J$2,英雄装备!$1:$1,0)-3),装备属性!$A:$C,3,0),VLOOKUP(INDEX(英雄装备!$F:$BZ,MATCH($H7,英雄装备!$F:$F,0),MATCH(J$2,英雄装备!$1:$1,0)-2),装备属性!$A:$C,3,0),VLOOKUP(INDEX(英雄装备!$F:$BZ,MATCH($H7,英雄装备!$F:$F,0),MATCH(J$2,英雄装备!$1:$1,0)-1),装备属性!$A:$C,3,0),VLOOKUP(INDEX(英雄装备!$F:$BZ,MATCH($H7,英雄装备!$F:$F,0),MATCH(J$2,英雄装备!$1:$1,0)),装备属性!$A:$C,3,0))</f>
        <v>13</v>
      </c>
      <c r="K7" s="51">
        <f>MAX(VLOOKUP(INDEX(英雄装备!$F:$BZ,MATCH($H7,英雄装备!$F:$F,0),MATCH(K$2,英雄装备!$1:$1,0)-5),装备属性!$A:$C,3,0),VLOOKUP(INDEX(英雄装备!$F:$BZ,MATCH($H7,英雄装备!$F:$F,0),MATCH(K$2,英雄装备!$1:$1,0)-4),装备属性!$A:$C,3,0),VLOOKUP(INDEX(英雄装备!$F:$BZ,MATCH($H7,英雄装备!$F:$F,0),MATCH(K$2,英雄装备!$1:$1,0)-3),装备属性!$A:$C,3,0),VLOOKUP(INDEX(英雄装备!$F:$BZ,MATCH($H7,英雄装备!$F:$F,0),MATCH(K$2,英雄装备!$1:$1,0)-2),装备属性!$A:$C,3,0),VLOOKUP(INDEX(英雄装备!$F:$BZ,MATCH($H7,英雄装备!$F:$F,0),MATCH(K$2,英雄装备!$1:$1,0)-1),装备属性!$A:$C,3,0),VLOOKUP(INDEX(英雄装备!$F:$BZ,MATCH($H7,英雄装备!$F:$F,0),MATCH(K$2,英雄装备!$1:$1,0)),装备属性!$A:$C,3,0))</f>
        <v>18</v>
      </c>
      <c r="L7" s="51">
        <f>MAX(VLOOKUP(INDEX(英雄装备!$F:$BZ,MATCH($H7,英雄装备!$F:$F,0),MATCH(L$2,英雄装备!$1:$1,0)-5),装备属性!$A:$C,3,0),VLOOKUP(INDEX(英雄装备!$F:$BZ,MATCH($H7,英雄装备!$F:$F,0),MATCH(L$2,英雄装备!$1:$1,0)-4),装备属性!$A:$C,3,0),VLOOKUP(INDEX(英雄装备!$F:$BZ,MATCH($H7,英雄装备!$F:$F,0),MATCH(L$2,英雄装备!$1:$1,0)-3),装备属性!$A:$C,3,0),VLOOKUP(INDEX(英雄装备!$F:$BZ,MATCH($H7,英雄装备!$F:$F,0),MATCH(L$2,英雄装备!$1:$1,0)-2),装备属性!$A:$C,3,0),VLOOKUP(INDEX(英雄装备!$F:$BZ,MATCH($H7,英雄装备!$F:$F,0),MATCH(L$2,英雄装备!$1:$1,0)-1),装备属性!$A:$C,3,0),VLOOKUP(INDEX(英雄装备!$F:$BZ,MATCH($H7,英雄装备!$F:$F,0),MATCH(L$2,英雄装备!$1:$1,0)),装备属性!$A:$C,3,0))</f>
        <v>32</v>
      </c>
      <c r="M7" s="51">
        <f>MAX(VLOOKUP(INDEX(英雄装备!$F:$BZ,MATCH($H7,英雄装备!$F:$F,0),MATCH(M$2,英雄装备!$1:$1,0)-5),装备属性!$A:$C,3,0),VLOOKUP(INDEX(英雄装备!$F:$BZ,MATCH($H7,英雄装备!$F:$F,0),MATCH(M$2,英雄装备!$1:$1,0)-4),装备属性!$A:$C,3,0),VLOOKUP(INDEX(英雄装备!$F:$BZ,MATCH($H7,英雄装备!$F:$F,0),MATCH(M$2,英雄装备!$1:$1,0)-3),装备属性!$A:$C,3,0),VLOOKUP(INDEX(英雄装备!$F:$BZ,MATCH($H7,英雄装备!$F:$F,0),MATCH(M$2,英雄装备!$1:$1,0)-2),装备属性!$A:$C,3,0),VLOOKUP(INDEX(英雄装备!$F:$BZ,MATCH($H7,英雄装备!$F:$F,0),MATCH(M$2,英雄装备!$1:$1,0)-1),装备属性!$A:$C,3,0),VLOOKUP(INDEX(英雄装备!$F:$BZ,MATCH($H7,英雄装备!$F:$F,0),MATCH(M$2,英雄装备!$1:$1,0)),装备属性!$A:$C,3,0))</f>
        <v>43</v>
      </c>
      <c r="N7" s="51">
        <f>MAX(VLOOKUP(INDEX(英雄装备!$F:$BZ,MATCH($H7,英雄装备!$F:$F,0),MATCH(N$2,英雄装备!$1:$1,0)-5),装备属性!$A:$C,3,0),VLOOKUP(INDEX(英雄装备!$F:$BZ,MATCH($H7,英雄装备!$F:$F,0),MATCH(N$2,英雄装备!$1:$1,0)-4),装备属性!$A:$C,3,0),VLOOKUP(INDEX(英雄装备!$F:$BZ,MATCH($H7,英雄装备!$F:$F,0),MATCH(N$2,英雄装备!$1:$1,0)-3),装备属性!$A:$C,3,0),VLOOKUP(INDEX(英雄装备!$F:$BZ,MATCH($H7,英雄装备!$F:$F,0),MATCH(N$2,英雄装备!$1:$1,0)-2),装备属性!$A:$C,3,0),VLOOKUP(INDEX(英雄装备!$F:$BZ,MATCH($H7,英雄装备!$F:$F,0),MATCH(N$2,英雄装备!$1:$1,0)-1),装备属性!$A:$C,3,0),VLOOKUP(INDEX(英雄装备!$F:$BZ,MATCH($H7,英雄装备!$F:$F,0),MATCH(N$2,英雄装备!$1:$1,0)),装备属性!$A:$C,3,0))</f>
        <v>51</v>
      </c>
      <c r="O7" s="51">
        <f>MAX(VLOOKUP(INDEX(英雄装备!$F:$BZ,MATCH($H7,英雄装备!$F:$F,0),MATCH(O$2,英雄装备!$1:$1,0)-5),装备属性!$A:$C,3,0),VLOOKUP(INDEX(英雄装备!$F:$BZ,MATCH($H7,英雄装备!$F:$F,0),MATCH(O$2,英雄装备!$1:$1,0)-4),装备属性!$A:$C,3,0),VLOOKUP(INDEX(英雄装备!$F:$BZ,MATCH($H7,英雄装备!$F:$F,0),MATCH(O$2,英雄装备!$1:$1,0)-3),装备属性!$A:$C,3,0),VLOOKUP(INDEX(英雄装备!$F:$BZ,MATCH($H7,英雄装备!$F:$F,0),MATCH(O$2,英雄装备!$1:$1,0)-2),装备属性!$A:$C,3,0),VLOOKUP(INDEX(英雄装备!$F:$BZ,MATCH($H7,英雄装备!$F:$F,0),MATCH(O$2,英雄装备!$1:$1,0)-1),装备属性!$A:$C,3,0),VLOOKUP(INDEX(英雄装备!$F:$BZ,MATCH($H7,英雄装备!$F:$F,0),MATCH(O$2,英雄装备!$1:$1,0)),装备属性!$A:$C,3,0))</f>
        <v>64</v>
      </c>
      <c r="P7" s="51">
        <f>MAX(VLOOKUP(INDEX(英雄装备!$F:$BZ,MATCH($H7,英雄装备!$F:$F,0),MATCH(P$2,英雄装备!$1:$1,0)-5),装备属性!$A:$C,3,0),VLOOKUP(INDEX(英雄装备!$F:$BZ,MATCH($H7,英雄装备!$F:$F,0),MATCH(P$2,英雄装备!$1:$1,0)-4),装备属性!$A:$C,3,0),VLOOKUP(INDEX(英雄装备!$F:$BZ,MATCH($H7,英雄装备!$F:$F,0),MATCH(P$2,英雄装备!$1:$1,0)-3),装备属性!$A:$C,3,0),VLOOKUP(INDEX(英雄装备!$F:$BZ,MATCH($H7,英雄装备!$F:$F,0),MATCH(P$2,英雄装备!$1:$1,0)-2),装备属性!$A:$C,3,0),VLOOKUP(INDEX(英雄装备!$F:$BZ,MATCH($H7,英雄装备!$F:$F,0),MATCH(P$2,英雄装备!$1:$1,0)-1),装备属性!$A:$C,3,0),VLOOKUP(INDEX(英雄装备!$F:$BZ,MATCH($H7,英雄装备!$F:$F,0),MATCH(P$2,英雄装备!$1:$1,0)),装备属性!$A:$C,3,0))</f>
        <v>72</v>
      </c>
      <c r="Q7" s="51">
        <f>MAX(VLOOKUP(INDEX(英雄装备!$F:$BZ,MATCH($H7,英雄装备!$F:$F,0),MATCH(Q$2,英雄装备!$1:$1,0)-5),装备属性!$A:$C,3,0),VLOOKUP(INDEX(英雄装备!$F:$BZ,MATCH($H7,英雄装备!$F:$F,0),MATCH(Q$2,英雄装备!$1:$1,0)-4),装备属性!$A:$C,3,0),VLOOKUP(INDEX(英雄装备!$F:$BZ,MATCH($H7,英雄装备!$F:$F,0),MATCH(Q$2,英雄装备!$1:$1,0)-3),装备属性!$A:$C,3,0),VLOOKUP(INDEX(英雄装备!$F:$BZ,MATCH($H7,英雄装备!$F:$F,0),MATCH(Q$2,英雄装备!$1:$1,0)-2),装备属性!$A:$C,3,0),VLOOKUP(INDEX(英雄装备!$F:$BZ,MATCH($H7,英雄装备!$F:$F,0),MATCH(Q$2,英雄装备!$1:$1,0)-1),装备属性!$A:$C,3,0),VLOOKUP(INDEX(英雄装备!$F:$BZ,MATCH($H7,英雄装备!$F:$F,0),MATCH(Q$2,英雄装备!$1:$1,0)),装备属性!$A:$C,3,0))</f>
        <v>78</v>
      </c>
      <c r="R7" s="51">
        <f>MAX(VLOOKUP(INDEX(英雄装备!$F:$BZ,MATCH($H7,英雄装备!$F:$F,0),MATCH(R$2,英雄装备!$1:$1,0)-5),装备属性!$A:$C,3,0),VLOOKUP(INDEX(英雄装备!$F:$BZ,MATCH($H7,英雄装备!$F:$F,0),MATCH(R$2,英雄装备!$1:$1,0)-4),装备属性!$A:$C,3,0),VLOOKUP(INDEX(英雄装备!$F:$BZ,MATCH($H7,英雄装备!$F:$F,0),MATCH(R$2,英雄装备!$1:$1,0)-3),装备属性!$A:$C,3,0),VLOOKUP(INDEX(英雄装备!$F:$BZ,MATCH($H7,英雄装备!$F:$F,0),MATCH(R$2,英雄装备!$1:$1,0)-2),装备属性!$A:$C,3,0),VLOOKUP(INDEX(英雄装备!$F:$BZ,MATCH($H7,英雄装备!$F:$F,0),MATCH(R$2,英雄装备!$1:$1,0)-1),装备属性!$A:$C,3,0),VLOOKUP(INDEX(英雄装备!$F:$BZ,MATCH($H7,英雄装备!$F:$F,0),MATCH(R$2,英雄装备!$1:$1,0)),装备属性!$A:$C,3,0))</f>
        <v>80</v>
      </c>
      <c r="S7" s="51">
        <f>MAX(VLOOKUP(INDEX(英雄装备!$F:$BZ,MATCH($H7,英雄装备!$F:$F,0),MATCH(S$2,英雄装备!$1:$1,0)-5),装备属性!$A:$C,3,0),VLOOKUP(INDEX(英雄装备!$F:$BZ,MATCH($H7,英雄装备!$F:$F,0),MATCH(S$2,英雄装备!$1:$1,0)-4),装备属性!$A:$C,3,0),VLOOKUP(INDEX(英雄装备!$F:$BZ,MATCH($H7,英雄装备!$F:$F,0),MATCH(S$2,英雄装备!$1:$1,0)-3),装备属性!$A:$C,3,0),VLOOKUP(INDEX(英雄装备!$F:$BZ,MATCH($H7,英雄装备!$F:$F,0),MATCH(S$2,英雄装备!$1:$1,0)-2),装备属性!$A:$C,3,0),VLOOKUP(INDEX(英雄装备!$F:$BZ,MATCH($H7,英雄装备!$F:$F,0),MATCH(S$2,英雄装备!$1:$1,0)-1),装备属性!$A:$C,3,0),VLOOKUP(INDEX(英雄装备!$F:$BZ,MATCH($H7,英雄装备!$F:$F,0),MATCH(S$2,英雄装备!$1:$1,0)),装备属性!$A:$C,3,0))</f>
        <v>85</v>
      </c>
      <c r="T7" s="51">
        <f>MAX(VLOOKUP(INDEX(英雄装备!$F:$BZ,MATCH($H7,英雄装备!$F:$F,0),MATCH(T$2,英雄装备!$1:$1,0)-5),装备属性!$A:$C,3,0),VLOOKUP(INDEX(英雄装备!$F:$BZ,MATCH($H7,英雄装备!$F:$F,0),MATCH(T$2,英雄装备!$1:$1,0)-4),装备属性!$A:$C,3,0),VLOOKUP(INDEX(英雄装备!$F:$BZ,MATCH($H7,英雄装备!$F:$F,0),MATCH(T$2,英雄装备!$1:$1,0)-3),装备属性!$A:$C,3,0),VLOOKUP(INDEX(英雄装备!$F:$BZ,MATCH($H7,英雄装备!$F:$F,0),MATCH(T$2,英雄装备!$1:$1,0)-2),装备属性!$A:$C,3,0),VLOOKUP(INDEX(英雄装备!$F:$BZ,MATCH($H7,英雄装备!$F:$F,0),MATCH(T$2,英雄装备!$1:$1,0)-1),装备属性!$A:$C,3,0))</f>
        <v>87</v>
      </c>
      <c r="W7" s="151" t="str">
        <f>IF($V$2&lt;7,"","紫")</f>
        <v>紫</v>
      </c>
      <c r="X7" s="151" t="str">
        <f>VLOOKUP(英雄对比!$C$2,英雄装备!$F:$BZ,38,0)</f>
        <v>魔王刀锋</v>
      </c>
      <c r="Y7" s="151" t="str">
        <f>VLOOKUP(英雄对比!$C$2,英雄装备!$F:$BZ,39,0)</f>
        <v>强袭</v>
      </c>
      <c r="Z7" s="151" t="str">
        <f>VLOOKUP(英雄对比!$C$2,英雄装备!$F:$BZ,40,0)</f>
        <v>林肯</v>
      </c>
      <c r="AA7" s="151" t="str">
        <f>VLOOKUP(英雄对比!$C$2,英雄装备!$F:$BZ,41,0)</f>
        <v>冲锋盾</v>
      </c>
      <c r="AB7" s="151" t="str">
        <f>VLOOKUP(英雄对比!$C$2,英雄装备!$F:$BZ,42,0)</f>
        <v>圣殿指环</v>
      </c>
      <c r="AC7" s="151" t="str">
        <f>VLOOKUP(英雄对比!$C$2,英雄装备!$F:$BZ,43,0)</f>
        <v>飞鞋</v>
      </c>
      <c r="AE7" s="151" t="s">
        <v>204</v>
      </c>
      <c r="AF7" s="151">
        <f>VLOOKUP(英雄对比!$C$2,英雄初始!$A:$K,3,0)</f>
        <v>17</v>
      </c>
      <c r="AG7" s="232"/>
      <c r="AH7" s="232"/>
      <c r="AI7" s="232"/>
      <c r="AJ7" s="232"/>
      <c r="AK7" s="232"/>
      <c r="AL7" s="232"/>
      <c r="AM7" s="232"/>
      <c r="AN7" s="232"/>
      <c r="AO7" s="232"/>
      <c r="AP7" s="232"/>
    </row>
    <row r="8" spans="1:52">
      <c r="B8" s="151" t="str">
        <f>英雄初始!A9</f>
        <v>神牛</v>
      </c>
      <c r="G8" s="233"/>
      <c r="H8" s="50" t="s">
        <v>162</v>
      </c>
      <c r="I8" s="51">
        <f>MAX(VLOOKUP(INDEX(英雄装备!$F:$BZ,MATCH($H8,英雄装备!$F:$F,0),MATCH(I$2,英雄装备!$1:$1,0)-5),装备属性!$A:$C,3,0),VLOOKUP(INDEX(英雄装备!$F:$BZ,MATCH($H8,英雄装备!$F:$F,0),MATCH(I$2,英雄装备!$1:$1,0)-4),装备属性!$A:$C,3,0),VLOOKUP(INDEX(英雄装备!$F:$BZ,MATCH($H8,英雄装备!$F:$F,0),MATCH(I$2,英雄装备!$1:$1,0)-3),装备属性!$A:$C,3,0),VLOOKUP(INDEX(英雄装备!$F:$BZ,MATCH($H8,英雄装备!$F:$F,0),MATCH(I$2,英雄装备!$1:$1,0)-2),装备属性!$A:$C,3,0),VLOOKUP(INDEX(英雄装备!$F:$BZ,MATCH($H8,英雄装备!$F:$F,0),MATCH(I$2,英雄装备!$1:$1,0)-1),装备属性!$A:$C,3,0),VLOOKUP(INDEX(英雄装备!$F:$BZ,MATCH($H8,英雄装备!$F:$F,0),MATCH(I$2,英雄装备!$1:$1,0)),装备属性!$A:$C,3,0))</f>
        <v>2</v>
      </c>
      <c r="J8" s="51">
        <f>MAX(VLOOKUP(INDEX(英雄装备!$F:$BZ,MATCH($H8,英雄装备!$F:$F,0),MATCH(J$2,英雄装备!$1:$1,0)-5),装备属性!$A:$C,3,0),VLOOKUP(INDEX(英雄装备!$F:$BZ,MATCH($H8,英雄装备!$F:$F,0),MATCH(J$2,英雄装备!$1:$1,0)-4),装备属性!$A:$C,3,0),VLOOKUP(INDEX(英雄装备!$F:$BZ,MATCH($H8,英雄装备!$F:$F,0),MATCH(J$2,英雄装备!$1:$1,0)-3),装备属性!$A:$C,3,0),VLOOKUP(INDEX(英雄装备!$F:$BZ,MATCH($H8,英雄装备!$F:$F,0),MATCH(J$2,英雄装备!$1:$1,0)-2),装备属性!$A:$C,3,0),VLOOKUP(INDEX(英雄装备!$F:$BZ,MATCH($H8,英雄装备!$F:$F,0),MATCH(J$2,英雄装备!$1:$1,0)-1),装备属性!$A:$C,3,0),VLOOKUP(INDEX(英雄装备!$F:$BZ,MATCH($H8,英雄装备!$F:$F,0),MATCH(J$2,英雄装备!$1:$1,0)),装备属性!$A:$C,3,0))</f>
        <v>10</v>
      </c>
      <c r="K8" s="51">
        <f>MAX(VLOOKUP(INDEX(英雄装备!$F:$BZ,MATCH($H8,英雄装备!$F:$F,0),MATCH(K$2,英雄装备!$1:$1,0)-5),装备属性!$A:$C,3,0),VLOOKUP(INDEX(英雄装备!$F:$BZ,MATCH($H8,英雄装备!$F:$F,0),MATCH(K$2,英雄装备!$1:$1,0)-4),装备属性!$A:$C,3,0),VLOOKUP(INDEX(英雄装备!$F:$BZ,MATCH($H8,英雄装备!$F:$F,0),MATCH(K$2,英雄装备!$1:$1,0)-3),装备属性!$A:$C,3,0),VLOOKUP(INDEX(英雄装备!$F:$BZ,MATCH($H8,英雄装备!$F:$F,0),MATCH(K$2,英雄装备!$1:$1,0)-2),装备属性!$A:$C,3,0),VLOOKUP(INDEX(英雄装备!$F:$BZ,MATCH($H8,英雄装备!$F:$F,0),MATCH(K$2,英雄装备!$1:$1,0)-1),装备属性!$A:$C,3,0),VLOOKUP(INDEX(英雄装备!$F:$BZ,MATCH($H8,英雄装备!$F:$F,0),MATCH(K$2,英雄装备!$1:$1,0)),装备属性!$A:$C,3,0))</f>
        <v>21</v>
      </c>
      <c r="L8" s="51">
        <f>MAX(VLOOKUP(INDEX(英雄装备!$F:$BZ,MATCH($H8,英雄装备!$F:$F,0),MATCH(L$2,英雄装备!$1:$1,0)-5),装备属性!$A:$C,3,0),VLOOKUP(INDEX(英雄装备!$F:$BZ,MATCH($H8,英雄装备!$F:$F,0),MATCH(L$2,英雄装备!$1:$1,0)-4),装备属性!$A:$C,3,0),VLOOKUP(INDEX(英雄装备!$F:$BZ,MATCH($H8,英雄装备!$F:$F,0),MATCH(L$2,英雄装备!$1:$1,0)-3),装备属性!$A:$C,3,0),VLOOKUP(INDEX(英雄装备!$F:$BZ,MATCH($H8,英雄装备!$F:$F,0),MATCH(L$2,英雄装备!$1:$1,0)-2),装备属性!$A:$C,3,0),VLOOKUP(INDEX(英雄装备!$F:$BZ,MATCH($H8,英雄装备!$F:$F,0),MATCH(L$2,英雄装备!$1:$1,0)-1),装备属性!$A:$C,3,0),VLOOKUP(INDEX(英雄装备!$F:$BZ,MATCH($H8,英雄装备!$F:$F,0),MATCH(L$2,英雄装备!$1:$1,0)),装备属性!$A:$C,3,0))</f>
        <v>35</v>
      </c>
      <c r="M8" s="51">
        <f>MAX(VLOOKUP(INDEX(英雄装备!$F:$BZ,MATCH($H8,英雄装备!$F:$F,0),MATCH(M$2,英雄装备!$1:$1,0)-5),装备属性!$A:$C,3,0),VLOOKUP(INDEX(英雄装备!$F:$BZ,MATCH($H8,英雄装备!$F:$F,0),MATCH(M$2,英雄装备!$1:$1,0)-4),装备属性!$A:$C,3,0),VLOOKUP(INDEX(英雄装备!$F:$BZ,MATCH($H8,英雄装备!$F:$F,0),MATCH(M$2,英雄装备!$1:$1,0)-3),装备属性!$A:$C,3,0),VLOOKUP(INDEX(英雄装备!$F:$BZ,MATCH($H8,英雄装备!$F:$F,0),MATCH(M$2,英雄装备!$1:$1,0)-2),装备属性!$A:$C,3,0),VLOOKUP(INDEX(英雄装备!$F:$BZ,MATCH($H8,英雄装备!$F:$F,0),MATCH(M$2,英雄装备!$1:$1,0)-1),装备属性!$A:$C,3,0),VLOOKUP(INDEX(英雄装备!$F:$BZ,MATCH($H8,英雄装备!$F:$F,0),MATCH(M$2,英雄装备!$1:$1,0)),装备属性!$A:$C,3,0))</f>
        <v>41</v>
      </c>
      <c r="N8" s="51">
        <f>MAX(VLOOKUP(INDEX(英雄装备!$F:$BZ,MATCH($H8,英雄装备!$F:$F,0),MATCH(N$2,英雄装备!$1:$1,0)-5),装备属性!$A:$C,3,0),VLOOKUP(INDEX(英雄装备!$F:$BZ,MATCH($H8,英雄装备!$F:$F,0),MATCH(N$2,英雄装备!$1:$1,0)-4),装备属性!$A:$C,3,0),VLOOKUP(INDEX(英雄装备!$F:$BZ,MATCH($H8,英雄装备!$F:$F,0),MATCH(N$2,英雄装备!$1:$1,0)-3),装备属性!$A:$C,3,0),VLOOKUP(INDEX(英雄装备!$F:$BZ,MATCH($H8,英雄装备!$F:$F,0),MATCH(N$2,英雄装备!$1:$1,0)-2),装备属性!$A:$C,3,0),VLOOKUP(INDEX(英雄装备!$F:$BZ,MATCH($H8,英雄装备!$F:$F,0),MATCH(N$2,英雄装备!$1:$1,0)-1),装备属性!$A:$C,3,0),VLOOKUP(INDEX(英雄装备!$F:$BZ,MATCH($H8,英雄装备!$F:$F,0),MATCH(N$2,英雄装备!$1:$1,0)),装备属性!$A:$C,3,0))</f>
        <v>52</v>
      </c>
      <c r="O8" s="51">
        <f>MAX(VLOOKUP(INDEX(英雄装备!$F:$BZ,MATCH($H8,英雄装备!$F:$F,0),MATCH(O$2,英雄装备!$1:$1,0)-5),装备属性!$A:$C,3,0),VLOOKUP(INDEX(英雄装备!$F:$BZ,MATCH($H8,英雄装备!$F:$F,0),MATCH(O$2,英雄装备!$1:$1,0)-4),装备属性!$A:$C,3,0),VLOOKUP(INDEX(英雄装备!$F:$BZ,MATCH($H8,英雄装备!$F:$F,0),MATCH(O$2,英雄装备!$1:$1,0)-3),装备属性!$A:$C,3,0),VLOOKUP(INDEX(英雄装备!$F:$BZ,MATCH($H8,英雄装备!$F:$F,0),MATCH(O$2,英雄装备!$1:$1,0)-2),装备属性!$A:$C,3,0),VLOOKUP(INDEX(英雄装备!$F:$BZ,MATCH($H8,英雄装备!$F:$F,0),MATCH(O$2,英雄装备!$1:$1,0)-1),装备属性!$A:$C,3,0),VLOOKUP(INDEX(英雄装备!$F:$BZ,MATCH($H8,英雄装备!$F:$F,0),MATCH(O$2,英雄装备!$1:$1,0)),装备属性!$A:$C,3,0))</f>
        <v>62</v>
      </c>
      <c r="P8" s="51">
        <f>MAX(VLOOKUP(INDEX(英雄装备!$F:$BZ,MATCH($H8,英雄装备!$F:$F,0),MATCH(P$2,英雄装备!$1:$1,0)-5),装备属性!$A:$C,3,0),VLOOKUP(INDEX(英雄装备!$F:$BZ,MATCH($H8,英雄装备!$F:$F,0),MATCH(P$2,英雄装备!$1:$1,0)-4),装备属性!$A:$C,3,0),VLOOKUP(INDEX(英雄装备!$F:$BZ,MATCH($H8,英雄装备!$F:$F,0),MATCH(P$2,英雄装备!$1:$1,0)-3),装备属性!$A:$C,3,0),VLOOKUP(INDEX(英雄装备!$F:$BZ,MATCH($H8,英雄装备!$F:$F,0),MATCH(P$2,英雄装备!$1:$1,0)-2),装备属性!$A:$C,3,0),VLOOKUP(INDEX(英雄装备!$F:$BZ,MATCH($H8,英雄装备!$F:$F,0),MATCH(P$2,英雄装备!$1:$1,0)-1),装备属性!$A:$C,3,0),VLOOKUP(INDEX(英雄装备!$F:$BZ,MATCH($H8,英雄装备!$F:$F,0),MATCH(P$2,英雄装备!$1:$1,0)),装备属性!$A:$C,3,0))</f>
        <v>70</v>
      </c>
      <c r="Q8" s="51">
        <f>MAX(VLOOKUP(INDEX(英雄装备!$F:$BZ,MATCH($H8,英雄装备!$F:$F,0),MATCH(Q$2,英雄装备!$1:$1,0)-5),装备属性!$A:$C,3,0),VLOOKUP(INDEX(英雄装备!$F:$BZ,MATCH($H8,英雄装备!$F:$F,0),MATCH(Q$2,英雄装备!$1:$1,0)-4),装备属性!$A:$C,3,0),VLOOKUP(INDEX(英雄装备!$F:$BZ,MATCH($H8,英雄装备!$F:$F,0),MATCH(Q$2,英雄装备!$1:$1,0)-3),装备属性!$A:$C,3,0),VLOOKUP(INDEX(英雄装备!$F:$BZ,MATCH($H8,英雄装备!$F:$F,0),MATCH(Q$2,英雄装备!$1:$1,0)-2),装备属性!$A:$C,3,0),VLOOKUP(INDEX(英雄装备!$F:$BZ,MATCH($H8,英雄装备!$F:$F,0),MATCH(Q$2,英雄装备!$1:$1,0)-1),装备属性!$A:$C,3,0),VLOOKUP(INDEX(英雄装备!$F:$BZ,MATCH($H8,英雄装备!$F:$F,0),MATCH(Q$2,英雄装备!$1:$1,0)),装备属性!$A:$C,3,0))</f>
        <v>77</v>
      </c>
      <c r="R8" s="51">
        <f>MAX(VLOOKUP(INDEX(英雄装备!$F:$BZ,MATCH($H8,英雄装备!$F:$F,0),MATCH(R$2,英雄装备!$1:$1,0)-5),装备属性!$A:$C,3,0),VLOOKUP(INDEX(英雄装备!$F:$BZ,MATCH($H8,英雄装备!$F:$F,0),MATCH(R$2,英雄装备!$1:$1,0)-4),装备属性!$A:$C,3,0),VLOOKUP(INDEX(英雄装备!$F:$BZ,MATCH($H8,英雄装备!$F:$F,0),MATCH(R$2,英雄装备!$1:$1,0)-3),装备属性!$A:$C,3,0),VLOOKUP(INDEX(英雄装备!$F:$BZ,MATCH($H8,英雄装备!$F:$F,0),MATCH(R$2,英雄装备!$1:$1,0)-2),装备属性!$A:$C,3,0),VLOOKUP(INDEX(英雄装备!$F:$BZ,MATCH($H8,英雄装备!$F:$F,0),MATCH(R$2,英雄装备!$1:$1,0)-1),装备属性!$A:$C,3,0),VLOOKUP(INDEX(英雄装备!$F:$BZ,MATCH($H8,英雄装备!$F:$F,0),MATCH(R$2,英雄装备!$1:$1,0)),装备属性!$A:$C,3,0))</f>
        <v>72</v>
      </c>
      <c r="S8" s="51">
        <f>MAX(VLOOKUP(INDEX(英雄装备!$F:$BZ,MATCH($H8,英雄装备!$F:$F,0),MATCH(S$2,英雄装备!$1:$1,0)-5),装备属性!$A:$C,3,0),VLOOKUP(INDEX(英雄装备!$F:$BZ,MATCH($H8,英雄装备!$F:$F,0),MATCH(S$2,英雄装备!$1:$1,0)-4),装备属性!$A:$C,3,0),VLOOKUP(INDEX(英雄装备!$F:$BZ,MATCH($H8,英雄装备!$F:$F,0),MATCH(S$2,英雄装备!$1:$1,0)-3),装备属性!$A:$C,3,0),VLOOKUP(INDEX(英雄装备!$F:$BZ,MATCH($H8,英雄装备!$F:$F,0),MATCH(S$2,英雄装备!$1:$1,0)-2),装备属性!$A:$C,3,0),VLOOKUP(INDEX(英雄装备!$F:$BZ,MATCH($H8,英雄装备!$F:$F,0),MATCH(S$2,英雄装备!$1:$1,0)-1),装备属性!$A:$C,3,0),VLOOKUP(INDEX(英雄装备!$F:$BZ,MATCH($H8,英雄装备!$F:$F,0),MATCH(S$2,英雄装备!$1:$1,0)),装备属性!$A:$C,3,0))</f>
        <v>84</v>
      </c>
      <c r="T8" s="51">
        <f>MAX(VLOOKUP(INDEX(英雄装备!$F:$BZ,MATCH($H8,英雄装备!$F:$F,0),MATCH(T$2,英雄装备!$1:$1,0)-5),装备属性!$A:$C,3,0),VLOOKUP(INDEX(英雄装备!$F:$BZ,MATCH($H8,英雄装备!$F:$F,0),MATCH(T$2,英雄装备!$1:$1,0)-4),装备属性!$A:$C,3,0),VLOOKUP(INDEX(英雄装备!$F:$BZ,MATCH($H8,英雄装备!$F:$F,0),MATCH(T$2,英雄装备!$1:$1,0)-3),装备属性!$A:$C,3,0),VLOOKUP(INDEX(英雄装备!$F:$BZ,MATCH($H8,英雄装备!$F:$F,0),MATCH(T$2,英雄装备!$1:$1,0)-2),装备属性!$A:$C,3,0),VLOOKUP(INDEX(英雄装备!$F:$BZ,MATCH($H8,英雄装备!$F:$F,0),MATCH(T$2,英雄装备!$1:$1,0)-1),装备属性!$A:$C,3,0))</f>
        <v>88</v>
      </c>
      <c r="W8" s="151" t="str">
        <f>IF($V$2&lt;8,"","紫+1")</f>
        <v>紫+1</v>
      </c>
      <c r="X8" s="151" t="str">
        <f>VLOOKUP(英雄对比!$C$2,英雄装备!$F:$BZ,44,0)</f>
        <v>蝴蝶</v>
      </c>
      <c r="Y8" s="151" t="str">
        <f>VLOOKUP(英雄对比!$C$2,英雄装备!$F:$BZ,45,0)</f>
        <v>鬼手</v>
      </c>
      <c r="Z8" s="151" t="str">
        <f>VLOOKUP(英雄对比!$C$2,英雄装备!$F:$BZ,46,0)</f>
        <v>狂战斧</v>
      </c>
      <c r="AA8" s="151" t="str">
        <f>VLOOKUP(英雄对比!$C$2,英雄装备!$F:$BZ,47,0)</f>
        <v>暗灭</v>
      </c>
      <c r="AB8" s="151" t="str">
        <f>VLOOKUP(英雄对比!$C$2,英雄装备!$F:$BZ,48,0)</f>
        <v>阔剑</v>
      </c>
      <c r="AC8" s="151" t="str">
        <f>VLOOKUP(英雄对比!$C$2,英雄装备!$F:$BZ,49,0)</f>
        <v>飞鞋</v>
      </c>
      <c r="AE8" s="151" t="s">
        <v>4</v>
      </c>
      <c r="AF8" s="151">
        <f>VLOOKUP(英雄对比!$C$2,英雄初始!$A:$K,4,0)</f>
        <v>21</v>
      </c>
      <c r="AG8" s="232"/>
      <c r="AH8" s="232" t="s">
        <v>1077</v>
      </c>
      <c r="AI8" s="50" t="s">
        <v>103</v>
      </c>
      <c r="AJ8" s="50" t="s">
        <v>14</v>
      </c>
      <c r="AK8" s="50" t="s">
        <v>47</v>
      </c>
      <c r="AL8" s="50" t="s">
        <v>35</v>
      </c>
      <c r="AM8" s="50" t="s">
        <v>38</v>
      </c>
      <c r="AN8" s="50" t="s">
        <v>34</v>
      </c>
      <c r="AO8" s="50" t="s">
        <v>56</v>
      </c>
      <c r="AP8" s="50" t="s">
        <v>84</v>
      </c>
      <c r="AQ8" s="50" t="s">
        <v>98</v>
      </c>
      <c r="AR8" s="50" t="s">
        <v>2099</v>
      </c>
      <c r="AS8" s="119" t="s">
        <v>1874</v>
      </c>
      <c r="AT8" s="50" t="s">
        <v>91</v>
      </c>
      <c r="AU8" s="50" t="s">
        <v>13</v>
      </c>
      <c r="AV8" s="50" t="s">
        <v>18</v>
      </c>
      <c r="AW8" s="51" t="s">
        <v>71</v>
      </c>
      <c r="AX8" s="50" t="s">
        <v>130</v>
      </c>
      <c r="AY8" s="141" t="s">
        <v>1867</v>
      </c>
      <c r="AZ8" s="141" t="s">
        <v>1877</v>
      </c>
    </row>
    <row r="9" spans="1:52">
      <c r="B9" s="151" t="str">
        <f>英雄初始!A10</f>
        <v>死骑</v>
      </c>
      <c r="G9" s="233"/>
      <c r="H9" s="50" t="s">
        <v>1260</v>
      </c>
      <c r="I9" s="51">
        <f>MAX(VLOOKUP(INDEX(英雄装备!$F:$BZ,MATCH($H9,英雄装备!$F:$F,0),MATCH(I$2,英雄装备!$1:$1,0)-5),装备属性!$A:$C,3,0),VLOOKUP(INDEX(英雄装备!$F:$BZ,MATCH($H9,英雄装备!$F:$F,0),MATCH(I$2,英雄装备!$1:$1,0)-4),装备属性!$A:$C,3,0),VLOOKUP(INDEX(英雄装备!$F:$BZ,MATCH($H9,英雄装备!$F:$F,0),MATCH(I$2,英雄装备!$1:$1,0)-3),装备属性!$A:$C,3,0),VLOOKUP(INDEX(英雄装备!$F:$BZ,MATCH($H9,英雄装备!$F:$F,0),MATCH(I$2,英雄装备!$1:$1,0)-2),装备属性!$A:$C,3,0),VLOOKUP(INDEX(英雄装备!$F:$BZ,MATCH($H9,英雄装备!$F:$F,0),MATCH(I$2,英雄装备!$1:$1,0)-1),装备属性!$A:$C,3,0),VLOOKUP(INDEX(英雄装备!$F:$BZ,MATCH($H9,英雄装备!$F:$F,0),MATCH(I$2,英雄装备!$1:$1,0)),装备属性!$A:$C,3,0))</f>
        <v>2</v>
      </c>
      <c r="J9" s="51">
        <f>MAX(VLOOKUP(INDEX(英雄装备!$F:$BZ,MATCH($H9,英雄装备!$F:$F,0),MATCH(J$2,英雄装备!$1:$1,0)-5),装备属性!$A:$C,3,0),VLOOKUP(INDEX(英雄装备!$F:$BZ,MATCH($H9,英雄装备!$F:$F,0),MATCH(J$2,英雄装备!$1:$1,0)-4),装备属性!$A:$C,3,0),VLOOKUP(INDEX(英雄装备!$F:$BZ,MATCH($H9,英雄装备!$F:$F,0),MATCH(J$2,英雄装备!$1:$1,0)-3),装备属性!$A:$C,3,0),VLOOKUP(INDEX(英雄装备!$F:$BZ,MATCH($H9,英雄装备!$F:$F,0),MATCH(J$2,英雄装备!$1:$1,0)-2),装备属性!$A:$C,3,0),VLOOKUP(INDEX(英雄装备!$F:$BZ,MATCH($H9,英雄装备!$F:$F,0),MATCH(J$2,英雄装备!$1:$1,0)-1),装备属性!$A:$C,3,0),VLOOKUP(INDEX(英雄装备!$F:$BZ,MATCH($H9,英雄装备!$F:$F,0),MATCH(J$2,英雄装备!$1:$1,0)),装备属性!$A:$C,3,0))</f>
        <v>10</v>
      </c>
      <c r="K9" s="51">
        <f>MAX(VLOOKUP(INDEX(英雄装备!$F:$BZ,MATCH($H9,英雄装备!$F:$F,0),MATCH(K$2,英雄装备!$1:$1,0)-5),装备属性!$A:$C,3,0),VLOOKUP(INDEX(英雄装备!$F:$BZ,MATCH($H9,英雄装备!$F:$F,0),MATCH(K$2,英雄装备!$1:$1,0)-4),装备属性!$A:$C,3,0),VLOOKUP(INDEX(英雄装备!$F:$BZ,MATCH($H9,英雄装备!$F:$F,0),MATCH(K$2,英雄装备!$1:$1,0)-3),装备属性!$A:$C,3,0),VLOOKUP(INDEX(英雄装备!$F:$BZ,MATCH($H9,英雄装备!$F:$F,0),MATCH(K$2,英雄装备!$1:$1,0)-2),装备属性!$A:$C,3,0),VLOOKUP(INDEX(英雄装备!$F:$BZ,MATCH($H9,英雄装备!$F:$F,0),MATCH(K$2,英雄装备!$1:$1,0)-1),装备属性!$A:$C,3,0),VLOOKUP(INDEX(英雄装备!$F:$BZ,MATCH($H9,英雄装备!$F:$F,0),MATCH(K$2,英雄装备!$1:$1,0)),装备属性!$A:$C,3,0))</f>
        <v>20</v>
      </c>
      <c r="L9" s="51">
        <f>MAX(VLOOKUP(INDEX(英雄装备!$F:$BZ,MATCH($H9,英雄装备!$F:$F,0),MATCH(L$2,英雄装备!$1:$1,0)-5),装备属性!$A:$C,3,0),VLOOKUP(INDEX(英雄装备!$F:$BZ,MATCH($H9,英雄装备!$F:$F,0),MATCH(L$2,英雄装备!$1:$1,0)-4),装备属性!$A:$C,3,0),VLOOKUP(INDEX(英雄装备!$F:$BZ,MATCH($H9,英雄装备!$F:$F,0),MATCH(L$2,英雄装备!$1:$1,0)-3),装备属性!$A:$C,3,0),VLOOKUP(INDEX(英雄装备!$F:$BZ,MATCH($H9,英雄装备!$F:$F,0),MATCH(L$2,英雄装备!$1:$1,0)-2),装备属性!$A:$C,3,0),VLOOKUP(INDEX(英雄装备!$F:$BZ,MATCH($H9,英雄装备!$F:$F,0),MATCH(L$2,英雄装备!$1:$1,0)-1),装备属性!$A:$C,3,0),VLOOKUP(INDEX(英雄装备!$F:$BZ,MATCH($H9,英雄装备!$F:$F,0),MATCH(L$2,英雄装备!$1:$1,0)),装备属性!$A:$C,3,0))</f>
        <v>32</v>
      </c>
      <c r="M9" s="51">
        <f>MAX(VLOOKUP(INDEX(英雄装备!$F:$BZ,MATCH($H9,英雄装备!$F:$F,0),MATCH(M$2,英雄装备!$1:$1,0)-5),装备属性!$A:$C,3,0),VLOOKUP(INDEX(英雄装备!$F:$BZ,MATCH($H9,英雄装备!$F:$F,0),MATCH(M$2,英雄装备!$1:$1,0)-4),装备属性!$A:$C,3,0),VLOOKUP(INDEX(英雄装备!$F:$BZ,MATCH($H9,英雄装备!$F:$F,0),MATCH(M$2,英雄装备!$1:$1,0)-3),装备属性!$A:$C,3,0),VLOOKUP(INDEX(英雄装备!$F:$BZ,MATCH($H9,英雄装备!$F:$F,0),MATCH(M$2,英雄装备!$1:$1,0)-2),装备属性!$A:$C,3,0),VLOOKUP(INDEX(英雄装备!$F:$BZ,MATCH($H9,英雄装备!$F:$F,0),MATCH(M$2,英雄装备!$1:$1,0)-1),装备属性!$A:$C,3,0),VLOOKUP(INDEX(英雄装备!$F:$BZ,MATCH($H9,英雄装备!$F:$F,0),MATCH(M$2,英雄装备!$1:$1,0)),装备属性!$A:$C,3,0))</f>
        <v>37</v>
      </c>
      <c r="N9" s="51">
        <f>MAX(VLOOKUP(INDEX(英雄装备!$F:$BZ,MATCH($H9,英雄装备!$F:$F,0),MATCH(N$2,英雄装备!$1:$1,0)-5),装备属性!$A:$C,3,0),VLOOKUP(INDEX(英雄装备!$F:$BZ,MATCH($H9,英雄装备!$F:$F,0),MATCH(N$2,英雄装备!$1:$1,0)-4),装备属性!$A:$C,3,0),VLOOKUP(INDEX(英雄装备!$F:$BZ,MATCH($H9,英雄装备!$F:$F,0),MATCH(N$2,英雄装备!$1:$1,0)-3),装备属性!$A:$C,3,0),VLOOKUP(INDEX(英雄装备!$F:$BZ,MATCH($H9,英雄装备!$F:$F,0),MATCH(N$2,英雄装备!$1:$1,0)-2),装备属性!$A:$C,3,0),VLOOKUP(INDEX(英雄装备!$F:$BZ,MATCH($H9,英雄装备!$F:$F,0),MATCH(N$2,英雄装备!$1:$1,0)-1),装备属性!$A:$C,3,0),VLOOKUP(INDEX(英雄装备!$F:$BZ,MATCH($H9,英雄装备!$F:$F,0),MATCH(N$2,英雄装备!$1:$1,0)),装备属性!$A:$C,3,0))</f>
        <v>51</v>
      </c>
      <c r="O9" s="51">
        <f>MAX(VLOOKUP(INDEX(英雄装备!$F:$BZ,MATCH($H9,英雄装备!$F:$F,0),MATCH(O$2,英雄装备!$1:$1,0)-5),装备属性!$A:$C,3,0),VLOOKUP(INDEX(英雄装备!$F:$BZ,MATCH($H9,英雄装备!$F:$F,0),MATCH(O$2,英雄装备!$1:$1,0)-4),装备属性!$A:$C,3,0),VLOOKUP(INDEX(英雄装备!$F:$BZ,MATCH($H9,英雄装备!$F:$F,0),MATCH(O$2,英雄装备!$1:$1,0)-3),装备属性!$A:$C,3,0),VLOOKUP(INDEX(英雄装备!$F:$BZ,MATCH($H9,英雄装备!$F:$F,0),MATCH(O$2,英雄装备!$1:$1,0)-2),装备属性!$A:$C,3,0),VLOOKUP(INDEX(英雄装备!$F:$BZ,MATCH($H9,英雄装备!$F:$F,0),MATCH(O$2,英雄装备!$1:$1,0)-1),装备属性!$A:$C,3,0),VLOOKUP(INDEX(英雄装备!$F:$BZ,MATCH($H9,英雄装备!$F:$F,0),MATCH(O$2,英雄装备!$1:$1,0)),装备属性!$A:$C,3,0))</f>
        <v>65</v>
      </c>
      <c r="P9" s="51">
        <f>MAX(VLOOKUP(INDEX(英雄装备!$F:$BZ,MATCH($H9,英雄装备!$F:$F,0),MATCH(P$2,英雄装备!$1:$1,0)-5),装备属性!$A:$C,3,0),VLOOKUP(INDEX(英雄装备!$F:$BZ,MATCH($H9,英雄装备!$F:$F,0),MATCH(P$2,英雄装备!$1:$1,0)-4),装备属性!$A:$C,3,0),VLOOKUP(INDEX(英雄装备!$F:$BZ,MATCH($H9,英雄装备!$F:$F,0),MATCH(P$2,英雄装备!$1:$1,0)-3),装备属性!$A:$C,3,0),VLOOKUP(INDEX(英雄装备!$F:$BZ,MATCH($H9,英雄装备!$F:$F,0),MATCH(P$2,英雄装备!$1:$1,0)-2),装备属性!$A:$C,3,0),VLOOKUP(INDEX(英雄装备!$F:$BZ,MATCH($H9,英雄装备!$F:$F,0),MATCH(P$2,英雄装备!$1:$1,0)-1),装备属性!$A:$C,3,0),VLOOKUP(INDEX(英雄装备!$F:$BZ,MATCH($H9,英雄装备!$F:$F,0),MATCH(P$2,英雄装备!$1:$1,0)),装备属性!$A:$C,3,0))</f>
        <v>72</v>
      </c>
      <c r="Q9" s="51">
        <f>MAX(VLOOKUP(INDEX(英雄装备!$F:$BZ,MATCH($H9,英雄装备!$F:$F,0),MATCH(Q$2,英雄装备!$1:$1,0)-5),装备属性!$A:$C,3,0),VLOOKUP(INDEX(英雄装备!$F:$BZ,MATCH($H9,英雄装备!$F:$F,0),MATCH(Q$2,英雄装备!$1:$1,0)-4),装备属性!$A:$C,3,0),VLOOKUP(INDEX(英雄装备!$F:$BZ,MATCH($H9,英雄装备!$F:$F,0),MATCH(Q$2,英雄装备!$1:$1,0)-3),装备属性!$A:$C,3,0),VLOOKUP(INDEX(英雄装备!$F:$BZ,MATCH($H9,英雄装备!$F:$F,0),MATCH(Q$2,英雄装备!$1:$1,0)-2),装备属性!$A:$C,3,0),VLOOKUP(INDEX(英雄装备!$F:$BZ,MATCH($H9,英雄装备!$F:$F,0),MATCH(Q$2,英雄装备!$1:$1,0)-1),装备属性!$A:$C,3,0),VLOOKUP(INDEX(英雄装备!$F:$BZ,MATCH($H9,英雄装备!$F:$F,0),MATCH(Q$2,英雄装备!$1:$1,0)),装备属性!$A:$C,3,0))</f>
        <v>79</v>
      </c>
      <c r="R9" s="51">
        <f>MAX(VLOOKUP(INDEX(英雄装备!$F:$BZ,MATCH($H9,英雄装备!$F:$F,0),MATCH(R$2,英雄装备!$1:$1,0)-5),装备属性!$A:$C,3,0),VLOOKUP(INDEX(英雄装备!$F:$BZ,MATCH($H9,英雄装备!$F:$F,0),MATCH(R$2,英雄装备!$1:$1,0)-4),装备属性!$A:$C,3,0),VLOOKUP(INDEX(英雄装备!$F:$BZ,MATCH($H9,英雄装备!$F:$F,0),MATCH(R$2,英雄装备!$1:$1,0)-3),装备属性!$A:$C,3,0),VLOOKUP(INDEX(英雄装备!$F:$BZ,MATCH($H9,英雄装备!$F:$F,0),MATCH(R$2,英雄装备!$1:$1,0)-2),装备属性!$A:$C,3,0),VLOOKUP(INDEX(英雄装备!$F:$BZ,MATCH($H9,英雄装备!$F:$F,0),MATCH(R$2,英雄装备!$1:$1,0)-1),装备属性!$A:$C,3,0),VLOOKUP(INDEX(英雄装备!$F:$BZ,MATCH($H9,英雄装备!$F:$F,0),MATCH(R$2,英雄装备!$1:$1,0)),装备属性!$A:$C,3,0))</f>
        <v>80</v>
      </c>
      <c r="S9" s="51">
        <f>MAX(VLOOKUP(INDEX(英雄装备!$F:$BZ,MATCH($H9,英雄装备!$F:$F,0),MATCH(S$2,英雄装备!$1:$1,0)-5),装备属性!$A:$C,3,0),VLOOKUP(INDEX(英雄装备!$F:$BZ,MATCH($H9,英雄装备!$F:$F,0),MATCH(S$2,英雄装备!$1:$1,0)-4),装备属性!$A:$C,3,0),VLOOKUP(INDEX(英雄装备!$F:$BZ,MATCH($H9,英雄装备!$F:$F,0),MATCH(S$2,英雄装备!$1:$1,0)-3),装备属性!$A:$C,3,0),VLOOKUP(INDEX(英雄装备!$F:$BZ,MATCH($H9,英雄装备!$F:$F,0),MATCH(S$2,英雄装备!$1:$1,0)-2),装备属性!$A:$C,3,0),VLOOKUP(INDEX(英雄装备!$F:$BZ,MATCH($H9,英雄装备!$F:$F,0),MATCH(S$2,英雄装备!$1:$1,0)-1),装备属性!$A:$C,3,0),VLOOKUP(INDEX(英雄装备!$F:$BZ,MATCH($H9,英雄装备!$F:$F,0),MATCH(S$2,英雄装备!$1:$1,0)),装备属性!$A:$C,3,0))</f>
        <v>85</v>
      </c>
      <c r="T9" s="51">
        <f>MAX(VLOOKUP(INDEX(英雄装备!$F:$BZ,MATCH($H9,英雄装备!$F:$F,0),MATCH(T$2,英雄装备!$1:$1,0)-5),装备属性!$A:$C,3,0),VLOOKUP(INDEX(英雄装备!$F:$BZ,MATCH($H9,英雄装备!$F:$F,0),MATCH(T$2,英雄装备!$1:$1,0)-4),装备属性!$A:$C,3,0),VLOOKUP(INDEX(英雄装备!$F:$BZ,MATCH($H9,英雄装备!$F:$F,0),MATCH(T$2,英雄装备!$1:$1,0)-3),装备属性!$A:$C,3,0),VLOOKUP(INDEX(英雄装备!$F:$BZ,MATCH($H9,英雄装备!$F:$F,0),MATCH(T$2,英雄装备!$1:$1,0)-2),装备属性!$A:$C,3,0),VLOOKUP(INDEX(英雄装备!$F:$BZ,MATCH($H9,英雄装备!$F:$F,0),MATCH(T$2,英雄装备!$1:$1,0)-1),装备属性!$A:$C,3,0))</f>
        <v>89</v>
      </c>
      <c r="W9" s="151" t="str">
        <f>IF($V$2&lt;9,"","紫+2")</f>
        <v>紫+2</v>
      </c>
      <c r="X9" s="151" t="str">
        <f>VLOOKUP(英雄对比!$C$2,英雄装备!$F:$BZ,50,0)</f>
        <v>长笛</v>
      </c>
      <c r="Y9" s="151" t="str">
        <f>VLOOKUP(英雄对比!$C$2,英雄装备!$F:$BZ,51,0)</f>
        <v>深渊之刃</v>
      </c>
      <c r="Z9" s="151" t="str">
        <f>VLOOKUP(英雄对比!$C$2,英雄装备!$F:$BZ,52,0)</f>
        <v>秘银锤</v>
      </c>
      <c r="AA9" s="151" t="str">
        <f>VLOOKUP(英雄对比!$C$2,英雄装备!$F:$BZ,53,0)</f>
        <v>洛萨</v>
      </c>
      <c r="AB9" s="151" t="str">
        <f>VLOOKUP(英雄对比!$C$2,英雄装备!$F:$BZ,54,0)</f>
        <v>祭品</v>
      </c>
      <c r="AC9" s="151" t="str">
        <f>VLOOKUP(英雄对比!$C$2,英雄装备!$F:$BZ,55,0)</f>
        <v>飞鞋</v>
      </c>
      <c r="AE9" s="151" t="s">
        <v>5</v>
      </c>
      <c r="AF9" s="151">
        <f>VLOOKUP(英雄对比!$C$2,英雄初始!$A:$K,5,0)</f>
        <v>13</v>
      </c>
      <c r="AG9" s="232"/>
      <c r="AH9" s="232"/>
      <c r="AI9" s="151">
        <f>SUM(AK111:AK116,AK119:AK124,AI136)+AJ6*18</f>
        <v>5436</v>
      </c>
      <c r="AJ9" s="151">
        <f>SUM(AL111:AL116,AL119:AL124,AJ136)+AP6+AL6*0.4</f>
        <v>499.4</v>
      </c>
      <c r="AK9" s="151">
        <f>SUM(AM111:AM116,AM119:AM124,AK136)+AN6*2.4</f>
        <v>132</v>
      </c>
      <c r="AL9" s="151">
        <f>SUM(AN111:AN116,AN119:AN124,AL136)+AJ6*0.15+AL6*0.08</f>
        <v>101.97999999999999</v>
      </c>
      <c r="AM9" s="151">
        <f>SUM(AO111:AO116,AO119:AO124,AM136)+AN6/10</f>
        <v>5.5</v>
      </c>
      <c r="AN9" s="151">
        <f>SUM(AP111:AP116,AP119:AP124,AN136)+AL6*0.4</f>
        <v>68.400000000000006</v>
      </c>
      <c r="AO9" s="151">
        <f t="shared" ref="AO9:AW9" si="1">SUM(AQ111:AQ116,AQ119:AQ124,AO136)</f>
        <v>0</v>
      </c>
      <c r="AP9" s="151">
        <f t="shared" si="1"/>
        <v>0</v>
      </c>
      <c r="AQ9" s="151">
        <f t="shared" si="1"/>
        <v>0</v>
      </c>
      <c r="AR9" s="151">
        <f>SUM(AT111:AT116,AT119:AT124,AR136)</f>
        <v>105</v>
      </c>
      <c r="AS9" s="151">
        <f>SUM(AU111:AU116,AU119:AU124,AS136)</f>
        <v>20</v>
      </c>
      <c r="AT9" s="151">
        <f>SUM(AV111:AV116,AV119:AV124,AT136)</f>
        <v>0</v>
      </c>
      <c r="AU9" s="151">
        <f t="shared" si="1"/>
        <v>1080</v>
      </c>
      <c r="AV9" s="151">
        <f t="shared" si="1"/>
        <v>0</v>
      </c>
      <c r="AW9" s="151">
        <f t="shared" si="1"/>
        <v>0</v>
      </c>
      <c r="AX9" s="151">
        <f>SUM(AZ111:AZ116,AZ119:AZ124,AX136)</f>
        <v>0</v>
      </c>
      <c r="AY9" s="151">
        <f>SUM(BA111:BA116,BA119:BA124,AY136)</f>
        <v>0</v>
      </c>
      <c r="AZ9" s="151">
        <f t="shared" ref="AZ9" si="2">SUM(BB111:BB116,BB119:BB124,AZ136)</f>
        <v>0</v>
      </c>
    </row>
    <row r="10" spans="1:52">
      <c r="B10" s="151" t="str">
        <f>英雄初始!A11</f>
        <v>小小</v>
      </c>
      <c r="G10" s="233"/>
      <c r="H10" s="54" t="s">
        <v>163</v>
      </c>
      <c r="I10" s="51">
        <f>MAX(VLOOKUP(INDEX(英雄装备!$F:$BZ,MATCH($H10,英雄装备!$F:$F,0),MATCH(I$2,英雄装备!$1:$1,0)-5),装备属性!$A:$C,3,0),VLOOKUP(INDEX(英雄装备!$F:$BZ,MATCH($H10,英雄装备!$F:$F,0),MATCH(I$2,英雄装备!$1:$1,0)-4),装备属性!$A:$C,3,0),VLOOKUP(INDEX(英雄装备!$F:$BZ,MATCH($H10,英雄装备!$F:$F,0),MATCH(I$2,英雄装备!$1:$1,0)-3),装备属性!$A:$C,3,0),VLOOKUP(INDEX(英雄装备!$F:$BZ,MATCH($H10,英雄装备!$F:$F,0),MATCH(I$2,英雄装备!$1:$1,0)-2),装备属性!$A:$C,3,0),VLOOKUP(INDEX(英雄装备!$F:$BZ,MATCH($H10,英雄装备!$F:$F,0),MATCH(I$2,英雄装备!$1:$1,0)-1),装备属性!$A:$C,3,0),VLOOKUP(INDEX(英雄装备!$F:$BZ,MATCH($H10,英雄装备!$F:$F,0),MATCH(I$2,英雄装备!$1:$1,0)),装备属性!$A:$C,3,0))</f>
        <v>2</v>
      </c>
      <c r="J10" s="51">
        <f>MAX(VLOOKUP(INDEX(英雄装备!$F:$BZ,MATCH($H10,英雄装备!$F:$F,0),MATCH(J$2,英雄装备!$1:$1,0)-5),装备属性!$A:$C,3,0),VLOOKUP(INDEX(英雄装备!$F:$BZ,MATCH($H10,英雄装备!$F:$F,0),MATCH(J$2,英雄装备!$1:$1,0)-4),装备属性!$A:$C,3,0),VLOOKUP(INDEX(英雄装备!$F:$BZ,MATCH($H10,英雄装备!$F:$F,0),MATCH(J$2,英雄装备!$1:$1,0)-3),装备属性!$A:$C,3,0),VLOOKUP(INDEX(英雄装备!$F:$BZ,MATCH($H10,英雄装备!$F:$F,0),MATCH(J$2,英雄装备!$1:$1,0)-2),装备属性!$A:$C,3,0),VLOOKUP(INDEX(英雄装备!$F:$BZ,MATCH($H10,英雄装备!$F:$F,0),MATCH(J$2,英雄装备!$1:$1,0)-1),装备属性!$A:$C,3,0),VLOOKUP(INDEX(英雄装备!$F:$BZ,MATCH($H10,英雄装备!$F:$F,0),MATCH(J$2,英雄装备!$1:$1,0)),装备属性!$A:$C,3,0))</f>
        <v>11</v>
      </c>
      <c r="K10" s="51">
        <f>MAX(VLOOKUP(INDEX(英雄装备!$F:$BZ,MATCH($H10,英雄装备!$F:$F,0),MATCH(K$2,英雄装备!$1:$1,0)-5),装备属性!$A:$C,3,0),VLOOKUP(INDEX(英雄装备!$F:$BZ,MATCH($H10,英雄装备!$F:$F,0),MATCH(K$2,英雄装备!$1:$1,0)-4),装备属性!$A:$C,3,0),VLOOKUP(INDEX(英雄装备!$F:$BZ,MATCH($H10,英雄装备!$F:$F,0),MATCH(K$2,英雄装备!$1:$1,0)-3),装备属性!$A:$C,3,0),VLOOKUP(INDEX(英雄装备!$F:$BZ,MATCH($H10,英雄装备!$F:$F,0),MATCH(K$2,英雄装备!$1:$1,0)-2),装备属性!$A:$C,3,0),VLOOKUP(INDEX(英雄装备!$F:$BZ,MATCH($H10,英雄装备!$F:$F,0),MATCH(K$2,英雄装备!$1:$1,0)-1),装备属性!$A:$C,3,0),VLOOKUP(INDEX(英雄装备!$F:$BZ,MATCH($H10,英雄装备!$F:$F,0),MATCH(K$2,英雄装备!$1:$1,0)),装备属性!$A:$C,3,0))</f>
        <v>27</v>
      </c>
      <c r="L10" s="51">
        <f>MAX(VLOOKUP(INDEX(英雄装备!$F:$BZ,MATCH($H10,英雄装备!$F:$F,0),MATCH(L$2,英雄装备!$1:$1,0)-5),装备属性!$A:$C,3,0),VLOOKUP(INDEX(英雄装备!$F:$BZ,MATCH($H10,英雄装备!$F:$F,0),MATCH(L$2,英雄装备!$1:$1,0)-4),装备属性!$A:$C,3,0),VLOOKUP(INDEX(英雄装备!$F:$BZ,MATCH($H10,英雄装备!$F:$F,0),MATCH(L$2,英雄装备!$1:$1,0)-3),装备属性!$A:$C,3,0),VLOOKUP(INDEX(英雄装备!$F:$BZ,MATCH($H10,英雄装备!$F:$F,0),MATCH(L$2,英雄装备!$1:$1,0)-2),装备属性!$A:$C,3,0),VLOOKUP(INDEX(英雄装备!$F:$BZ,MATCH($H10,英雄装备!$F:$F,0),MATCH(L$2,英雄装备!$1:$1,0)-1),装备属性!$A:$C,3,0),VLOOKUP(INDEX(英雄装备!$F:$BZ,MATCH($H10,英雄装备!$F:$F,0),MATCH(L$2,英雄装备!$1:$1,0)),装备属性!$A:$C,3,0))</f>
        <v>35</v>
      </c>
      <c r="M10" s="51">
        <f>MAX(VLOOKUP(INDEX(英雄装备!$F:$BZ,MATCH($H10,英雄装备!$F:$F,0),MATCH(M$2,英雄装备!$1:$1,0)-5),装备属性!$A:$C,3,0),VLOOKUP(INDEX(英雄装备!$F:$BZ,MATCH($H10,英雄装备!$F:$F,0),MATCH(M$2,英雄装备!$1:$1,0)-4),装备属性!$A:$C,3,0),VLOOKUP(INDEX(英雄装备!$F:$BZ,MATCH($H10,英雄装备!$F:$F,0),MATCH(M$2,英雄装备!$1:$1,0)-3),装备属性!$A:$C,3,0),VLOOKUP(INDEX(英雄装备!$F:$BZ,MATCH($H10,英雄装备!$F:$F,0),MATCH(M$2,英雄装备!$1:$1,0)-2),装备属性!$A:$C,3,0),VLOOKUP(INDEX(英雄装备!$F:$BZ,MATCH($H10,英雄装备!$F:$F,0),MATCH(M$2,英雄装备!$1:$1,0)-1),装备属性!$A:$C,3,0),VLOOKUP(INDEX(英雄装备!$F:$BZ,MATCH($H10,英雄装备!$F:$F,0),MATCH(M$2,英雄装备!$1:$1,0)),装备属性!$A:$C,3,0))</f>
        <v>43</v>
      </c>
      <c r="N10" s="51">
        <f>MAX(VLOOKUP(INDEX(英雄装备!$F:$BZ,MATCH($H10,英雄装备!$F:$F,0),MATCH(N$2,英雄装备!$1:$1,0)-5),装备属性!$A:$C,3,0),VLOOKUP(INDEX(英雄装备!$F:$BZ,MATCH($H10,英雄装备!$F:$F,0),MATCH(N$2,英雄装备!$1:$1,0)-4),装备属性!$A:$C,3,0),VLOOKUP(INDEX(英雄装备!$F:$BZ,MATCH($H10,英雄装备!$F:$F,0),MATCH(N$2,英雄装备!$1:$1,0)-3),装备属性!$A:$C,3,0),VLOOKUP(INDEX(英雄装备!$F:$BZ,MATCH($H10,英雄装备!$F:$F,0),MATCH(N$2,英雄装备!$1:$1,0)-2),装备属性!$A:$C,3,0),VLOOKUP(INDEX(英雄装备!$F:$BZ,MATCH($H10,英雄装备!$F:$F,0),MATCH(N$2,英雄装备!$1:$1,0)-1),装备属性!$A:$C,3,0),VLOOKUP(INDEX(英雄装备!$F:$BZ,MATCH($H10,英雄装备!$F:$F,0),MATCH(N$2,英雄装备!$1:$1,0)),装备属性!$A:$C,3,0))</f>
        <v>53</v>
      </c>
      <c r="O10" s="51">
        <f>MAX(VLOOKUP(INDEX(英雄装备!$F:$BZ,MATCH($H10,英雄装备!$F:$F,0),MATCH(O$2,英雄装备!$1:$1,0)-5),装备属性!$A:$C,3,0),VLOOKUP(INDEX(英雄装备!$F:$BZ,MATCH($H10,英雄装备!$F:$F,0),MATCH(O$2,英雄装备!$1:$1,0)-4),装备属性!$A:$C,3,0),VLOOKUP(INDEX(英雄装备!$F:$BZ,MATCH($H10,英雄装备!$F:$F,0),MATCH(O$2,英雄装备!$1:$1,0)-3),装备属性!$A:$C,3,0),VLOOKUP(INDEX(英雄装备!$F:$BZ,MATCH($H10,英雄装备!$F:$F,0),MATCH(O$2,英雄装备!$1:$1,0)-2),装备属性!$A:$C,3,0),VLOOKUP(INDEX(英雄装备!$F:$BZ,MATCH($H10,英雄装备!$F:$F,0),MATCH(O$2,英雄装备!$1:$1,0)-1),装备属性!$A:$C,3,0),VLOOKUP(INDEX(英雄装备!$F:$BZ,MATCH($H10,英雄装备!$F:$F,0),MATCH(O$2,英雄装备!$1:$1,0)),装备属性!$A:$C,3,0))</f>
        <v>64</v>
      </c>
      <c r="P10" s="51">
        <f>MAX(VLOOKUP(INDEX(英雄装备!$F:$BZ,MATCH($H10,英雄装备!$F:$F,0),MATCH(P$2,英雄装备!$1:$1,0)-5),装备属性!$A:$C,3,0),VLOOKUP(INDEX(英雄装备!$F:$BZ,MATCH($H10,英雄装备!$F:$F,0),MATCH(P$2,英雄装备!$1:$1,0)-4),装备属性!$A:$C,3,0),VLOOKUP(INDEX(英雄装备!$F:$BZ,MATCH($H10,英雄装备!$F:$F,0),MATCH(P$2,英雄装备!$1:$1,0)-3),装备属性!$A:$C,3,0),VLOOKUP(INDEX(英雄装备!$F:$BZ,MATCH($H10,英雄装备!$F:$F,0),MATCH(P$2,英雄装备!$1:$1,0)-2),装备属性!$A:$C,3,0),VLOOKUP(INDEX(英雄装备!$F:$BZ,MATCH($H10,英雄装备!$F:$F,0),MATCH(P$2,英雄装备!$1:$1,0)-1),装备属性!$A:$C,3,0),VLOOKUP(INDEX(英雄装备!$F:$BZ,MATCH($H10,英雄装备!$F:$F,0),MATCH(P$2,英雄装备!$1:$1,0)),装备属性!$A:$C,3,0))</f>
        <v>70</v>
      </c>
      <c r="Q10" s="51">
        <f>MAX(VLOOKUP(INDEX(英雄装备!$F:$BZ,MATCH($H10,英雄装备!$F:$F,0),MATCH(Q$2,英雄装备!$1:$1,0)-5),装备属性!$A:$C,3,0),VLOOKUP(INDEX(英雄装备!$F:$BZ,MATCH($H10,英雄装备!$F:$F,0),MATCH(Q$2,英雄装备!$1:$1,0)-4),装备属性!$A:$C,3,0),VLOOKUP(INDEX(英雄装备!$F:$BZ,MATCH($H10,英雄装备!$F:$F,0),MATCH(Q$2,英雄装备!$1:$1,0)-3),装备属性!$A:$C,3,0),VLOOKUP(INDEX(英雄装备!$F:$BZ,MATCH($H10,英雄装备!$F:$F,0),MATCH(Q$2,英雄装备!$1:$1,0)-2),装备属性!$A:$C,3,0),VLOOKUP(INDEX(英雄装备!$F:$BZ,MATCH($H10,英雄装备!$F:$F,0),MATCH(Q$2,英雄装备!$1:$1,0)-1),装备属性!$A:$C,3,0),VLOOKUP(INDEX(英雄装备!$F:$BZ,MATCH($H10,英雄装备!$F:$F,0),MATCH(Q$2,英雄装备!$1:$1,0)),装备属性!$A:$C,3,0))</f>
        <v>80</v>
      </c>
      <c r="R10" s="51">
        <f>MAX(VLOOKUP(INDEX(英雄装备!$F:$BZ,MATCH($H10,英雄装备!$F:$F,0),MATCH(R$2,英雄装备!$1:$1,0)-5),装备属性!$A:$C,3,0),VLOOKUP(INDEX(英雄装备!$F:$BZ,MATCH($H10,英雄装备!$F:$F,0),MATCH(R$2,英雄装备!$1:$1,0)-4),装备属性!$A:$C,3,0),VLOOKUP(INDEX(英雄装备!$F:$BZ,MATCH($H10,英雄装备!$F:$F,0),MATCH(R$2,英雄装备!$1:$1,0)-3),装备属性!$A:$C,3,0),VLOOKUP(INDEX(英雄装备!$F:$BZ,MATCH($H10,英雄装备!$F:$F,0),MATCH(R$2,英雄装备!$1:$1,0)-2),装备属性!$A:$C,3,0),VLOOKUP(INDEX(英雄装备!$F:$BZ,MATCH($H10,英雄装备!$F:$F,0),MATCH(R$2,英雄装备!$1:$1,0)-1),装备属性!$A:$C,3,0),VLOOKUP(INDEX(英雄装备!$F:$BZ,MATCH($H10,英雄装备!$F:$F,0),MATCH(R$2,英雄装备!$1:$1,0)),装备属性!$A:$C,3,0))</f>
        <v>79</v>
      </c>
      <c r="S10" s="51">
        <f>MAX(VLOOKUP(INDEX(英雄装备!$F:$BZ,MATCH($H10,英雄装备!$F:$F,0),MATCH(S$2,英雄装备!$1:$1,0)-5),装备属性!$A:$C,3,0),VLOOKUP(INDEX(英雄装备!$F:$BZ,MATCH($H10,英雄装备!$F:$F,0),MATCH(S$2,英雄装备!$1:$1,0)-4),装备属性!$A:$C,3,0),VLOOKUP(INDEX(英雄装备!$F:$BZ,MATCH($H10,英雄装备!$F:$F,0),MATCH(S$2,英雄装备!$1:$1,0)-3),装备属性!$A:$C,3,0),VLOOKUP(INDEX(英雄装备!$F:$BZ,MATCH($H10,英雄装备!$F:$F,0),MATCH(S$2,英雄装备!$1:$1,0)-2),装备属性!$A:$C,3,0),VLOOKUP(INDEX(英雄装备!$F:$BZ,MATCH($H10,英雄装备!$F:$F,0),MATCH(S$2,英雄装备!$1:$1,0)-1),装备属性!$A:$C,3,0),VLOOKUP(INDEX(英雄装备!$F:$BZ,MATCH($H10,英雄装备!$F:$F,0),MATCH(S$2,英雄装备!$1:$1,0)),装备属性!$A:$C,3,0))</f>
        <v>85</v>
      </c>
      <c r="T10" s="51">
        <f>MAX(VLOOKUP(INDEX(英雄装备!$F:$BZ,MATCH($H10,英雄装备!$F:$F,0),MATCH(T$2,英雄装备!$1:$1,0)-5),装备属性!$A:$C,3,0),VLOOKUP(INDEX(英雄装备!$F:$BZ,MATCH($H10,英雄装备!$F:$F,0),MATCH(T$2,英雄装备!$1:$1,0)-4),装备属性!$A:$C,3,0),VLOOKUP(INDEX(英雄装备!$F:$BZ,MATCH($H10,英雄装备!$F:$F,0),MATCH(T$2,英雄装备!$1:$1,0)-3),装备属性!$A:$C,3,0),VLOOKUP(INDEX(英雄装备!$F:$BZ,MATCH($H10,英雄装备!$F:$F,0),MATCH(T$2,英雄装备!$1:$1,0)-2),装备属性!$A:$C,3,0),VLOOKUP(INDEX(英雄装备!$F:$BZ,MATCH($H10,英雄装备!$F:$F,0),MATCH(T$2,英雄装备!$1:$1,0)-1),装备属性!$A:$C,3,0))</f>
        <v>87</v>
      </c>
      <c r="W10" s="151" t="str">
        <f>IF($V$2&lt;10,"","紫+3")</f>
        <v>紫+3</v>
      </c>
      <c r="X10" s="151" t="str">
        <f>VLOOKUP(英雄对比!$C$2,英雄装备!$F:$BZ,56,0)</f>
        <v>大炮</v>
      </c>
      <c r="Y10" s="151" t="str">
        <f>VLOOKUP(英雄对比!$C$2,英雄装备!$F:$BZ,57,0)</f>
        <v>金箍棒</v>
      </c>
      <c r="Z10" s="151" t="str">
        <f>VLOOKUP(英雄对比!$C$2,英雄装备!$F:$BZ,58,0)</f>
        <v>龙心</v>
      </c>
      <c r="AA10" s="151" t="str">
        <f>VLOOKUP(英雄对比!$C$2,英雄装备!$F:$BZ,59,0)</f>
        <v>黑黄</v>
      </c>
      <c r="AB10" s="151" t="str">
        <f>VLOOKUP(英雄对比!$C$2,英雄装备!$F:$BZ,60,0)</f>
        <v>冲锋盾</v>
      </c>
      <c r="AC10" s="151" t="str">
        <f>VLOOKUP(英雄对比!$C$2,英雄装备!$F:$BZ,61,0)</f>
        <v>飞鞋</v>
      </c>
    </row>
    <row r="11" spans="1:52">
      <c r="B11" s="151" t="str">
        <f>英雄初始!A12</f>
        <v>熊猫酒仙</v>
      </c>
      <c r="D11" s="48" t="s">
        <v>1062</v>
      </c>
      <c r="E11" s="151" t="str">
        <f>进阶奖励!$A15</f>
        <v>白</v>
      </c>
      <c r="F11" s="151">
        <v>1</v>
      </c>
      <c r="G11" s="152">
        <f>VLOOKUP(英雄对比!$C$2,中介表格2!$H:$T,2,0)</f>
        <v>2</v>
      </c>
      <c r="H11" s="54" t="s">
        <v>164</v>
      </c>
      <c r="I11" s="51">
        <f>MAX(VLOOKUP(INDEX(英雄装备!$F:$BZ,MATCH($H11,英雄装备!$F:$F,0),MATCH(I$2,英雄装备!$1:$1,0)-5),装备属性!$A:$C,3,0),VLOOKUP(INDEX(英雄装备!$F:$BZ,MATCH($H11,英雄装备!$F:$F,0),MATCH(I$2,英雄装备!$1:$1,0)-4),装备属性!$A:$C,3,0),VLOOKUP(INDEX(英雄装备!$F:$BZ,MATCH($H11,英雄装备!$F:$F,0),MATCH(I$2,英雄装备!$1:$1,0)-3),装备属性!$A:$C,3,0),VLOOKUP(INDEX(英雄装备!$F:$BZ,MATCH($H11,英雄装备!$F:$F,0),MATCH(I$2,英雄装备!$1:$1,0)-2),装备属性!$A:$C,3,0),VLOOKUP(INDEX(英雄装备!$F:$BZ,MATCH($H11,英雄装备!$F:$F,0),MATCH(I$2,英雄装备!$1:$1,0)-1),装备属性!$A:$C,3,0),VLOOKUP(INDEX(英雄装备!$F:$BZ,MATCH($H11,英雄装备!$F:$F,0),MATCH(I$2,英雄装备!$1:$1,0)),装备属性!$A:$C,3,0))</f>
        <v>2</v>
      </c>
      <c r="J11" s="51">
        <f>MAX(VLOOKUP(INDEX(英雄装备!$F:$BZ,MATCH($H11,英雄装备!$F:$F,0),MATCH(J$2,英雄装备!$1:$1,0)-5),装备属性!$A:$C,3,0),VLOOKUP(INDEX(英雄装备!$F:$BZ,MATCH($H11,英雄装备!$F:$F,0),MATCH(J$2,英雄装备!$1:$1,0)-4),装备属性!$A:$C,3,0),VLOOKUP(INDEX(英雄装备!$F:$BZ,MATCH($H11,英雄装备!$F:$F,0),MATCH(J$2,英雄装备!$1:$1,0)-3),装备属性!$A:$C,3,0),VLOOKUP(INDEX(英雄装备!$F:$BZ,MATCH($H11,英雄装备!$F:$F,0),MATCH(J$2,英雄装备!$1:$1,0)-2),装备属性!$A:$C,3,0),VLOOKUP(INDEX(英雄装备!$F:$BZ,MATCH($H11,英雄装备!$F:$F,0),MATCH(J$2,英雄装备!$1:$1,0)-1),装备属性!$A:$C,3,0),VLOOKUP(INDEX(英雄装备!$F:$BZ,MATCH($H11,英雄装备!$F:$F,0),MATCH(J$2,英雄装备!$1:$1,0)),装备属性!$A:$C,3,0))</f>
        <v>10</v>
      </c>
      <c r="K11" s="51">
        <f>MAX(VLOOKUP(INDEX(英雄装备!$F:$BZ,MATCH($H11,英雄装备!$F:$F,0),MATCH(K$2,英雄装备!$1:$1,0)-5),装备属性!$A:$C,3,0),VLOOKUP(INDEX(英雄装备!$F:$BZ,MATCH($H11,英雄装备!$F:$F,0),MATCH(K$2,英雄装备!$1:$1,0)-4),装备属性!$A:$C,3,0),VLOOKUP(INDEX(英雄装备!$F:$BZ,MATCH($H11,英雄装备!$F:$F,0),MATCH(K$2,英雄装备!$1:$1,0)-3),装备属性!$A:$C,3,0),VLOOKUP(INDEX(英雄装备!$F:$BZ,MATCH($H11,英雄装备!$F:$F,0),MATCH(K$2,英雄装备!$1:$1,0)-2),装备属性!$A:$C,3,0),VLOOKUP(INDEX(英雄装备!$F:$BZ,MATCH($H11,英雄装备!$F:$F,0),MATCH(K$2,英雄装备!$1:$1,0)-1),装备属性!$A:$C,3,0),VLOOKUP(INDEX(英雄装备!$F:$BZ,MATCH($H11,英雄装备!$F:$F,0),MATCH(K$2,英雄装备!$1:$1,0)),装备属性!$A:$C,3,0))</f>
        <v>21</v>
      </c>
      <c r="L11" s="51">
        <f>MAX(VLOOKUP(INDEX(英雄装备!$F:$BZ,MATCH($H11,英雄装备!$F:$F,0),MATCH(L$2,英雄装备!$1:$1,0)-5),装备属性!$A:$C,3,0),VLOOKUP(INDEX(英雄装备!$F:$BZ,MATCH($H11,英雄装备!$F:$F,0),MATCH(L$2,英雄装备!$1:$1,0)-4),装备属性!$A:$C,3,0),VLOOKUP(INDEX(英雄装备!$F:$BZ,MATCH($H11,英雄装备!$F:$F,0),MATCH(L$2,英雄装备!$1:$1,0)-3),装备属性!$A:$C,3,0),VLOOKUP(INDEX(英雄装备!$F:$BZ,MATCH($H11,英雄装备!$F:$F,0),MATCH(L$2,英雄装备!$1:$1,0)-2),装备属性!$A:$C,3,0),VLOOKUP(INDEX(英雄装备!$F:$BZ,MATCH($H11,英雄装备!$F:$F,0),MATCH(L$2,英雄装备!$1:$1,0)-1),装备属性!$A:$C,3,0),VLOOKUP(INDEX(英雄装备!$F:$BZ,MATCH($H11,英雄装备!$F:$F,0),MATCH(L$2,英雄装备!$1:$1,0)),装备属性!$A:$C,3,0))</f>
        <v>35</v>
      </c>
      <c r="M11" s="51">
        <f>MAX(VLOOKUP(INDEX(英雄装备!$F:$BZ,MATCH($H11,英雄装备!$F:$F,0),MATCH(M$2,英雄装备!$1:$1,0)-5),装备属性!$A:$C,3,0),VLOOKUP(INDEX(英雄装备!$F:$BZ,MATCH($H11,英雄装备!$F:$F,0),MATCH(M$2,英雄装备!$1:$1,0)-4),装备属性!$A:$C,3,0),VLOOKUP(INDEX(英雄装备!$F:$BZ,MATCH($H11,英雄装备!$F:$F,0),MATCH(M$2,英雄装备!$1:$1,0)-3),装备属性!$A:$C,3,0),VLOOKUP(INDEX(英雄装备!$F:$BZ,MATCH($H11,英雄装备!$F:$F,0),MATCH(M$2,英雄装备!$1:$1,0)-2),装备属性!$A:$C,3,0),VLOOKUP(INDEX(英雄装备!$F:$BZ,MATCH($H11,英雄装备!$F:$F,0),MATCH(M$2,英雄装备!$1:$1,0)-1),装备属性!$A:$C,3,0),VLOOKUP(INDEX(英雄装备!$F:$BZ,MATCH($H11,英雄装备!$F:$F,0),MATCH(M$2,英雄装备!$1:$1,0)),装备属性!$A:$C,3,0))</f>
        <v>41</v>
      </c>
      <c r="N11" s="51">
        <f>MAX(VLOOKUP(INDEX(英雄装备!$F:$BZ,MATCH($H11,英雄装备!$F:$F,0),MATCH(N$2,英雄装备!$1:$1,0)-5),装备属性!$A:$C,3,0),VLOOKUP(INDEX(英雄装备!$F:$BZ,MATCH($H11,英雄装备!$F:$F,0),MATCH(N$2,英雄装备!$1:$1,0)-4),装备属性!$A:$C,3,0),VLOOKUP(INDEX(英雄装备!$F:$BZ,MATCH($H11,英雄装备!$F:$F,0),MATCH(N$2,英雄装备!$1:$1,0)-3),装备属性!$A:$C,3,0),VLOOKUP(INDEX(英雄装备!$F:$BZ,MATCH($H11,英雄装备!$F:$F,0),MATCH(N$2,英雄装备!$1:$1,0)-2),装备属性!$A:$C,3,0),VLOOKUP(INDEX(英雄装备!$F:$BZ,MATCH($H11,英雄装备!$F:$F,0),MATCH(N$2,英雄装备!$1:$1,0)-1),装备属性!$A:$C,3,0),VLOOKUP(INDEX(英雄装备!$F:$BZ,MATCH($H11,英雄装备!$F:$F,0),MATCH(N$2,英雄装备!$1:$1,0)),装备属性!$A:$C,3,0))</f>
        <v>52</v>
      </c>
      <c r="O11" s="51">
        <f>MAX(VLOOKUP(INDEX(英雄装备!$F:$BZ,MATCH($H11,英雄装备!$F:$F,0),MATCH(O$2,英雄装备!$1:$1,0)-5),装备属性!$A:$C,3,0),VLOOKUP(INDEX(英雄装备!$F:$BZ,MATCH($H11,英雄装备!$F:$F,0),MATCH(O$2,英雄装备!$1:$1,0)-4),装备属性!$A:$C,3,0),VLOOKUP(INDEX(英雄装备!$F:$BZ,MATCH($H11,英雄装备!$F:$F,0),MATCH(O$2,英雄装备!$1:$1,0)-3),装备属性!$A:$C,3,0),VLOOKUP(INDEX(英雄装备!$F:$BZ,MATCH($H11,英雄装备!$F:$F,0),MATCH(O$2,英雄装备!$1:$1,0)-2),装备属性!$A:$C,3,0),VLOOKUP(INDEX(英雄装备!$F:$BZ,MATCH($H11,英雄装备!$F:$F,0),MATCH(O$2,英雄装备!$1:$1,0)-1),装备属性!$A:$C,3,0),VLOOKUP(INDEX(英雄装备!$F:$BZ,MATCH($H11,英雄装备!$F:$F,0),MATCH(O$2,英雄装备!$1:$1,0)),装备属性!$A:$C,3,0))</f>
        <v>62</v>
      </c>
      <c r="P11" s="51">
        <f>MAX(VLOOKUP(INDEX(英雄装备!$F:$BZ,MATCH($H11,英雄装备!$F:$F,0),MATCH(P$2,英雄装备!$1:$1,0)-5),装备属性!$A:$C,3,0),VLOOKUP(INDEX(英雄装备!$F:$BZ,MATCH($H11,英雄装备!$F:$F,0),MATCH(P$2,英雄装备!$1:$1,0)-4),装备属性!$A:$C,3,0),VLOOKUP(INDEX(英雄装备!$F:$BZ,MATCH($H11,英雄装备!$F:$F,0),MATCH(P$2,英雄装备!$1:$1,0)-3),装备属性!$A:$C,3,0),VLOOKUP(INDEX(英雄装备!$F:$BZ,MATCH($H11,英雄装备!$F:$F,0),MATCH(P$2,英雄装备!$1:$1,0)-2),装备属性!$A:$C,3,0),VLOOKUP(INDEX(英雄装备!$F:$BZ,MATCH($H11,英雄装备!$F:$F,0),MATCH(P$2,英雄装备!$1:$1,0)-1),装备属性!$A:$C,3,0),VLOOKUP(INDEX(英雄装备!$F:$BZ,MATCH($H11,英雄装备!$F:$F,0),MATCH(P$2,英雄装备!$1:$1,0)),装备属性!$A:$C,3,0))</f>
        <v>70</v>
      </c>
      <c r="Q11" s="51">
        <f>MAX(VLOOKUP(INDEX(英雄装备!$F:$BZ,MATCH($H11,英雄装备!$F:$F,0),MATCH(Q$2,英雄装备!$1:$1,0)-5),装备属性!$A:$C,3,0),VLOOKUP(INDEX(英雄装备!$F:$BZ,MATCH($H11,英雄装备!$F:$F,0),MATCH(Q$2,英雄装备!$1:$1,0)-4),装备属性!$A:$C,3,0),VLOOKUP(INDEX(英雄装备!$F:$BZ,MATCH($H11,英雄装备!$F:$F,0),MATCH(Q$2,英雄装备!$1:$1,0)-3),装备属性!$A:$C,3,0),VLOOKUP(INDEX(英雄装备!$F:$BZ,MATCH($H11,英雄装备!$F:$F,0),MATCH(Q$2,英雄装备!$1:$1,0)-2),装备属性!$A:$C,3,0),VLOOKUP(INDEX(英雄装备!$F:$BZ,MATCH($H11,英雄装备!$F:$F,0),MATCH(Q$2,英雄装备!$1:$1,0)-1),装备属性!$A:$C,3,0),VLOOKUP(INDEX(英雄装备!$F:$BZ,MATCH($H11,英雄装备!$F:$F,0),MATCH(Q$2,英雄装备!$1:$1,0)),装备属性!$A:$C,3,0))</f>
        <v>72</v>
      </c>
      <c r="R11" s="51">
        <f>MAX(VLOOKUP(INDEX(英雄装备!$F:$BZ,MATCH($H11,英雄装备!$F:$F,0),MATCH(R$2,英雄装备!$1:$1,0)-5),装备属性!$A:$C,3,0),VLOOKUP(INDEX(英雄装备!$F:$BZ,MATCH($H11,英雄装备!$F:$F,0),MATCH(R$2,英雄装备!$1:$1,0)-4),装备属性!$A:$C,3,0),VLOOKUP(INDEX(英雄装备!$F:$BZ,MATCH($H11,英雄装备!$F:$F,0),MATCH(R$2,英雄装备!$1:$1,0)-3),装备属性!$A:$C,3,0),VLOOKUP(INDEX(英雄装备!$F:$BZ,MATCH($H11,英雄装备!$F:$F,0),MATCH(R$2,英雄装备!$1:$1,0)-2),装备属性!$A:$C,3,0),VLOOKUP(INDEX(英雄装备!$F:$BZ,MATCH($H11,英雄装备!$F:$F,0),MATCH(R$2,英雄装备!$1:$1,0)-1),装备属性!$A:$C,3,0),VLOOKUP(INDEX(英雄装备!$F:$BZ,MATCH($H11,英雄装备!$F:$F,0),MATCH(R$2,英雄装备!$1:$1,0)),装备属性!$A:$C,3,0))</f>
        <v>80</v>
      </c>
      <c r="S11" s="51">
        <f>MAX(VLOOKUP(INDEX(英雄装备!$F:$BZ,MATCH($H11,英雄装备!$F:$F,0),MATCH(S$2,英雄装备!$1:$1,0)-5),装备属性!$A:$C,3,0),VLOOKUP(INDEX(英雄装备!$F:$BZ,MATCH($H11,英雄装备!$F:$F,0),MATCH(S$2,英雄装备!$1:$1,0)-4),装备属性!$A:$C,3,0),VLOOKUP(INDEX(英雄装备!$F:$BZ,MATCH($H11,英雄装备!$F:$F,0),MATCH(S$2,英雄装备!$1:$1,0)-3),装备属性!$A:$C,3,0),VLOOKUP(INDEX(英雄装备!$F:$BZ,MATCH($H11,英雄装备!$F:$F,0),MATCH(S$2,英雄装备!$1:$1,0)-2),装备属性!$A:$C,3,0),VLOOKUP(INDEX(英雄装备!$F:$BZ,MATCH($H11,英雄装备!$F:$F,0),MATCH(S$2,英雄装备!$1:$1,0)-1),装备属性!$A:$C,3,0),VLOOKUP(INDEX(英雄装备!$F:$BZ,MATCH($H11,英雄装备!$F:$F,0),MATCH(S$2,英雄装备!$1:$1,0)),装备属性!$A:$C,3,0))</f>
        <v>84</v>
      </c>
      <c r="T11" s="51">
        <f>MAX(VLOOKUP(INDEX(英雄装备!$F:$BZ,MATCH($H11,英雄装备!$F:$F,0),MATCH(T$2,英雄装备!$1:$1,0)-5),装备属性!$A:$C,3,0),VLOOKUP(INDEX(英雄装备!$F:$BZ,MATCH($H11,英雄装备!$F:$F,0),MATCH(T$2,英雄装备!$1:$1,0)-4),装备属性!$A:$C,3,0),VLOOKUP(INDEX(英雄装备!$F:$BZ,MATCH($H11,英雄装备!$F:$F,0),MATCH(T$2,英雄装备!$1:$1,0)-3),装备属性!$A:$C,3,0),VLOOKUP(INDEX(英雄装备!$F:$BZ,MATCH($H11,英雄装备!$F:$F,0),MATCH(T$2,英雄装备!$1:$1,0)-2),装备属性!$A:$C,3,0),VLOOKUP(INDEX(英雄装备!$F:$BZ,MATCH($H11,英雄装备!$F:$F,0),MATCH(T$2,英雄装备!$1:$1,0)-1),装备属性!$A:$C,3,0))</f>
        <v>88</v>
      </c>
      <c r="W11" s="151" t="str">
        <f>IF($V$2&lt;11,"","紫+4")</f>
        <v>紫+4</v>
      </c>
      <c r="X11" s="151" t="str">
        <f>VLOOKUP(英雄对比!$C$2,英雄装备!$F:$BZ,62,0)</f>
        <v>欺诈者之剑</v>
      </c>
      <c r="Y11" s="151" t="str">
        <f>VLOOKUP(英雄对比!$C$2,英雄装备!$F:$BZ,63,0)</f>
        <v>鹰羽指环</v>
      </c>
      <c r="Z11" s="151" t="str">
        <f>VLOOKUP(英雄对比!$C$2,英雄装备!$F:$BZ,64,0)</f>
        <v>撒旦</v>
      </c>
      <c r="AA11" s="151" t="str">
        <f>VLOOKUP(英雄对比!$C$2,英雄装备!$F:$BZ,65,0)</f>
        <v>龙心</v>
      </c>
      <c r="AB11" s="151" t="str">
        <f>VLOOKUP(英雄对比!$C$2,英雄装备!$F:$BZ,66,0)</f>
        <v>射手指环</v>
      </c>
      <c r="AC11" s="151" t="str">
        <f>VLOOKUP(英雄对比!$C$2,英雄装备!$F:$BZ,67,0)</f>
        <v>疾行鞋</v>
      </c>
      <c r="AG11" s="232" t="s">
        <v>1097</v>
      </c>
      <c r="AH11" s="232" t="s">
        <v>203</v>
      </c>
      <c r="AI11" s="232" t="s">
        <v>3</v>
      </c>
      <c r="AJ11" s="232">
        <f>IFERROR(VLOOKUP($V$2-1,$AF$97:$BB$108,3,0),0)</f>
        <v>337</v>
      </c>
      <c r="AK11" s="232" t="s">
        <v>4</v>
      </c>
      <c r="AL11" s="232">
        <f>IFERROR(VLOOKUP($V$2-1,$AF$97:$BB$108,4,0),0)</f>
        <v>260</v>
      </c>
      <c r="AM11" s="232" t="s">
        <v>5</v>
      </c>
      <c r="AN11" s="232">
        <f>IFERROR(VLOOKUP($V$2-1,$AF$97:$BB$108,5,0),0)</f>
        <v>176</v>
      </c>
    </row>
    <row r="12" spans="1:52">
      <c r="B12" s="151" t="str">
        <f>英雄初始!A13</f>
        <v>白虎</v>
      </c>
      <c r="E12" s="151" t="str">
        <f>进阶奖励!$A16</f>
        <v>绿</v>
      </c>
      <c r="F12" s="151">
        <v>2</v>
      </c>
      <c r="G12" s="152">
        <f>VLOOKUP(英雄对比!$C$2,中介表格2!$H:$T,3,0)</f>
        <v>11</v>
      </c>
      <c r="H12" s="54" t="s">
        <v>165</v>
      </c>
      <c r="I12" s="51">
        <f>MAX(VLOOKUP(INDEX(英雄装备!$F:$BZ,MATCH($H12,英雄装备!$F:$F,0),MATCH(I$2,英雄装备!$1:$1,0)-5),装备属性!$A:$C,3,0),VLOOKUP(INDEX(英雄装备!$F:$BZ,MATCH($H12,英雄装备!$F:$F,0),MATCH(I$2,英雄装备!$1:$1,0)-4),装备属性!$A:$C,3,0),VLOOKUP(INDEX(英雄装备!$F:$BZ,MATCH($H12,英雄装备!$F:$F,0),MATCH(I$2,英雄装备!$1:$1,0)-3),装备属性!$A:$C,3,0),VLOOKUP(INDEX(英雄装备!$F:$BZ,MATCH($H12,英雄装备!$F:$F,0),MATCH(I$2,英雄装备!$1:$1,0)-2),装备属性!$A:$C,3,0),VLOOKUP(INDEX(英雄装备!$F:$BZ,MATCH($H12,英雄装备!$F:$F,0),MATCH(I$2,英雄装备!$1:$1,0)-1),装备属性!$A:$C,3,0),VLOOKUP(INDEX(英雄装备!$F:$BZ,MATCH($H12,英雄装备!$F:$F,0),MATCH(I$2,英雄装备!$1:$1,0)),装备属性!$A:$C,3,0))</f>
        <v>2</v>
      </c>
      <c r="J12" s="51">
        <f>MAX(VLOOKUP(INDEX(英雄装备!$F:$BZ,MATCH($H12,英雄装备!$F:$F,0),MATCH(J$2,英雄装备!$1:$1,0)-5),装备属性!$A:$C,3,0),VLOOKUP(INDEX(英雄装备!$F:$BZ,MATCH($H12,英雄装备!$F:$F,0),MATCH(J$2,英雄装备!$1:$1,0)-4),装备属性!$A:$C,3,0),VLOOKUP(INDEX(英雄装备!$F:$BZ,MATCH($H12,英雄装备!$F:$F,0),MATCH(J$2,英雄装备!$1:$1,0)-3),装备属性!$A:$C,3,0),VLOOKUP(INDEX(英雄装备!$F:$BZ,MATCH($H12,英雄装备!$F:$F,0),MATCH(J$2,英雄装备!$1:$1,0)-2),装备属性!$A:$C,3,0),VLOOKUP(INDEX(英雄装备!$F:$BZ,MATCH($H12,英雄装备!$F:$F,0),MATCH(J$2,英雄装备!$1:$1,0)-1),装备属性!$A:$C,3,0),VLOOKUP(INDEX(英雄装备!$F:$BZ,MATCH($H12,英雄装备!$F:$F,0),MATCH(J$2,英雄装备!$1:$1,0)),装备属性!$A:$C,3,0))</f>
        <v>10</v>
      </c>
      <c r="K12" s="51">
        <f>MAX(VLOOKUP(INDEX(英雄装备!$F:$BZ,MATCH($H12,英雄装备!$F:$F,0),MATCH(K$2,英雄装备!$1:$1,0)-5),装备属性!$A:$C,3,0),VLOOKUP(INDEX(英雄装备!$F:$BZ,MATCH($H12,英雄装备!$F:$F,0),MATCH(K$2,英雄装备!$1:$1,0)-4),装备属性!$A:$C,3,0),VLOOKUP(INDEX(英雄装备!$F:$BZ,MATCH($H12,英雄装备!$F:$F,0),MATCH(K$2,英雄装备!$1:$1,0)-3),装备属性!$A:$C,3,0),VLOOKUP(INDEX(英雄装备!$F:$BZ,MATCH($H12,英雄装备!$F:$F,0),MATCH(K$2,英雄装备!$1:$1,0)-2),装备属性!$A:$C,3,0),VLOOKUP(INDEX(英雄装备!$F:$BZ,MATCH($H12,英雄装备!$F:$F,0),MATCH(K$2,英雄装备!$1:$1,0)-1),装备属性!$A:$C,3,0),VLOOKUP(INDEX(英雄装备!$F:$BZ,MATCH($H12,英雄装备!$F:$F,0),MATCH(K$2,英雄装备!$1:$1,0)),装备属性!$A:$C,3,0))</f>
        <v>26</v>
      </c>
      <c r="L12" s="51">
        <f>MAX(VLOOKUP(INDEX(英雄装备!$F:$BZ,MATCH($H12,英雄装备!$F:$F,0),MATCH(L$2,英雄装备!$1:$1,0)-5),装备属性!$A:$C,3,0),VLOOKUP(INDEX(英雄装备!$F:$BZ,MATCH($H12,英雄装备!$F:$F,0),MATCH(L$2,英雄装备!$1:$1,0)-4),装备属性!$A:$C,3,0),VLOOKUP(INDEX(英雄装备!$F:$BZ,MATCH($H12,英雄装备!$F:$F,0),MATCH(L$2,英雄装备!$1:$1,0)-3),装备属性!$A:$C,3,0),VLOOKUP(INDEX(英雄装备!$F:$BZ,MATCH($H12,英雄装备!$F:$F,0),MATCH(L$2,英雄装备!$1:$1,0)-2),装备属性!$A:$C,3,0),VLOOKUP(INDEX(英雄装备!$F:$BZ,MATCH($H12,英雄装备!$F:$F,0),MATCH(L$2,英雄装备!$1:$1,0)-1),装备属性!$A:$C,3,0),VLOOKUP(INDEX(英雄装备!$F:$BZ,MATCH($H12,英雄装备!$F:$F,0),MATCH(L$2,英雄装备!$1:$1,0)),装备属性!$A:$C,3,0))</f>
        <v>35</v>
      </c>
      <c r="M12" s="51">
        <f>MAX(VLOOKUP(INDEX(英雄装备!$F:$BZ,MATCH($H12,英雄装备!$F:$F,0),MATCH(M$2,英雄装备!$1:$1,0)-5),装备属性!$A:$C,3,0),VLOOKUP(INDEX(英雄装备!$F:$BZ,MATCH($H12,英雄装备!$F:$F,0),MATCH(M$2,英雄装备!$1:$1,0)-4),装备属性!$A:$C,3,0),VLOOKUP(INDEX(英雄装备!$F:$BZ,MATCH($H12,英雄装备!$F:$F,0),MATCH(M$2,英雄装备!$1:$1,0)-3),装备属性!$A:$C,3,0),VLOOKUP(INDEX(英雄装备!$F:$BZ,MATCH($H12,英雄装备!$F:$F,0),MATCH(M$2,英雄装备!$1:$1,0)-2),装备属性!$A:$C,3,0),VLOOKUP(INDEX(英雄装备!$F:$BZ,MATCH($H12,英雄装备!$F:$F,0),MATCH(M$2,英雄装备!$1:$1,0)-1),装备属性!$A:$C,3,0),VLOOKUP(INDEX(英雄装备!$F:$BZ,MATCH($H12,英雄装备!$F:$F,0),MATCH(M$2,英雄装备!$1:$1,0)),装备属性!$A:$C,3,0))</f>
        <v>42</v>
      </c>
      <c r="N12" s="51">
        <f>MAX(VLOOKUP(INDEX(英雄装备!$F:$BZ,MATCH($H12,英雄装备!$F:$F,0),MATCH(N$2,英雄装备!$1:$1,0)-5),装备属性!$A:$C,3,0),VLOOKUP(INDEX(英雄装备!$F:$BZ,MATCH($H12,英雄装备!$F:$F,0),MATCH(N$2,英雄装备!$1:$1,0)-4),装备属性!$A:$C,3,0),VLOOKUP(INDEX(英雄装备!$F:$BZ,MATCH($H12,英雄装备!$F:$F,0),MATCH(N$2,英雄装备!$1:$1,0)-3),装备属性!$A:$C,3,0),VLOOKUP(INDEX(英雄装备!$F:$BZ,MATCH($H12,英雄装备!$F:$F,0),MATCH(N$2,英雄装备!$1:$1,0)-2),装备属性!$A:$C,3,0),VLOOKUP(INDEX(英雄装备!$F:$BZ,MATCH($H12,英雄装备!$F:$F,0),MATCH(N$2,英雄装备!$1:$1,0)-1),装备属性!$A:$C,3,0),VLOOKUP(INDEX(英雄装备!$F:$BZ,MATCH($H12,英雄装备!$F:$F,0),MATCH(N$2,英雄装备!$1:$1,0)),装备属性!$A:$C,3,0))</f>
        <v>53</v>
      </c>
      <c r="O12" s="51">
        <f>MAX(VLOOKUP(INDEX(英雄装备!$F:$BZ,MATCH($H12,英雄装备!$F:$F,0),MATCH(O$2,英雄装备!$1:$1,0)-5),装备属性!$A:$C,3,0),VLOOKUP(INDEX(英雄装备!$F:$BZ,MATCH($H12,英雄装备!$F:$F,0),MATCH(O$2,英雄装备!$1:$1,0)-4),装备属性!$A:$C,3,0),VLOOKUP(INDEX(英雄装备!$F:$BZ,MATCH($H12,英雄装备!$F:$F,0),MATCH(O$2,英雄装备!$1:$1,0)-3),装备属性!$A:$C,3,0),VLOOKUP(INDEX(英雄装备!$F:$BZ,MATCH($H12,英雄装备!$F:$F,0),MATCH(O$2,英雄装备!$1:$1,0)-2),装备属性!$A:$C,3,0),VLOOKUP(INDEX(英雄装备!$F:$BZ,MATCH($H12,英雄装备!$F:$F,0),MATCH(O$2,英雄装备!$1:$1,0)-1),装备属性!$A:$C,3,0),VLOOKUP(INDEX(英雄装备!$F:$BZ,MATCH($H12,英雄装备!$F:$F,0),MATCH(O$2,英雄装备!$1:$1,0)),装备属性!$A:$C,3,0))</f>
        <v>62</v>
      </c>
      <c r="P12" s="51">
        <f>MAX(VLOOKUP(INDEX(英雄装备!$F:$BZ,MATCH($H12,英雄装备!$F:$F,0),MATCH(P$2,英雄装备!$1:$1,0)-5),装备属性!$A:$C,3,0),VLOOKUP(INDEX(英雄装备!$F:$BZ,MATCH($H12,英雄装备!$F:$F,0),MATCH(P$2,英雄装备!$1:$1,0)-4),装备属性!$A:$C,3,0),VLOOKUP(INDEX(英雄装备!$F:$BZ,MATCH($H12,英雄装备!$F:$F,0),MATCH(P$2,英雄装备!$1:$1,0)-3),装备属性!$A:$C,3,0),VLOOKUP(INDEX(英雄装备!$F:$BZ,MATCH($H12,英雄装备!$F:$F,0),MATCH(P$2,英雄装备!$1:$1,0)-2),装备属性!$A:$C,3,0),VLOOKUP(INDEX(英雄装备!$F:$BZ,MATCH($H12,英雄装备!$F:$F,0),MATCH(P$2,英雄装备!$1:$1,0)-1),装备属性!$A:$C,3,0),VLOOKUP(INDEX(英雄装备!$F:$BZ,MATCH($H12,英雄装备!$F:$F,0),MATCH(P$2,英雄装备!$1:$1,0)),装备属性!$A:$C,3,0))</f>
        <v>70</v>
      </c>
      <c r="Q12" s="51">
        <f>MAX(VLOOKUP(INDEX(英雄装备!$F:$BZ,MATCH($H12,英雄装备!$F:$F,0),MATCH(Q$2,英雄装备!$1:$1,0)-5),装备属性!$A:$C,3,0),VLOOKUP(INDEX(英雄装备!$F:$BZ,MATCH($H12,英雄装备!$F:$F,0),MATCH(Q$2,英雄装备!$1:$1,0)-4),装备属性!$A:$C,3,0),VLOOKUP(INDEX(英雄装备!$F:$BZ,MATCH($H12,英雄装备!$F:$F,0),MATCH(Q$2,英雄装备!$1:$1,0)-3),装备属性!$A:$C,3,0),VLOOKUP(INDEX(英雄装备!$F:$BZ,MATCH($H12,英雄装备!$F:$F,0),MATCH(Q$2,英雄装备!$1:$1,0)-2),装备属性!$A:$C,3,0),VLOOKUP(INDEX(英雄装备!$F:$BZ,MATCH($H12,英雄装备!$F:$F,0),MATCH(Q$2,英雄装备!$1:$1,0)-1),装备属性!$A:$C,3,0),VLOOKUP(INDEX(英雄装备!$F:$BZ,MATCH($H12,英雄装备!$F:$F,0),MATCH(Q$2,英雄装备!$1:$1,0)),装备属性!$A:$C,3,0))</f>
        <v>79</v>
      </c>
      <c r="R12" s="51">
        <f>MAX(VLOOKUP(INDEX(英雄装备!$F:$BZ,MATCH($H12,英雄装备!$F:$F,0),MATCH(R$2,英雄装备!$1:$1,0)-5),装备属性!$A:$C,3,0),VLOOKUP(INDEX(英雄装备!$F:$BZ,MATCH($H12,英雄装备!$F:$F,0),MATCH(R$2,英雄装备!$1:$1,0)-4),装备属性!$A:$C,3,0),VLOOKUP(INDEX(英雄装备!$F:$BZ,MATCH($H12,英雄装备!$F:$F,0),MATCH(R$2,英雄装备!$1:$1,0)-3),装备属性!$A:$C,3,0),VLOOKUP(INDEX(英雄装备!$F:$BZ,MATCH($H12,英雄装备!$F:$F,0),MATCH(R$2,英雄装备!$1:$1,0)-2),装备属性!$A:$C,3,0),VLOOKUP(INDEX(英雄装备!$F:$BZ,MATCH($H12,英雄装备!$F:$F,0),MATCH(R$2,英雄装备!$1:$1,0)-1),装备属性!$A:$C,3,0),VLOOKUP(INDEX(英雄装备!$F:$BZ,MATCH($H12,英雄装备!$F:$F,0),MATCH(R$2,英雄装备!$1:$1,0)),装备属性!$A:$C,3,0))</f>
        <v>80</v>
      </c>
      <c r="S12" s="51">
        <f>MAX(VLOOKUP(INDEX(英雄装备!$F:$BZ,MATCH($H12,英雄装备!$F:$F,0),MATCH(S$2,英雄装备!$1:$1,0)-5),装备属性!$A:$C,3,0),VLOOKUP(INDEX(英雄装备!$F:$BZ,MATCH($H12,英雄装备!$F:$F,0),MATCH(S$2,英雄装备!$1:$1,0)-4),装备属性!$A:$C,3,0),VLOOKUP(INDEX(英雄装备!$F:$BZ,MATCH($H12,英雄装备!$F:$F,0),MATCH(S$2,英雄装备!$1:$1,0)-3),装备属性!$A:$C,3,0),VLOOKUP(INDEX(英雄装备!$F:$BZ,MATCH($H12,英雄装备!$F:$F,0),MATCH(S$2,英雄装备!$1:$1,0)-2),装备属性!$A:$C,3,0),VLOOKUP(INDEX(英雄装备!$F:$BZ,MATCH($H12,英雄装备!$F:$F,0),MATCH(S$2,英雄装备!$1:$1,0)-1),装备属性!$A:$C,3,0),VLOOKUP(INDEX(英雄装备!$F:$BZ,MATCH($H12,英雄装备!$F:$F,0),MATCH(S$2,英雄装备!$1:$1,0)),装备属性!$A:$C,3,0))</f>
        <v>85</v>
      </c>
      <c r="T12" s="51">
        <f>MAX(VLOOKUP(INDEX(英雄装备!$F:$BZ,MATCH($H12,英雄装备!$F:$F,0),MATCH(T$2,英雄装备!$1:$1,0)-5),装备属性!$A:$C,3,0),VLOOKUP(INDEX(英雄装备!$F:$BZ,MATCH($H12,英雄装备!$F:$F,0),MATCH(T$2,英雄装备!$1:$1,0)-4),装备属性!$A:$C,3,0),VLOOKUP(INDEX(英雄装备!$F:$BZ,MATCH($H12,英雄装备!$F:$F,0),MATCH(T$2,英雄装备!$1:$1,0)-3),装备属性!$A:$C,3,0),VLOOKUP(INDEX(英雄装备!$F:$BZ,MATCH($H12,英雄装备!$F:$F,0),MATCH(T$2,英雄装备!$1:$1,0)-2),装备属性!$A:$C,3,0),VLOOKUP(INDEX(英雄装备!$F:$BZ,MATCH($H12,英雄装备!$F:$F,0),MATCH(T$2,英雄装备!$1:$1,0)-1),装备属性!$A:$C,3,0))</f>
        <v>88</v>
      </c>
      <c r="W12" s="151" t="str">
        <f>IF($V$2&lt;12,"","橙")</f>
        <v/>
      </c>
      <c r="X12" s="151" t="str">
        <f>VLOOKUP(英雄对比!$C$2,英雄装备!$F:$BZ,68,0)</f>
        <v>雷霆之怒</v>
      </c>
      <c r="Y12" s="151" t="str">
        <f>VLOOKUP(英雄对比!$C$2,英雄装备!$F:$BZ,69,0)</f>
        <v>大天使之剑</v>
      </c>
      <c r="Z12" s="151" t="str">
        <f>VLOOKUP(英雄对比!$C$2,英雄装备!$F:$BZ,70,0)</f>
        <v>林肯</v>
      </c>
      <c r="AA12" s="151" t="str">
        <f>VLOOKUP(英雄对比!$C$2,英雄装备!$F:$BZ,71,0)</f>
        <v>恶魔之矢</v>
      </c>
      <c r="AB12" s="151" t="str">
        <f>VLOOKUP(英雄对比!$C$2,英雄装备!$F:$BZ,72,0)</f>
        <v>疾行鞋</v>
      </c>
      <c r="AC12" s="141" t="s">
        <v>2102</v>
      </c>
      <c r="AG12" s="232"/>
      <c r="AH12" s="232"/>
      <c r="AI12" s="232"/>
      <c r="AJ12" s="232"/>
      <c r="AK12" s="232"/>
      <c r="AL12" s="232"/>
      <c r="AM12" s="232"/>
      <c r="AN12" s="232"/>
    </row>
    <row r="13" spans="1:52">
      <c r="B13" s="151" t="str">
        <f>英雄初始!A14</f>
        <v>电魂</v>
      </c>
      <c r="E13" s="151" t="str">
        <f>进阶奖励!$A17</f>
        <v>绿+1</v>
      </c>
      <c r="F13" s="151">
        <v>3</v>
      </c>
      <c r="G13" s="152">
        <f>VLOOKUP(英雄对比!$C$2,中介表格2!$H:$T,4,0)</f>
        <v>25</v>
      </c>
      <c r="H13" s="54" t="s">
        <v>166</v>
      </c>
      <c r="I13" s="51">
        <f>MAX(VLOOKUP(INDEX(英雄装备!$F:$BZ,MATCH($H13,英雄装备!$F:$F,0),MATCH(I$2,英雄装备!$1:$1,0)-5),装备属性!$A:$C,3,0),VLOOKUP(INDEX(英雄装备!$F:$BZ,MATCH($H13,英雄装备!$F:$F,0),MATCH(I$2,英雄装备!$1:$1,0)-4),装备属性!$A:$C,3,0),VLOOKUP(INDEX(英雄装备!$F:$BZ,MATCH($H13,英雄装备!$F:$F,0),MATCH(I$2,英雄装备!$1:$1,0)-3),装备属性!$A:$C,3,0),VLOOKUP(INDEX(英雄装备!$F:$BZ,MATCH($H13,英雄装备!$F:$F,0),MATCH(I$2,英雄装备!$1:$1,0)-2),装备属性!$A:$C,3,0),VLOOKUP(INDEX(英雄装备!$F:$BZ,MATCH($H13,英雄装备!$F:$F,0),MATCH(I$2,英雄装备!$1:$1,0)-1),装备属性!$A:$C,3,0),VLOOKUP(INDEX(英雄装备!$F:$BZ,MATCH($H13,英雄装备!$F:$F,0),MATCH(I$2,英雄装备!$1:$1,0)),装备属性!$A:$C,3,0))</f>
        <v>2</v>
      </c>
      <c r="J13" s="51">
        <f>MAX(VLOOKUP(INDEX(英雄装备!$F:$BZ,MATCH($H13,英雄装备!$F:$F,0),MATCH(J$2,英雄装备!$1:$1,0)-5),装备属性!$A:$C,3,0),VLOOKUP(INDEX(英雄装备!$F:$BZ,MATCH($H13,英雄装备!$F:$F,0),MATCH(J$2,英雄装备!$1:$1,0)-4),装备属性!$A:$C,3,0),VLOOKUP(INDEX(英雄装备!$F:$BZ,MATCH($H13,英雄装备!$F:$F,0),MATCH(J$2,英雄装备!$1:$1,0)-3),装备属性!$A:$C,3,0),VLOOKUP(INDEX(英雄装备!$F:$BZ,MATCH($H13,英雄装备!$F:$F,0),MATCH(J$2,英雄装备!$1:$1,0)-2),装备属性!$A:$C,3,0),VLOOKUP(INDEX(英雄装备!$F:$BZ,MATCH($H13,英雄装备!$F:$F,0),MATCH(J$2,英雄装备!$1:$1,0)-1),装备属性!$A:$C,3,0),VLOOKUP(INDEX(英雄装备!$F:$BZ,MATCH($H13,英雄装备!$F:$F,0),MATCH(J$2,英雄装备!$1:$1,0)),装备属性!$A:$C,3,0))</f>
        <v>12</v>
      </c>
      <c r="K13" s="51">
        <f>MAX(VLOOKUP(INDEX(英雄装备!$F:$BZ,MATCH($H13,英雄装备!$F:$F,0),MATCH(K$2,英雄装备!$1:$1,0)-5),装备属性!$A:$C,3,0),VLOOKUP(INDEX(英雄装备!$F:$BZ,MATCH($H13,英雄装备!$F:$F,0),MATCH(K$2,英雄装备!$1:$1,0)-4),装备属性!$A:$C,3,0),VLOOKUP(INDEX(英雄装备!$F:$BZ,MATCH($H13,英雄装备!$F:$F,0),MATCH(K$2,英雄装备!$1:$1,0)-3),装备属性!$A:$C,3,0),VLOOKUP(INDEX(英雄装备!$F:$BZ,MATCH($H13,英雄装备!$F:$F,0),MATCH(K$2,英雄装备!$1:$1,0)-2),装备属性!$A:$C,3,0),VLOOKUP(INDEX(英雄装备!$F:$BZ,MATCH($H13,英雄装备!$F:$F,0),MATCH(K$2,英雄装备!$1:$1,0)-1),装备属性!$A:$C,3,0),VLOOKUP(INDEX(英雄装备!$F:$BZ,MATCH($H13,英雄装备!$F:$F,0),MATCH(K$2,英雄装备!$1:$1,0)),装备属性!$A:$C,3,0))</f>
        <v>22</v>
      </c>
      <c r="L13" s="51">
        <f>MAX(VLOOKUP(INDEX(英雄装备!$F:$BZ,MATCH($H13,英雄装备!$F:$F,0),MATCH(L$2,英雄装备!$1:$1,0)-5),装备属性!$A:$C,3,0),VLOOKUP(INDEX(英雄装备!$F:$BZ,MATCH($H13,英雄装备!$F:$F,0),MATCH(L$2,英雄装备!$1:$1,0)-4),装备属性!$A:$C,3,0),VLOOKUP(INDEX(英雄装备!$F:$BZ,MATCH($H13,英雄装备!$F:$F,0),MATCH(L$2,英雄装备!$1:$1,0)-3),装备属性!$A:$C,3,0),VLOOKUP(INDEX(英雄装备!$F:$BZ,MATCH($H13,英雄装备!$F:$F,0),MATCH(L$2,英雄装备!$1:$1,0)-2),装备属性!$A:$C,3,0),VLOOKUP(INDEX(英雄装备!$F:$BZ,MATCH($H13,英雄装备!$F:$F,0),MATCH(L$2,英雄装备!$1:$1,0)-1),装备属性!$A:$C,3,0),VLOOKUP(INDEX(英雄装备!$F:$BZ,MATCH($H13,英雄装备!$F:$F,0),MATCH(L$2,英雄装备!$1:$1,0)),装备属性!$A:$C,3,0))</f>
        <v>35</v>
      </c>
      <c r="M13" s="51">
        <f>MAX(VLOOKUP(INDEX(英雄装备!$F:$BZ,MATCH($H13,英雄装备!$F:$F,0),MATCH(M$2,英雄装备!$1:$1,0)-5),装备属性!$A:$C,3,0),VLOOKUP(INDEX(英雄装备!$F:$BZ,MATCH($H13,英雄装备!$F:$F,0),MATCH(M$2,英雄装备!$1:$1,0)-4),装备属性!$A:$C,3,0),VLOOKUP(INDEX(英雄装备!$F:$BZ,MATCH($H13,英雄装备!$F:$F,0),MATCH(M$2,英雄装备!$1:$1,0)-3),装备属性!$A:$C,3,0),VLOOKUP(INDEX(英雄装备!$F:$BZ,MATCH($H13,英雄装备!$F:$F,0),MATCH(M$2,英雄装备!$1:$1,0)-2),装备属性!$A:$C,3,0),VLOOKUP(INDEX(英雄装备!$F:$BZ,MATCH($H13,英雄装备!$F:$F,0),MATCH(M$2,英雄装备!$1:$1,0)-1),装备属性!$A:$C,3,0),VLOOKUP(INDEX(英雄装备!$F:$BZ,MATCH($H13,英雄装备!$F:$F,0),MATCH(M$2,英雄装备!$1:$1,0)),装备属性!$A:$C,3,0))</f>
        <v>43</v>
      </c>
      <c r="N13" s="51">
        <f>MAX(VLOOKUP(INDEX(英雄装备!$F:$BZ,MATCH($H13,英雄装备!$F:$F,0),MATCH(N$2,英雄装备!$1:$1,0)-5),装备属性!$A:$C,3,0),VLOOKUP(INDEX(英雄装备!$F:$BZ,MATCH($H13,英雄装备!$F:$F,0),MATCH(N$2,英雄装备!$1:$1,0)-4),装备属性!$A:$C,3,0),VLOOKUP(INDEX(英雄装备!$F:$BZ,MATCH($H13,英雄装备!$F:$F,0),MATCH(N$2,英雄装备!$1:$1,0)-3),装备属性!$A:$C,3,0),VLOOKUP(INDEX(英雄装备!$F:$BZ,MATCH($H13,英雄装备!$F:$F,0),MATCH(N$2,英雄装备!$1:$1,0)-2),装备属性!$A:$C,3,0),VLOOKUP(INDEX(英雄装备!$F:$BZ,MATCH($H13,英雄装备!$F:$F,0),MATCH(N$2,英雄装备!$1:$1,0)-1),装备属性!$A:$C,3,0),VLOOKUP(INDEX(英雄装备!$F:$BZ,MATCH($H13,英雄装备!$F:$F,0),MATCH(N$2,英雄装备!$1:$1,0)),装备属性!$A:$C,3,0))</f>
        <v>50</v>
      </c>
      <c r="O13" s="51">
        <f>MAX(VLOOKUP(INDEX(英雄装备!$F:$BZ,MATCH($H13,英雄装备!$F:$F,0),MATCH(O$2,英雄装备!$1:$1,0)-5),装备属性!$A:$C,3,0),VLOOKUP(INDEX(英雄装备!$F:$BZ,MATCH($H13,英雄装备!$F:$F,0),MATCH(O$2,英雄装备!$1:$1,0)-4),装备属性!$A:$C,3,0),VLOOKUP(INDEX(英雄装备!$F:$BZ,MATCH($H13,英雄装备!$F:$F,0),MATCH(O$2,英雄装备!$1:$1,0)-3),装备属性!$A:$C,3,0),VLOOKUP(INDEX(英雄装备!$F:$BZ,MATCH($H13,英雄装备!$F:$F,0),MATCH(O$2,英雄装备!$1:$1,0)-2),装备属性!$A:$C,3,0),VLOOKUP(INDEX(英雄装备!$F:$BZ,MATCH($H13,英雄装备!$F:$F,0),MATCH(O$2,英雄装备!$1:$1,0)-1),装备属性!$A:$C,3,0),VLOOKUP(INDEX(英雄装备!$F:$BZ,MATCH($H13,英雄装备!$F:$F,0),MATCH(O$2,英雄装备!$1:$1,0)),装备属性!$A:$C,3,0))</f>
        <v>64</v>
      </c>
      <c r="P13" s="51">
        <f>MAX(VLOOKUP(INDEX(英雄装备!$F:$BZ,MATCH($H13,英雄装备!$F:$F,0),MATCH(P$2,英雄装备!$1:$1,0)-5),装备属性!$A:$C,3,0),VLOOKUP(INDEX(英雄装备!$F:$BZ,MATCH($H13,英雄装备!$F:$F,0),MATCH(P$2,英雄装备!$1:$1,0)-4),装备属性!$A:$C,3,0),VLOOKUP(INDEX(英雄装备!$F:$BZ,MATCH($H13,英雄装备!$F:$F,0),MATCH(P$2,英雄装备!$1:$1,0)-3),装备属性!$A:$C,3,0),VLOOKUP(INDEX(英雄装备!$F:$BZ,MATCH($H13,英雄装备!$F:$F,0),MATCH(P$2,英雄装备!$1:$1,0)-2),装备属性!$A:$C,3,0),VLOOKUP(INDEX(英雄装备!$F:$BZ,MATCH($H13,英雄装备!$F:$F,0),MATCH(P$2,英雄装备!$1:$1,0)-1),装备属性!$A:$C,3,0),VLOOKUP(INDEX(英雄装备!$F:$BZ,MATCH($H13,英雄装备!$F:$F,0),MATCH(P$2,英雄装备!$1:$1,0)),装备属性!$A:$C,3,0))</f>
        <v>72</v>
      </c>
      <c r="Q13" s="51">
        <f>MAX(VLOOKUP(INDEX(英雄装备!$F:$BZ,MATCH($H13,英雄装备!$F:$F,0),MATCH(Q$2,英雄装备!$1:$1,0)-5),装备属性!$A:$C,3,0),VLOOKUP(INDEX(英雄装备!$F:$BZ,MATCH($H13,英雄装备!$F:$F,0),MATCH(Q$2,英雄装备!$1:$1,0)-4),装备属性!$A:$C,3,0),VLOOKUP(INDEX(英雄装备!$F:$BZ,MATCH($H13,英雄装备!$F:$F,0),MATCH(Q$2,英雄装备!$1:$1,0)-3),装备属性!$A:$C,3,0),VLOOKUP(INDEX(英雄装备!$F:$BZ,MATCH($H13,英雄装备!$F:$F,0),MATCH(Q$2,英雄装备!$1:$1,0)-2),装备属性!$A:$C,3,0),VLOOKUP(INDEX(英雄装备!$F:$BZ,MATCH($H13,英雄装备!$F:$F,0),MATCH(Q$2,英雄装备!$1:$1,0)-1),装备属性!$A:$C,3,0),VLOOKUP(INDEX(英雄装备!$F:$BZ,MATCH($H13,英雄装备!$F:$F,0),MATCH(Q$2,英雄装备!$1:$1,0)),装备属性!$A:$C,3,0))</f>
        <v>78</v>
      </c>
      <c r="R13" s="51">
        <f>MAX(VLOOKUP(INDEX(英雄装备!$F:$BZ,MATCH($H13,英雄装备!$F:$F,0),MATCH(R$2,英雄装备!$1:$1,0)-5),装备属性!$A:$C,3,0),VLOOKUP(INDEX(英雄装备!$F:$BZ,MATCH($H13,英雄装备!$F:$F,0),MATCH(R$2,英雄装备!$1:$1,0)-4),装备属性!$A:$C,3,0),VLOOKUP(INDEX(英雄装备!$F:$BZ,MATCH($H13,英雄装备!$F:$F,0),MATCH(R$2,英雄装备!$1:$1,0)-3),装备属性!$A:$C,3,0),VLOOKUP(INDEX(英雄装备!$F:$BZ,MATCH($H13,英雄装备!$F:$F,0),MATCH(R$2,英雄装备!$1:$1,0)-2),装备属性!$A:$C,3,0),VLOOKUP(INDEX(英雄装备!$F:$BZ,MATCH($H13,英雄装备!$F:$F,0),MATCH(R$2,英雄装备!$1:$1,0)-1),装备属性!$A:$C,3,0),VLOOKUP(INDEX(英雄装备!$F:$BZ,MATCH($H13,英雄装备!$F:$F,0),MATCH(R$2,英雄装备!$1:$1,0)),装备属性!$A:$C,3,0))</f>
        <v>80</v>
      </c>
      <c r="S13" s="51">
        <f>MAX(VLOOKUP(INDEX(英雄装备!$F:$BZ,MATCH($H13,英雄装备!$F:$F,0),MATCH(S$2,英雄装备!$1:$1,0)-5),装备属性!$A:$C,3,0),VLOOKUP(INDEX(英雄装备!$F:$BZ,MATCH($H13,英雄装备!$F:$F,0),MATCH(S$2,英雄装备!$1:$1,0)-4),装备属性!$A:$C,3,0),VLOOKUP(INDEX(英雄装备!$F:$BZ,MATCH($H13,英雄装备!$F:$F,0),MATCH(S$2,英雄装备!$1:$1,0)-3),装备属性!$A:$C,3,0),VLOOKUP(INDEX(英雄装备!$F:$BZ,MATCH($H13,英雄装备!$F:$F,0),MATCH(S$2,英雄装备!$1:$1,0)-2),装备属性!$A:$C,3,0),VLOOKUP(INDEX(英雄装备!$F:$BZ,MATCH($H13,英雄装备!$F:$F,0),MATCH(S$2,英雄装备!$1:$1,0)-1),装备属性!$A:$C,3,0),VLOOKUP(INDEX(英雄装备!$F:$BZ,MATCH($H13,英雄装备!$F:$F,0),MATCH(S$2,英雄装备!$1:$1,0)),装备属性!$A:$C,3,0))</f>
        <v>85</v>
      </c>
      <c r="T13" s="51">
        <f>MAX(VLOOKUP(INDEX(英雄装备!$F:$BZ,MATCH($H13,英雄装备!$F:$F,0),MATCH(T$2,英雄装备!$1:$1,0)-5),装备属性!$A:$C,3,0),VLOOKUP(INDEX(英雄装备!$F:$BZ,MATCH($H13,英雄装备!$F:$F,0),MATCH(T$2,英雄装备!$1:$1,0)-4),装备属性!$A:$C,3,0),VLOOKUP(INDEX(英雄装备!$F:$BZ,MATCH($H13,英雄装备!$F:$F,0),MATCH(T$2,英雄装备!$1:$1,0)-3),装备属性!$A:$C,3,0),VLOOKUP(INDEX(英雄装备!$F:$BZ,MATCH($H13,英雄装备!$F:$F,0),MATCH(T$2,英雄装备!$1:$1,0)-2),装备属性!$A:$C,3,0),VLOOKUP(INDEX(英雄装备!$F:$BZ,MATCH($H13,英雄装备!$F:$F,0),MATCH(T$2,英雄装备!$1:$1,0)-1),装备属性!$A:$C,3,0))</f>
        <v>89</v>
      </c>
      <c r="AG13" s="232"/>
      <c r="AH13" s="232" t="s">
        <v>1077</v>
      </c>
      <c r="AI13" s="50" t="s">
        <v>103</v>
      </c>
      <c r="AJ13" s="50" t="s">
        <v>14</v>
      </c>
      <c r="AK13" s="50" t="s">
        <v>47</v>
      </c>
      <c r="AL13" s="50" t="s">
        <v>35</v>
      </c>
      <c r="AM13" s="50" t="s">
        <v>38</v>
      </c>
      <c r="AN13" s="50" t="s">
        <v>34</v>
      </c>
      <c r="AO13" s="50" t="s">
        <v>56</v>
      </c>
      <c r="AP13" s="50" t="s">
        <v>84</v>
      </c>
      <c r="AQ13" s="50" t="s">
        <v>98</v>
      </c>
      <c r="AR13" s="50" t="s">
        <v>2099</v>
      </c>
      <c r="AS13" s="119" t="s">
        <v>1874</v>
      </c>
      <c r="AT13" s="50" t="s">
        <v>91</v>
      </c>
      <c r="AU13" s="50" t="s">
        <v>13</v>
      </c>
      <c r="AV13" s="50" t="s">
        <v>18</v>
      </c>
      <c r="AW13" s="51" t="s">
        <v>71</v>
      </c>
      <c r="AX13" s="50" t="s">
        <v>130</v>
      </c>
      <c r="AY13" s="141" t="s">
        <v>1867</v>
      </c>
      <c r="AZ13" s="141" t="s">
        <v>1877</v>
      </c>
    </row>
    <row r="14" spans="1:52">
      <c r="B14" s="151" t="str">
        <f>英雄初始!A15</f>
        <v>敌法</v>
      </c>
      <c r="E14" s="151" t="str">
        <f>进阶奖励!$A18</f>
        <v>蓝</v>
      </c>
      <c r="F14" s="151">
        <v>4</v>
      </c>
      <c r="G14" s="152">
        <f>VLOOKUP(英雄对比!$C$2,中介表格2!$H:$T,5,0)</f>
        <v>34</v>
      </c>
      <c r="H14" s="54" t="s">
        <v>167</v>
      </c>
      <c r="I14" s="51">
        <f>MAX(VLOOKUP(INDEX(英雄装备!$F:$BZ,MATCH($H14,英雄装备!$F:$F,0),MATCH(I$2,英雄装备!$1:$1,0)-5),装备属性!$A:$C,3,0),VLOOKUP(INDEX(英雄装备!$F:$BZ,MATCH($H14,英雄装备!$F:$F,0),MATCH(I$2,英雄装备!$1:$1,0)-4),装备属性!$A:$C,3,0),VLOOKUP(INDEX(英雄装备!$F:$BZ,MATCH($H14,英雄装备!$F:$F,0),MATCH(I$2,英雄装备!$1:$1,0)-3),装备属性!$A:$C,3,0),VLOOKUP(INDEX(英雄装备!$F:$BZ,MATCH($H14,英雄装备!$F:$F,0),MATCH(I$2,英雄装备!$1:$1,0)-2),装备属性!$A:$C,3,0),VLOOKUP(INDEX(英雄装备!$F:$BZ,MATCH($H14,英雄装备!$F:$F,0),MATCH(I$2,英雄装备!$1:$1,0)-1),装备属性!$A:$C,3,0),VLOOKUP(INDEX(英雄装备!$F:$BZ,MATCH($H14,英雄装备!$F:$F,0),MATCH(I$2,英雄装备!$1:$1,0)),装备属性!$A:$C,3,0))</f>
        <v>2</v>
      </c>
      <c r="J14" s="51">
        <f>MAX(VLOOKUP(INDEX(英雄装备!$F:$BZ,MATCH($H14,英雄装备!$F:$F,0),MATCH(J$2,英雄装备!$1:$1,0)-5),装备属性!$A:$C,3,0),VLOOKUP(INDEX(英雄装备!$F:$BZ,MATCH($H14,英雄装备!$F:$F,0),MATCH(J$2,英雄装备!$1:$1,0)-4),装备属性!$A:$C,3,0),VLOOKUP(INDEX(英雄装备!$F:$BZ,MATCH($H14,英雄装备!$F:$F,0),MATCH(J$2,英雄装备!$1:$1,0)-3),装备属性!$A:$C,3,0),VLOOKUP(INDEX(英雄装备!$F:$BZ,MATCH($H14,英雄装备!$F:$F,0),MATCH(J$2,英雄装备!$1:$1,0)-2),装备属性!$A:$C,3,0),VLOOKUP(INDEX(英雄装备!$F:$BZ,MATCH($H14,英雄装备!$F:$F,0),MATCH(J$2,英雄装备!$1:$1,0)-1),装备属性!$A:$C,3,0),VLOOKUP(INDEX(英雄装备!$F:$BZ,MATCH($H14,英雄装备!$F:$F,0),MATCH(J$2,英雄装备!$1:$1,0)),装备属性!$A:$C,3,0))</f>
        <v>10</v>
      </c>
      <c r="K14" s="51">
        <f>MAX(VLOOKUP(INDEX(英雄装备!$F:$BZ,MATCH($H14,英雄装备!$F:$F,0),MATCH(K$2,英雄装备!$1:$1,0)-5),装备属性!$A:$C,3,0),VLOOKUP(INDEX(英雄装备!$F:$BZ,MATCH($H14,英雄装备!$F:$F,0),MATCH(K$2,英雄装备!$1:$1,0)-4),装备属性!$A:$C,3,0),VLOOKUP(INDEX(英雄装备!$F:$BZ,MATCH($H14,英雄装备!$F:$F,0),MATCH(K$2,英雄装备!$1:$1,0)-3),装备属性!$A:$C,3,0),VLOOKUP(INDEX(英雄装备!$F:$BZ,MATCH($H14,英雄装备!$F:$F,0),MATCH(K$2,英雄装备!$1:$1,0)-2),装备属性!$A:$C,3,0),VLOOKUP(INDEX(英雄装备!$F:$BZ,MATCH($H14,英雄装备!$F:$F,0),MATCH(K$2,英雄装备!$1:$1,0)-1),装备属性!$A:$C,3,0),VLOOKUP(INDEX(英雄装备!$F:$BZ,MATCH($H14,英雄装备!$F:$F,0),MATCH(K$2,英雄装备!$1:$1,0)),装备属性!$A:$C,3,0))</f>
        <v>20</v>
      </c>
      <c r="L14" s="51">
        <f>MAX(VLOOKUP(INDEX(英雄装备!$F:$BZ,MATCH($H14,英雄装备!$F:$F,0),MATCH(L$2,英雄装备!$1:$1,0)-5),装备属性!$A:$C,3,0),VLOOKUP(INDEX(英雄装备!$F:$BZ,MATCH($H14,英雄装备!$F:$F,0),MATCH(L$2,英雄装备!$1:$1,0)-4),装备属性!$A:$C,3,0),VLOOKUP(INDEX(英雄装备!$F:$BZ,MATCH($H14,英雄装备!$F:$F,0),MATCH(L$2,英雄装备!$1:$1,0)-3),装备属性!$A:$C,3,0),VLOOKUP(INDEX(英雄装备!$F:$BZ,MATCH($H14,英雄装备!$F:$F,0),MATCH(L$2,英雄装备!$1:$1,0)-2),装备属性!$A:$C,3,0),VLOOKUP(INDEX(英雄装备!$F:$BZ,MATCH($H14,英雄装备!$F:$F,0),MATCH(L$2,英雄装备!$1:$1,0)-1),装备属性!$A:$C,3,0),VLOOKUP(INDEX(英雄装备!$F:$BZ,MATCH($H14,英雄装备!$F:$F,0),MATCH(L$2,英雄装备!$1:$1,0)),装备属性!$A:$C,3,0))</f>
        <v>35</v>
      </c>
      <c r="M14" s="51">
        <f>MAX(VLOOKUP(INDEX(英雄装备!$F:$BZ,MATCH($H14,英雄装备!$F:$F,0),MATCH(M$2,英雄装备!$1:$1,0)-5),装备属性!$A:$C,3,0),VLOOKUP(INDEX(英雄装备!$F:$BZ,MATCH($H14,英雄装备!$F:$F,0),MATCH(M$2,英雄装备!$1:$1,0)-4),装备属性!$A:$C,3,0),VLOOKUP(INDEX(英雄装备!$F:$BZ,MATCH($H14,英雄装备!$F:$F,0),MATCH(M$2,英雄装备!$1:$1,0)-3),装备属性!$A:$C,3,0),VLOOKUP(INDEX(英雄装备!$F:$BZ,MATCH($H14,英雄装备!$F:$F,0),MATCH(M$2,英雄装备!$1:$1,0)-2),装备属性!$A:$C,3,0),VLOOKUP(INDEX(英雄装备!$F:$BZ,MATCH($H14,英雄装备!$F:$F,0),MATCH(M$2,英雄装备!$1:$1,0)-1),装备属性!$A:$C,3,0),VLOOKUP(INDEX(英雄装备!$F:$BZ,MATCH($H14,英雄装备!$F:$F,0),MATCH(M$2,英雄装备!$1:$1,0)),装备属性!$A:$C,3,0))</f>
        <v>44</v>
      </c>
      <c r="N14" s="51">
        <f>MAX(VLOOKUP(INDEX(英雄装备!$F:$BZ,MATCH($H14,英雄装备!$F:$F,0),MATCH(N$2,英雄装备!$1:$1,0)-5),装备属性!$A:$C,3,0),VLOOKUP(INDEX(英雄装备!$F:$BZ,MATCH($H14,英雄装备!$F:$F,0),MATCH(N$2,英雄装备!$1:$1,0)-4),装备属性!$A:$C,3,0),VLOOKUP(INDEX(英雄装备!$F:$BZ,MATCH($H14,英雄装备!$F:$F,0),MATCH(N$2,英雄装备!$1:$1,0)-3),装备属性!$A:$C,3,0),VLOOKUP(INDEX(英雄装备!$F:$BZ,MATCH($H14,英雄装备!$F:$F,0),MATCH(N$2,英雄装备!$1:$1,0)-2),装备属性!$A:$C,3,0),VLOOKUP(INDEX(英雄装备!$F:$BZ,MATCH($H14,英雄装备!$F:$F,0),MATCH(N$2,英雄装备!$1:$1,0)-1),装备属性!$A:$C,3,0),VLOOKUP(INDEX(英雄装备!$F:$BZ,MATCH($H14,英雄装备!$F:$F,0),MATCH(N$2,英雄装备!$1:$1,0)),装备属性!$A:$C,3,0))</f>
        <v>51</v>
      </c>
      <c r="O14" s="51">
        <f>MAX(VLOOKUP(INDEX(英雄装备!$F:$BZ,MATCH($H14,英雄装备!$F:$F,0),MATCH(O$2,英雄装备!$1:$1,0)-5),装备属性!$A:$C,3,0),VLOOKUP(INDEX(英雄装备!$F:$BZ,MATCH($H14,英雄装备!$F:$F,0),MATCH(O$2,英雄装备!$1:$1,0)-4),装备属性!$A:$C,3,0),VLOOKUP(INDEX(英雄装备!$F:$BZ,MATCH($H14,英雄装备!$F:$F,0),MATCH(O$2,英雄装备!$1:$1,0)-3),装备属性!$A:$C,3,0),VLOOKUP(INDEX(英雄装备!$F:$BZ,MATCH($H14,英雄装备!$F:$F,0),MATCH(O$2,英雄装备!$1:$1,0)-2),装备属性!$A:$C,3,0),VLOOKUP(INDEX(英雄装备!$F:$BZ,MATCH($H14,英雄装备!$F:$F,0),MATCH(O$2,英雄装备!$1:$1,0)-1),装备属性!$A:$C,3,0),VLOOKUP(INDEX(英雄装备!$F:$BZ,MATCH($H14,英雄装备!$F:$F,0),MATCH(O$2,英雄装备!$1:$1,0)),装备属性!$A:$C,3,0))</f>
        <v>62</v>
      </c>
      <c r="P14" s="51">
        <f>MAX(VLOOKUP(INDEX(英雄装备!$F:$BZ,MATCH($H14,英雄装备!$F:$F,0),MATCH(P$2,英雄装备!$1:$1,0)-5),装备属性!$A:$C,3,0),VLOOKUP(INDEX(英雄装备!$F:$BZ,MATCH($H14,英雄装备!$F:$F,0),MATCH(P$2,英雄装备!$1:$1,0)-4),装备属性!$A:$C,3,0),VLOOKUP(INDEX(英雄装备!$F:$BZ,MATCH($H14,英雄装备!$F:$F,0),MATCH(P$2,英雄装备!$1:$1,0)-3),装备属性!$A:$C,3,0),VLOOKUP(INDEX(英雄装备!$F:$BZ,MATCH($H14,英雄装备!$F:$F,0),MATCH(P$2,英雄装备!$1:$1,0)-2),装备属性!$A:$C,3,0),VLOOKUP(INDEX(英雄装备!$F:$BZ,MATCH($H14,英雄装备!$F:$F,0),MATCH(P$2,英雄装备!$1:$1,0)-1),装备属性!$A:$C,3,0),VLOOKUP(INDEX(英雄装备!$F:$BZ,MATCH($H14,英雄装备!$F:$F,0),MATCH(P$2,英雄装备!$1:$1,0)),装备属性!$A:$C,3,0))</f>
        <v>73</v>
      </c>
      <c r="Q14" s="51">
        <f>MAX(VLOOKUP(INDEX(英雄装备!$F:$BZ,MATCH($H14,英雄装备!$F:$F,0),MATCH(Q$2,英雄装备!$1:$1,0)-5),装备属性!$A:$C,3,0),VLOOKUP(INDEX(英雄装备!$F:$BZ,MATCH($H14,英雄装备!$F:$F,0),MATCH(Q$2,英雄装备!$1:$1,0)-4),装备属性!$A:$C,3,0),VLOOKUP(INDEX(英雄装备!$F:$BZ,MATCH($H14,英雄装备!$F:$F,0),MATCH(Q$2,英雄装备!$1:$1,0)-3),装备属性!$A:$C,3,0),VLOOKUP(INDEX(英雄装备!$F:$BZ,MATCH($H14,英雄装备!$F:$F,0),MATCH(Q$2,英雄装备!$1:$1,0)-2),装备属性!$A:$C,3,0),VLOOKUP(INDEX(英雄装备!$F:$BZ,MATCH($H14,英雄装备!$F:$F,0),MATCH(Q$2,英雄装备!$1:$1,0)-1),装备属性!$A:$C,3,0),VLOOKUP(INDEX(英雄装备!$F:$BZ,MATCH($H14,英雄装备!$F:$F,0),MATCH(Q$2,英雄装备!$1:$1,0)),装备属性!$A:$C,3,0))</f>
        <v>79</v>
      </c>
      <c r="R14" s="51">
        <f>MAX(VLOOKUP(INDEX(英雄装备!$F:$BZ,MATCH($H14,英雄装备!$F:$F,0),MATCH(R$2,英雄装备!$1:$1,0)-5),装备属性!$A:$C,3,0),VLOOKUP(INDEX(英雄装备!$F:$BZ,MATCH($H14,英雄装备!$F:$F,0),MATCH(R$2,英雄装备!$1:$1,0)-4),装备属性!$A:$C,3,0),VLOOKUP(INDEX(英雄装备!$F:$BZ,MATCH($H14,英雄装备!$F:$F,0),MATCH(R$2,英雄装备!$1:$1,0)-3),装备属性!$A:$C,3,0),VLOOKUP(INDEX(英雄装备!$F:$BZ,MATCH($H14,英雄装备!$F:$F,0),MATCH(R$2,英雄装备!$1:$1,0)-2),装备属性!$A:$C,3,0),VLOOKUP(INDEX(英雄装备!$F:$BZ,MATCH($H14,英雄装备!$F:$F,0),MATCH(R$2,英雄装备!$1:$1,0)-1),装备属性!$A:$C,3,0),VLOOKUP(INDEX(英雄装备!$F:$BZ,MATCH($H14,英雄装备!$F:$F,0),MATCH(R$2,英雄装备!$1:$1,0)),装备属性!$A:$C,3,0))</f>
        <v>80</v>
      </c>
      <c r="S14" s="51">
        <f>MAX(VLOOKUP(INDEX(英雄装备!$F:$BZ,MATCH($H14,英雄装备!$F:$F,0),MATCH(S$2,英雄装备!$1:$1,0)-5),装备属性!$A:$C,3,0),VLOOKUP(INDEX(英雄装备!$F:$BZ,MATCH($H14,英雄装备!$F:$F,0),MATCH(S$2,英雄装备!$1:$1,0)-4),装备属性!$A:$C,3,0),VLOOKUP(INDEX(英雄装备!$F:$BZ,MATCH($H14,英雄装备!$F:$F,0),MATCH(S$2,英雄装备!$1:$1,0)-3),装备属性!$A:$C,3,0),VLOOKUP(INDEX(英雄装备!$F:$BZ,MATCH($H14,英雄装备!$F:$F,0),MATCH(S$2,英雄装备!$1:$1,0)-2),装备属性!$A:$C,3,0),VLOOKUP(INDEX(英雄装备!$F:$BZ,MATCH($H14,英雄装备!$F:$F,0),MATCH(S$2,英雄装备!$1:$1,0)-1),装备属性!$A:$C,3,0),VLOOKUP(INDEX(英雄装备!$F:$BZ,MATCH($H14,英雄装备!$F:$F,0),MATCH(S$2,英雄装备!$1:$1,0)),装备属性!$A:$C,3,0))</f>
        <v>84</v>
      </c>
      <c r="T14" s="51">
        <f>MAX(VLOOKUP(INDEX(英雄装备!$F:$BZ,MATCH($H14,英雄装备!$F:$F,0),MATCH(T$2,英雄装备!$1:$1,0)-5),装备属性!$A:$C,3,0),VLOOKUP(INDEX(英雄装备!$F:$BZ,MATCH($H14,英雄装备!$F:$F,0),MATCH(T$2,英雄装备!$1:$1,0)-4),装备属性!$A:$C,3,0),VLOOKUP(INDEX(英雄装备!$F:$BZ,MATCH($H14,英雄装备!$F:$F,0),MATCH(T$2,英雄装备!$1:$1,0)-3),装备属性!$A:$C,3,0),VLOOKUP(INDEX(英雄装备!$F:$BZ,MATCH($H14,英雄装备!$F:$F,0),MATCH(T$2,英雄装备!$1:$1,0)-2),装备属性!$A:$C,3,0),VLOOKUP(INDEX(英雄装备!$F:$BZ,MATCH($H14,英雄装备!$F:$F,0),MATCH(T$2,英雄装备!$1:$1,0)-1),装备属性!$A:$C,3,0))</f>
        <v>89</v>
      </c>
      <c r="W14" s="108">
        <f t="shared" ref="W14:W25" si="3">IF($W1="",0,1)</f>
        <v>1</v>
      </c>
      <c r="X14" s="151">
        <f>IF(X1="暂无","暂无",IF(VLOOKUP(X1,装备属性!$A:$C,3,0)&gt;英雄对比!$C$4,0,1))</f>
        <v>1</v>
      </c>
      <c r="Y14" s="151">
        <f>IF(Y1="暂无","暂无",IF(VLOOKUP(Y1,装备属性!$A:$C,3,0)&gt;英雄对比!$C$4,0,1))</f>
        <v>1</v>
      </c>
      <c r="Z14" s="151">
        <f>IF(Z1="暂无","暂无",IF(VLOOKUP(Z1,装备属性!$A:$C,3,0)&gt;英雄对比!$C$4,0,1))</f>
        <v>1</v>
      </c>
      <c r="AA14" s="151">
        <f>IF(AA1="暂无","暂无",IF(VLOOKUP(AA1,装备属性!$A:$C,3,0)&gt;英雄对比!$C$4,0,1))</f>
        <v>1</v>
      </c>
      <c r="AB14" s="151">
        <f>IF(AB1="暂无","暂无",IF(VLOOKUP(AB1,装备属性!$A:$C,3,0)&gt;英雄对比!$C$4,0,1))</f>
        <v>1</v>
      </c>
      <c r="AC14" s="151">
        <f>IF(AC1="暂无","暂无",IF(VLOOKUP(AC1,装备属性!$A:$C,3,0)&gt;英雄对比!$C$4,0,1))</f>
        <v>1</v>
      </c>
      <c r="AG14" s="232"/>
      <c r="AH14" s="232"/>
      <c r="AI14" s="151">
        <f>IFERROR(VLOOKUP($V$2-1,$AF$97:$BB$108,6,0),0)</f>
        <v>1940</v>
      </c>
      <c r="AJ14" s="151">
        <f>IFERROR(VLOOKUP($V$2-1,$AF$97:$BB$108,7,0),0)</f>
        <v>887</v>
      </c>
      <c r="AK14" s="151">
        <f>IFERROR(VLOOKUP($V$2-1,$AF$97:$BB$108,8,0),0)</f>
        <v>0</v>
      </c>
      <c r="AL14" s="151">
        <f>IFERROR(VLOOKUP($V$2-1,$AF$97:$BB$108,9,0),0)</f>
        <v>73</v>
      </c>
      <c r="AM14" s="151">
        <f>IFERROR(VLOOKUP($V$2-1,$AF$97:$BB$108,10,0),0)</f>
        <v>82</v>
      </c>
      <c r="AN14" s="151">
        <f>IFERROR(VLOOKUP($V$2-1,$AF$97:$BB$108,11,0),0)</f>
        <v>293</v>
      </c>
      <c r="AO14" s="151">
        <f>IFERROR(VLOOKUP($V$2-1,$AF$97:$BB$108,12,0),0)</f>
        <v>29</v>
      </c>
      <c r="AP14" s="151">
        <f>IFERROR(VLOOKUP($V$2-1,$AF$97:$BB$108,13,0),0)</f>
        <v>0</v>
      </c>
      <c r="AQ14" s="151">
        <f>IFERROR(VLOOKUP($V$2-1,$AF$97:$BB$108,14,0),0)</f>
        <v>0</v>
      </c>
      <c r="AR14" s="151">
        <f>IFERROR(VLOOKUP($V$2-1,$AF$97:$BB$108,15,0),0)</f>
        <v>63</v>
      </c>
      <c r="AS14" s="151">
        <f>IFERROR(VLOOKUP($V$2-1,$AF$97:$BB$108,16,0),0)</f>
        <v>0</v>
      </c>
      <c r="AT14" s="151">
        <f>IFERROR(VLOOKUP($V$2-1,$AF$97:$BB$108,17,0),0)</f>
        <v>30</v>
      </c>
      <c r="AU14" s="151">
        <f>IFERROR(VLOOKUP($V$2-1,$AF$97:$BB$108,18,0),0)</f>
        <v>1755</v>
      </c>
      <c r="AV14" s="151">
        <f>IFERROR(VLOOKUP($V$2-1,$AF$97:$BB$108,19,0),0)</f>
        <v>277</v>
      </c>
      <c r="AW14" s="151">
        <f>IFERROR(VLOOKUP($V$2-1,$AF$97:$BB$108,20,0),0)</f>
        <v>0</v>
      </c>
      <c r="AX14" s="151">
        <f>IFERROR(VLOOKUP($V$2-1,$AF$97:$BB$108,21,0),0)</f>
        <v>0</v>
      </c>
      <c r="AY14" s="151">
        <f>IFERROR(VLOOKUP($V$2-1,$AF$97:$BB$108,22,0),0)</f>
        <v>0</v>
      </c>
      <c r="AZ14" s="151">
        <f>IFERROR(VLOOKUP($V$2-1,$AF$97:$BB$108,23,0),0)</f>
        <v>0</v>
      </c>
    </row>
    <row r="15" spans="1:52">
      <c r="B15" s="151" t="str">
        <f>英雄初始!A16</f>
        <v>亚龙</v>
      </c>
      <c r="E15" s="151" t="str">
        <f>进阶奖励!$A19</f>
        <v>蓝+1</v>
      </c>
      <c r="F15" s="151">
        <v>5</v>
      </c>
      <c r="G15" s="152">
        <f>VLOOKUP(英雄对比!$C$2,中介表格2!$H:$T,6,0)</f>
        <v>44</v>
      </c>
      <c r="H15" s="54" t="s">
        <v>168</v>
      </c>
      <c r="I15" s="51">
        <f>MAX(VLOOKUP(INDEX(英雄装备!$F:$BZ,MATCH($H15,英雄装备!$F:$F,0),MATCH(I$2,英雄装备!$1:$1,0)-5),装备属性!$A:$C,3,0),VLOOKUP(INDEX(英雄装备!$F:$BZ,MATCH($H15,英雄装备!$F:$F,0),MATCH(I$2,英雄装备!$1:$1,0)-4),装备属性!$A:$C,3,0),VLOOKUP(INDEX(英雄装备!$F:$BZ,MATCH($H15,英雄装备!$F:$F,0),MATCH(I$2,英雄装备!$1:$1,0)-3),装备属性!$A:$C,3,0),VLOOKUP(INDEX(英雄装备!$F:$BZ,MATCH($H15,英雄装备!$F:$F,0),MATCH(I$2,英雄装备!$1:$1,0)-2),装备属性!$A:$C,3,0),VLOOKUP(INDEX(英雄装备!$F:$BZ,MATCH($H15,英雄装备!$F:$F,0),MATCH(I$2,英雄装备!$1:$1,0)-1),装备属性!$A:$C,3,0),VLOOKUP(INDEX(英雄装备!$F:$BZ,MATCH($H15,英雄装备!$F:$F,0),MATCH(I$2,英雄装备!$1:$1,0)),装备属性!$A:$C,3,0))</f>
        <v>2</v>
      </c>
      <c r="J15" s="51">
        <f>MAX(VLOOKUP(INDEX(英雄装备!$F:$BZ,MATCH($H15,英雄装备!$F:$F,0),MATCH(J$2,英雄装备!$1:$1,0)-5),装备属性!$A:$C,3,0),VLOOKUP(INDEX(英雄装备!$F:$BZ,MATCH($H15,英雄装备!$F:$F,0),MATCH(J$2,英雄装备!$1:$1,0)-4),装备属性!$A:$C,3,0),VLOOKUP(INDEX(英雄装备!$F:$BZ,MATCH($H15,英雄装备!$F:$F,0),MATCH(J$2,英雄装备!$1:$1,0)-3),装备属性!$A:$C,3,0),VLOOKUP(INDEX(英雄装备!$F:$BZ,MATCH($H15,英雄装备!$F:$F,0),MATCH(J$2,英雄装备!$1:$1,0)-2),装备属性!$A:$C,3,0),VLOOKUP(INDEX(英雄装备!$F:$BZ,MATCH($H15,英雄装备!$F:$F,0),MATCH(J$2,英雄装备!$1:$1,0)-1),装备属性!$A:$C,3,0),VLOOKUP(INDEX(英雄装备!$F:$BZ,MATCH($H15,英雄装备!$F:$F,0),MATCH(J$2,英雄装备!$1:$1,0)),装备属性!$A:$C,3,0))</f>
        <v>12</v>
      </c>
      <c r="K15" s="51">
        <f>MAX(VLOOKUP(INDEX(英雄装备!$F:$BZ,MATCH($H15,英雄装备!$F:$F,0),MATCH(K$2,英雄装备!$1:$1,0)-5),装备属性!$A:$C,3,0),VLOOKUP(INDEX(英雄装备!$F:$BZ,MATCH($H15,英雄装备!$F:$F,0),MATCH(K$2,英雄装备!$1:$1,0)-4),装备属性!$A:$C,3,0),VLOOKUP(INDEX(英雄装备!$F:$BZ,MATCH($H15,英雄装备!$F:$F,0),MATCH(K$2,英雄装备!$1:$1,0)-3),装备属性!$A:$C,3,0),VLOOKUP(INDEX(英雄装备!$F:$BZ,MATCH($H15,英雄装备!$F:$F,0),MATCH(K$2,英雄装备!$1:$1,0)-2),装备属性!$A:$C,3,0),VLOOKUP(INDEX(英雄装备!$F:$BZ,MATCH($H15,英雄装备!$F:$F,0),MATCH(K$2,英雄装备!$1:$1,0)-1),装备属性!$A:$C,3,0),VLOOKUP(INDEX(英雄装备!$F:$BZ,MATCH($H15,英雄装备!$F:$F,0),MATCH(K$2,英雄装备!$1:$1,0)),装备属性!$A:$C,3,0))</f>
        <v>20</v>
      </c>
      <c r="L15" s="51">
        <f>MAX(VLOOKUP(INDEX(英雄装备!$F:$BZ,MATCH($H15,英雄装备!$F:$F,0),MATCH(L$2,英雄装备!$1:$1,0)-5),装备属性!$A:$C,3,0),VLOOKUP(INDEX(英雄装备!$F:$BZ,MATCH($H15,英雄装备!$F:$F,0),MATCH(L$2,英雄装备!$1:$1,0)-4),装备属性!$A:$C,3,0),VLOOKUP(INDEX(英雄装备!$F:$BZ,MATCH($H15,英雄装备!$F:$F,0),MATCH(L$2,英雄装备!$1:$1,0)-3),装备属性!$A:$C,3,0),VLOOKUP(INDEX(英雄装备!$F:$BZ,MATCH($H15,英雄装备!$F:$F,0),MATCH(L$2,英雄装备!$1:$1,0)-2),装备属性!$A:$C,3,0),VLOOKUP(INDEX(英雄装备!$F:$BZ,MATCH($H15,英雄装备!$F:$F,0),MATCH(L$2,英雄装备!$1:$1,0)-1),装备属性!$A:$C,3,0),VLOOKUP(INDEX(英雄装备!$F:$BZ,MATCH($H15,英雄装备!$F:$F,0),MATCH(L$2,英雄装备!$1:$1,0)),装备属性!$A:$C,3,0))</f>
        <v>35</v>
      </c>
      <c r="M15" s="51">
        <f>MAX(VLOOKUP(INDEX(英雄装备!$F:$BZ,MATCH($H15,英雄装备!$F:$F,0),MATCH(M$2,英雄装备!$1:$1,0)-5),装备属性!$A:$C,3,0),VLOOKUP(INDEX(英雄装备!$F:$BZ,MATCH($H15,英雄装备!$F:$F,0),MATCH(M$2,英雄装备!$1:$1,0)-4),装备属性!$A:$C,3,0),VLOOKUP(INDEX(英雄装备!$F:$BZ,MATCH($H15,英雄装备!$F:$F,0),MATCH(M$2,英雄装备!$1:$1,0)-3),装备属性!$A:$C,3,0),VLOOKUP(INDEX(英雄装备!$F:$BZ,MATCH($H15,英雄装备!$F:$F,0),MATCH(M$2,英雄装备!$1:$1,0)-2),装备属性!$A:$C,3,0),VLOOKUP(INDEX(英雄装备!$F:$BZ,MATCH($H15,英雄装备!$F:$F,0),MATCH(M$2,英雄装备!$1:$1,0)-1),装备属性!$A:$C,3,0),VLOOKUP(INDEX(英雄装备!$F:$BZ,MATCH($H15,英雄装备!$F:$F,0),MATCH(M$2,英雄装备!$1:$1,0)),装备属性!$A:$C,3,0))</f>
        <v>44</v>
      </c>
      <c r="N15" s="51">
        <f>MAX(VLOOKUP(INDEX(英雄装备!$F:$BZ,MATCH($H15,英雄装备!$F:$F,0),MATCH(N$2,英雄装备!$1:$1,0)-5),装备属性!$A:$C,3,0),VLOOKUP(INDEX(英雄装备!$F:$BZ,MATCH($H15,英雄装备!$F:$F,0),MATCH(N$2,英雄装备!$1:$1,0)-4),装备属性!$A:$C,3,0),VLOOKUP(INDEX(英雄装备!$F:$BZ,MATCH($H15,英雄装备!$F:$F,0),MATCH(N$2,英雄装备!$1:$1,0)-3),装备属性!$A:$C,3,0),VLOOKUP(INDEX(英雄装备!$F:$BZ,MATCH($H15,英雄装备!$F:$F,0),MATCH(N$2,英雄装备!$1:$1,0)-2),装备属性!$A:$C,3,0),VLOOKUP(INDEX(英雄装备!$F:$BZ,MATCH($H15,英雄装备!$F:$F,0),MATCH(N$2,英雄装备!$1:$1,0)-1),装备属性!$A:$C,3,0),VLOOKUP(INDEX(英雄装备!$F:$BZ,MATCH($H15,英雄装备!$F:$F,0),MATCH(N$2,英雄装备!$1:$1,0)),装备属性!$A:$C,3,0))</f>
        <v>51</v>
      </c>
      <c r="O15" s="51">
        <f>MAX(VLOOKUP(INDEX(英雄装备!$F:$BZ,MATCH($H15,英雄装备!$F:$F,0),MATCH(O$2,英雄装备!$1:$1,0)-5),装备属性!$A:$C,3,0),VLOOKUP(INDEX(英雄装备!$F:$BZ,MATCH($H15,英雄装备!$F:$F,0),MATCH(O$2,英雄装备!$1:$1,0)-4),装备属性!$A:$C,3,0),VLOOKUP(INDEX(英雄装备!$F:$BZ,MATCH($H15,英雄装备!$F:$F,0),MATCH(O$2,英雄装备!$1:$1,0)-3),装备属性!$A:$C,3,0),VLOOKUP(INDEX(英雄装备!$F:$BZ,MATCH($H15,英雄装备!$F:$F,0),MATCH(O$2,英雄装备!$1:$1,0)-2),装备属性!$A:$C,3,0),VLOOKUP(INDEX(英雄装备!$F:$BZ,MATCH($H15,英雄装备!$F:$F,0),MATCH(O$2,英雄装备!$1:$1,0)-1),装备属性!$A:$C,3,0),VLOOKUP(INDEX(英雄装备!$F:$BZ,MATCH($H15,英雄装备!$F:$F,0),MATCH(O$2,英雄装备!$1:$1,0)),装备属性!$A:$C,3,0))</f>
        <v>62</v>
      </c>
      <c r="P15" s="51">
        <f>MAX(VLOOKUP(INDEX(英雄装备!$F:$BZ,MATCH($H15,英雄装备!$F:$F,0),MATCH(P$2,英雄装备!$1:$1,0)-5),装备属性!$A:$C,3,0),VLOOKUP(INDEX(英雄装备!$F:$BZ,MATCH($H15,英雄装备!$F:$F,0),MATCH(P$2,英雄装备!$1:$1,0)-4),装备属性!$A:$C,3,0),VLOOKUP(INDEX(英雄装备!$F:$BZ,MATCH($H15,英雄装备!$F:$F,0),MATCH(P$2,英雄装备!$1:$1,0)-3),装备属性!$A:$C,3,0),VLOOKUP(INDEX(英雄装备!$F:$BZ,MATCH($H15,英雄装备!$F:$F,0),MATCH(P$2,英雄装备!$1:$1,0)-2),装备属性!$A:$C,3,0),VLOOKUP(INDEX(英雄装备!$F:$BZ,MATCH($H15,英雄装备!$F:$F,0),MATCH(P$2,英雄装备!$1:$1,0)-1),装备属性!$A:$C,3,0),VLOOKUP(INDEX(英雄装备!$F:$BZ,MATCH($H15,英雄装备!$F:$F,0),MATCH(P$2,英雄装备!$1:$1,0)),装备属性!$A:$C,3,0))</f>
        <v>73</v>
      </c>
      <c r="Q15" s="51">
        <f>MAX(VLOOKUP(INDEX(英雄装备!$F:$BZ,MATCH($H15,英雄装备!$F:$F,0),MATCH(Q$2,英雄装备!$1:$1,0)-5),装备属性!$A:$C,3,0),VLOOKUP(INDEX(英雄装备!$F:$BZ,MATCH($H15,英雄装备!$F:$F,0),MATCH(Q$2,英雄装备!$1:$1,0)-4),装备属性!$A:$C,3,0),VLOOKUP(INDEX(英雄装备!$F:$BZ,MATCH($H15,英雄装备!$F:$F,0),MATCH(Q$2,英雄装备!$1:$1,0)-3),装备属性!$A:$C,3,0),VLOOKUP(INDEX(英雄装备!$F:$BZ,MATCH($H15,英雄装备!$F:$F,0),MATCH(Q$2,英雄装备!$1:$1,0)-2),装备属性!$A:$C,3,0),VLOOKUP(INDEX(英雄装备!$F:$BZ,MATCH($H15,英雄装备!$F:$F,0),MATCH(Q$2,英雄装备!$1:$1,0)-1),装备属性!$A:$C,3,0),VLOOKUP(INDEX(英雄装备!$F:$BZ,MATCH($H15,英雄装备!$F:$F,0),MATCH(Q$2,英雄装备!$1:$1,0)),装备属性!$A:$C,3,0))</f>
        <v>79</v>
      </c>
      <c r="R15" s="51">
        <f>MAX(VLOOKUP(INDEX(英雄装备!$F:$BZ,MATCH($H15,英雄装备!$F:$F,0),MATCH(R$2,英雄装备!$1:$1,0)-5),装备属性!$A:$C,3,0),VLOOKUP(INDEX(英雄装备!$F:$BZ,MATCH($H15,英雄装备!$F:$F,0),MATCH(R$2,英雄装备!$1:$1,0)-4),装备属性!$A:$C,3,0),VLOOKUP(INDEX(英雄装备!$F:$BZ,MATCH($H15,英雄装备!$F:$F,0),MATCH(R$2,英雄装备!$1:$1,0)-3),装备属性!$A:$C,3,0),VLOOKUP(INDEX(英雄装备!$F:$BZ,MATCH($H15,英雄装备!$F:$F,0),MATCH(R$2,英雄装备!$1:$1,0)-2),装备属性!$A:$C,3,0),VLOOKUP(INDEX(英雄装备!$F:$BZ,MATCH($H15,英雄装备!$F:$F,0),MATCH(R$2,英雄装备!$1:$1,0)-1),装备属性!$A:$C,3,0),VLOOKUP(INDEX(英雄装备!$F:$BZ,MATCH($H15,英雄装备!$F:$F,0),MATCH(R$2,英雄装备!$1:$1,0)),装备属性!$A:$C,3,0))</f>
        <v>80</v>
      </c>
      <c r="S15" s="51">
        <f>MAX(VLOOKUP(INDEX(英雄装备!$F:$BZ,MATCH($H15,英雄装备!$F:$F,0),MATCH(S$2,英雄装备!$1:$1,0)-5),装备属性!$A:$C,3,0),VLOOKUP(INDEX(英雄装备!$F:$BZ,MATCH($H15,英雄装备!$F:$F,0),MATCH(S$2,英雄装备!$1:$1,0)-4),装备属性!$A:$C,3,0),VLOOKUP(INDEX(英雄装备!$F:$BZ,MATCH($H15,英雄装备!$F:$F,0),MATCH(S$2,英雄装备!$1:$1,0)-3),装备属性!$A:$C,3,0),VLOOKUP(INDEX(英雄装备!$F:$BZ,MATCH($H15,英雄装备!$F:$F,0),MATCH(S$2,英雄装备!$1:$1,0)-2),装备属性!$A:$C,3,0),VLOOKUP(INDEX(英雄装备!$F:$BZ,MATCH($H15,英雄装备!$F:$F,0),MATCH(S$2,英雄装备!$1:$1,0)-1),装备属性!$A:$C,3,0),VLOOKUP(INDEX(英雄装备!$F:$BZ,MATCH($H15,英雄装备!$F:$F,0),MATCH(S$2,英雄装备!$1:$1,0)),装备属性!$A:$C,3,0))</f>
        <v>84</v>
      </c>
      <c r="T15" s="51">
        <f>MAX(VLOOKUP(INDEX(英雄装备!$F:$BZ,MATCH($H15,英雄装备!$F:$F,0),MATCH(T$2,英雄装备!$1:$1,0)-5),装备属性!$A:$C,3,0),VLOOKUP(INDEX(英雄装备!$F:$BZ,MATCH($H15,英雄装备!$F:$F,0),MATCH(T$2,英雄装备!$1:$1,0)-4),装备属性!$A:$C,3,0),VLOOKUP(INDEX(英雄装备!$F:$BZ,MATCH($H15,英雄装备!$F:$F,0),MATCH(T$2,英雄装备!$1:$1,0)-3),装备属性!$A:$C,3,0),VLOOKUP(INDEX(英雄装备!$F:$BZ,MATCH($H15,英雄装备!$F:$F,0),MATCH(T$2,英雄装备!$1:$1,0)-2),装备属性!$A:$C,3,0),VLOOKUP(INDEX(英雄装备!$F:$BZ,MATCH($H15,英雄装备!$F:$F,0),MATCH(T$2,英雄装备!$1:$1,0)-1),装备属性!$A:$C,3,0))</f>
        <v>89</v>
      </c>
      <c r="W15" s="108">
        <f>IF($W2="",0,1)</f>
        <v>1</v>
      </c>
      <c r="X15" s="151">
        <f>IF(X2="暂无","暂无",IF(VLOOKUP(X2,装备属性!$A:$C,3,0)&gt;英雄对比!$C$4,0,1))</f>
        <v>1</v>
      </c>
      <c r="Y15" s="151">
        <f>IF(Y2="暂无","暂无",IF(VLOOKUP(Y2,装备属性!$A:$C,3,0)&gt;英雄对比!$C$4,0,1))</f>
        <v>1</v>
      </c>
      <c r="Z15" s="151">
        <f>IF(Z2="暂无","暂无",IF(VLOOKUP(Z2,装备属性!$A:$C,3,0)&gt;英雄对比!$C$4,0,1))</f>
        <v>1</v>
      </c>
      <c r="AA15" s="151">
        <f>IF(AA2="暂无","暂无",IF(VLOOKUP(AA2,装备属性!$A:$C,3,0)&gt;英雄对比!$C$4,0,1))</f>
        <v>1</v>
      </c>
      <c r="AB15" s="151">
        <f>IF(AB2="暂无","暂无",IF(VLOOKUP(AB2,装备属性!$A:$C,3,0)&gt;英雄对比!$C$4,0,1))</f>
        <v>1</v>
      </c>
      <c r="AC15" s="151">
        <f>IF(AC2="暂无","暂无",IF(VLOOKUP(AC2,装备属性!$A:$C,3,0)&gt;英雄对比!$C$4,0,1))</f>
        <v>1</v>
      </c>
    </row>
    <row r="16" spans="1:52">
      <c r="B16" s="151" t="str">
        <f>英雄初始!A17</f>
        <v>直升机</v>
      </c>
      <c r="E16" s="151" t="str">
        <f>进阶奖励!$A20</f>
        <v>蓝+2</v>
      </c>
      <c r="F16" s="151">
        <v>6</v>
      </c>
      <c r="G16" s="152">
        <f>VLOOKUP(英雄对比!$C$2,中介表格2!$H:$T,7,0)</f>
        <v>53</v>
      </c>
      <c r="H16" s="54" t="s">
        <v>169</v>
      </c>
      <c r="I16" s="51">
        <f>MAX(VLOOKUP(INDEX(英雄装备!$F:$BZ,MATCH($H16,英雄装备!$F:$F,0),MATCH(I$2,英雄装备!$1:$1,0)-5),装备属性!$A:$C,3,0),VLOOKUP(INDEX(英雄装备!$F:$BZ,MATCH($H16,英雄装备!$F:$F,0),MATCH(I$2,英雄装备!$1:$1,0)-4),装备属性!$A:$C,3,0),VLOOKUP(INDEX(英雄装备!$F:$BZ,MATCH($H16,英雄装备!$F:$F,0),MATCH(I$2,英雄装备!$1:$1,0)-3),装备属性!$A:$C,3,0),VLOOKUP(INDEX(英雄装备!$F:$BZ,MATCH($H16,英雄装备!$F:$F,0),MATCH(I$2,英雄装备!$1:$1,0)-2),装备属性!$A:$C,3,0),VLOOKUP(INDEX(英雄装备!$F:$BZ,MATCH($H16,英雄装备!$F:$F,0),MATCH(I$2,英雄装备!$1:$1,0)-1),装备属性!$A:$C,3,0),VLOOKUP(INDEX(英雄装备!$F:$BZ,MATCH($H16,英雄装备!$F:$F,0),MATCH(I$2,英雄装备!$1:$1,0)),装备属性!$A:$C,3,0))</f>
        <v>2</v>
      </c>
      <c r="J16" s="51">
        <f>MAX(VLOOKUP(INDEX(英雄装备!$F:$BZ,MATCH($H16,英雄装备!$F:$F,0),MATCH(J$2,英雄装备!$1:$1,0)-5),装备属性!$A:$C,3,0),VLOOKUP(INDEX(英雄装备!$F:$BZ,MATCH($H16,英雄装备!$F:$F,0),MATCH(J$2,英雄装备!$1:$1,0)-4),装备属性!$A:$C,3,0),VLOOKUP(INDEX(英雄装备!$F:$BZ,MATCH($H16,英雄装备!$F:$F,0),MATCH(J$2,英雄装备!$1:$1,0)-3),装备属性!$A:$C,3,0),VLOOKUP(INDEX(英雄装备!$F:$BZ,MATCH($H16,英雄装备!$F:$F,0),MATCH(J$2,英雄装备!$1:$1,0)-2),装备属性!$A:$C,3,0),VLOOKUP(INDEX(英雄装备!$F:$BZ,MATCH($H16,英雄装备!$F:$F,0),MATCH(J$2,英雄装备!$1:$1,0)-1),装备属性!$A:$C,3,0),VLOOKUP(INDEX(英雄装备!$F:$BZ,MATCH($H16,英雄装备!$F:$F,0),MATCH(J$2,英雄装备!$1:$1,0)),装备属性!$A:$C,3,0))</f>
        <v>11</v>
      </c>
      <c r="K16" s="51">
        <f>MAX(VLOOKUP(INDEX(英雄装备!$F:$BZ,MATCH($H16,英雄装备!$F:$F,0),MATCH(K$2,英雄装备!$1:$1,0)-5),装备属性!$A:$C,3,0),VLOOKUP(INDEX(英雄装备!$F:$BZ,MATCH($H16,英雄装备!$F:$F,0),MATCH(K$2,英雄装备!$1:$1,0)-4),装备属性!$A:$C,3,0),VLOOKUP(INDEX(英雄装备!$F:$BZ,MATCH($H16,英雄装备!$F:$F,0),MATCH(K$2,英雄装备!$1:$1,0)-3),装备属性!$A:$C,3,0),VLOOKUP(INDEX(英雄装备!$F:$BZ,MATCH($H16,英雄装备!$F:$F,0),MATCH(K$2,英雄装备!$1:$1,0)-2),装备属性!$A:$C,3,0),VLOOKUP(INDEX(英雄装备!$F:$BZ,MATCH($H16,英雄装备!$F:$F,0),MATCH(K$2,英雄装备!$1:$1,0)-1),装备属性!$A:$C,3,0),VLOOKUP(INDEX(英雄装备!$F:$BZ,MATCH($H16,英雄装备!$F:$F,0),MATCH(K$2,英雄装备!$1:$1,0)),装备属性!$A:$C,3,0))</f>
        <v>20</v>
      </c>
      <c r="L16" s="51">
        <f>MAX(VLOOKUP(INDEX(英雄装备!$F:$BZ,MATCH($H16,英雄装备!$F:$F,0),MATCH(L$2,英雄装备!$1:$1,0)-5),装备属性!$A:$C,3,0),VLOOKUP(INDEX(英雄装备!$F:$BZ,MATCH($H16,英雄装备!$F:$F,0),MATCH(L$2,英雄装备!$1:$1,0)-4),装备属性!$A:$C,3,0),VLOOKUP(INDEX(英雄装备!$F:$BZ,MATCH($H16,英雄装备!$F:$F,0),MATCH(L$2,英雄装备!$1:$1,0)-3),装备属性!$A:$C,3,0),VLOOKUP(INDEX(英雄装备!$F:$BZ,MATCH($H16,英雄装备!$F:$F,0),MATCH(L$2,英雄装备!$1:$1,0)-2),装备属性!$A:$C,3,0),VLOOKUP(INDEX(英雄装备!$F:$BZ,MATCH($H16,英雄装备!$F:$F,0),MATCH(L$2,英雄装备!$1:$1,0)-1),装备属性!$A:$C,3,0),VLOOKUP(INDEX(英雄装备!$F:$BZ,MATCH($H16,英雄装备!$F:$F,0),MATCH(L$2,英雄装备!$1:$1,0)),装备属性!$A:$C,3,0))</f>
        <v>34</v>
      </c>
      <c r="M16" s="51">
        <f>MAX(VLOOKUP(INDEX(英雄装备!$F:$BZ,MATCH($H16,英雄装备!$F:$F,0),MATCH(M$2,英雄装备!$1:$1,0)-5),装备属性!$A:$C,3,0),VLOOKUP(INDEX(英雄装备!$F:$BZ,MATCH($H16,英雄装备!$F:$F,0),MATCH(M$2,英雄装备!$1:$1,0)-4),装备属性!$A:$C,3,0),VLOOKUP(INDEX(英雄装备!$F:$BZ,MATCH($H16,英雄装备!$F:$F,0),MATCH(M$2,英雄装备!$1:$1,0)-3),装备属性!$A:$C,3,0),VLOOKUP(INDEX(英雄装备!$F:$BZ,MATCH($H16,英雄装备!$F:$F,0),MATCH(M$2,英雄装备!$1:$1,0)-2),装备属性!$A:$C,3,0),VLOOKUP(INDEX(英雄装备!$F:$BZ,MATCH($H16,英雄装备!$F:$F,0),MATCH(M$2,英雄装备!$1:$1,0)-1),装备属性!$A:$C,3,0),VLOOKUP(INDEX(英雄装备!$F:$BZ,MATCH($H16,英雄装备!$F:$F,0),MATCH(M$2,英雄装备!$1:$1,0)),装备属性!$A:$C,3,0))</f>
        <v>43</v>
      </c>
      <c r="N16" s="51">
        <f>MAX(VLOOKUP(INDEX(英雄装备!$F:$BZ,MATCH($H16,英雄装备!$F:$F,0),MATCH(N$2,英雄装备!$1:$1,0)-5),装备属性!$A:$C,3,0),VLOOKUP(INDEX(英雄装备!$F:$BZ,MATCH($H16,英雄装备!$F:$F,0),MATCH(N$2,英雄装备!$1:$1,0)-4),装备属性!$A:$C,3,0),VLOOKUP(INDEX(英雄装备!$F:$BZ,MATCH($H16,英雄装备!$F:$F,0),MATCH(N$2,英雄装备!$1:$1,0)-3),装备属性!$A:$C,3,0),VLOOKUP(INDEX(英雄装备!$F:$BZ,MATCH($H16,英雄装备!$F:$F,0),MATCH(N$2,英雄装备!$1:$1,0)-2),装备属性!$A:$C,3,0),VLOOKUP(INDEX(英雄装备!$F:$BZ,MATCH($H16,英雄装备!$F:$F,0),MATCH(N$2,英雄装备!$1:$1,0)-1),装备属性!$A:$C,3,0),VLOOKUP(INDEX(英雄装备!$F:$BZ,MATCH($H16,英雄装备!$F:$F,0),MATCH(N$2,英雄装备!$1:$1,0)),装备属性!$A:$C,3,0))</f>
        <v>53</v>
      </c>
      <c r="O16" s="51">
        <f>MAX(VLOOKUP(INDEX(英雄装备!$F:$BZ,MATCH($H16,英雄装备!$F:$F,0),MATCH(O$2,英雄装备!$1:$1,0)-5),装备属性!$A:$C,3,0),VLOOKUP(INDEX(英雄装备!$F:$BZ,MATCH($H16,英雄装备!$F:$F,0),MATCH(O$2,英雄装备!$1:$1,0)-4),装备属性!$A:$C,3,0),VLOOKUP(INDEX(英雄装备!$F:$BZ,MATCH($H16,英雄装备!$F:$F,0),MATCH(O$2,英雄装备!$1:$1,0)-3),装备属性!$A:$C,3,0),VLOOKUP(INDEX(英雄装备!$F:$BZ,MATCH($H16,英雄装备!$F:$F,0),MATCH(O$2,英雄装备!$1:$1,0)-2),装备属性!$A:$C,3,0),VLOOKUP(INDEX(英雄装备!$F:$BZ,MATCH($H16,英雄装备!$F:$F,0),MATCH(O$2,英雄装备!$1:$1,0)-1),装备属性!$A:$C,3,0),VLOOKUP(INDEX(英雄装备!$F:$BZ,MATCH($H16,英雄装备!$F:$F,0),MATCH(O$2,英雄装备!$1:$1,0)),装备属性!$A:$C,3,0))</f>
        <v>64</v>
      </c>
      <c r="P16" s="51">
        <f>MAX(VLOOKUP(INDEX(英雄装备!$F:$BZ,MATCH($H16,英雄装备!$F:$F,0),MATCH(P$2,英雄装备!$1:$1,0)-5),装备属性!$A:$C,3,0),VLOOKUP(INDEX(英雄装备!$F:$BZ,MATCH($H16,英雄装备!$F:$F,0),MATCH(P$2,英雄装备!$1:$1,0)-4),装备属性!$A:$C,3,0),VLOOKUP(INDEX(英雄装备!$F:$BZ,MATCH($H16,英雄装备!$F:$F,0),MATCH(P$2,英雄装备!$1:$1,0)-3),装备属性!$A:$C,3,0),VLOOKUP(INDEX(英雄装备!$F:$BZ,MATCH($H16,英雄装备!$F:$F,0),MATCH(P$2,英雄装备!$1:$1,0)-2),装备属性!$A:$C,3,0),VLOOKUP(INDEX(英雄装备!$F:$BZ,MATCH($H16,英雄装备!$F:$F,0),MATCH(P$2,英雄装备!$1:$1,0)-1),装备属性!$A:$C,3,0),VLOOKUP(INDEX(英雄装备!$F:$BZ,MATCH($H16,英雄装备!$F:$F,0),MATCH(P$2,英雄装备!$1:$1,0)),装备属性!$A:$C,3,0))</f>
        <v>73</v>
      </c>
      <c r="Q16" s="51">
        <f>MAX(VLOOKUP(INDEX(英雄装备!$F:$BZ,MATCH($H16,英雄装备!$F:$F,0),MATCH(Q$2,英雄装备!$1:$1,0)-5),装备属性!$A:$C,3,0),VLOOKUP(INDEX(英雄装备!$F:$BZ,MATCH($H16,英雄装备!$F:$F,0),MATCH(Q$2,英雄装备!$1:$1,0)-4),装备属性!$A:$C,3,0),VLOOKUP(INDEX(英雄装备!$F:$BZ,MATCH($H16,英雄装备!$F:$F,0),MATCH(Q$2,英雄装备!$1:$1,0)-3),装备属性!$A:$C,3,0),VLOOKUP(INDEX(英雄装备!$F:$BZ,MATCH($H16,英雄装备!$F:$F,0),MATCH(Q$2,英雄装备!$1:$1,0)-2),装备属性!$A:$C,3,0),VLOOKUP(INDEX(英雄装备!$F:$BZ,MATCH($H16,英雄装备!$F:$F,0),MATCH(Q$2,英雄装备!$1:$1,0)-1),装备属性!$A:$C,3,0),VLOOKUP(INDEX(英雄装备!$F:$BZ,MATCH($H16,英雄装备!$F:$F,0),MATCH(Q$2,英雄装备!$1:$1,0)),装备属性!$A:$C,3,0))</f>
        <v>78</v>
      </c>
      <c r="R16" s="51">
        <f>MAX(VLOOKUP(INDEX(英雄装备!$F:$BZ,MATCH($H16,英雄装备!$F:$F,0),MATCH(R$2,英雄装备!$1:$1,0)-5),装备属性!$A:$C,3,0),VLOOKUP(INDEX(英雄装备!$F:$BZ,MATCH($H16,英雄装备!$F:$F,0),MATCH(R$2,英雄装备!$1:$1,0)-4),装备属性!$A:$C,3,0),VLOOKUP(INDEX(英雄装备!$F:$BZ,MATCH($H16,英雄装备!$F:$F,0),MATCH(R$2,英雄装备!$1:$1,0)-3),装备属性!$A:$C,3,0),VLOOKUP(INDEX(英雄装备!$F:$BZ,MATCH($H16,英雄装备!$F:$F,0),MATCH(R$2,英雄装备!$1:$1,0)-2),装备属性!$A:$C,3,0),VLOOKUP(INDEX(英雄装备!$F:$BZ,MATCH($H16,英雄装备!$F:$F,0),MATCH(R$2,英雄装备!$1:$1,0)-1),装备属性!$A:$C,3,0),VLOOKUP(INDEX(英雄装备!$F:$BZ,MATCH($H16,英雄装备!$F:$F,0),MATCH(R$2,英雄装备!$1:$1,0)),装备属性!$A:$C,3,0))</f>
        <v>79</v>
      </c>
      <c r="S16" s="51">
        <f>MAX(VLOOKUP(INDEX(英雄装备!$F:$BZ,MATCH($H16,英雄装备!$F:$F,0),MATCH(S$2,英雄装备!$1:$1,0)-5),装备属性!$A:$C,3,0),VLOOKUP(INDEX(英雄装备!$F:$BZ,MATCH($H16,英雄装备!$F:$F,0),MATCH(S$2,英雄装备!$1:$1,0)-4),装备属性!$A:$C,3,0),VLOOKUP(INDEX(英雄装备!$F:$BZ,MATCH($H16,英雄装备!$F:$F,0),MATCH(S$2,英雄装备!$1:$1,0)-3),装备属性!$A:$C,3,0),VLOOKUP(INDEX(英雄装备!$F:$BZ,MATCH($H16,英雄装备!$F:$F,0),MATCH(S$2,英雄装备!$1:$1,0)-2),装备属性!$A:$C,3,0),VLOOKUP(INDEX(英雄装备!$F:$BZ,MATCH($H16,英雄装备!$F:$F,0),MATCH(S$2,英雄装备!$1:$1,0)-1),装备属性!$A:$C,3,0),VLOOKUP(INDEX(英雄装备!$F:$BZ,MATCH($H16,英雄装备!$F:$F,0),MATCH(S$2,英雄装备!$1:$1,0)),装备属性!$A:$C,3,0))</f>
        <v>85</v>
      </c>
      <c r="T16" s="51">
        <f>MAX(VLOOKUP(INDEX(英雄装备!$F:$BZ,MATCH($H16,英雄装备!$F:$F,0),MATCH(T$2,英雄装备!$1:$1,0)-5),装备属性!$A:$C,3,0),VLOOKUP(INDEX(英雄装备!$F:$BZ,MATCH($H16,英雄装备!$F:$F,0),MATCH(T$2,英雄装备!$1:$1,0)-4),装备属性!$A:$C,3,0),VLOOKUP(INDEX(英雄装备!$F:$BZ,MATCH($H16,英雄装备!$F:$F,0),MATCH(T$2,英雄装备!$1:$1,0)-3),装备属性!$A:$C,3,0),VLOOKUP(INDEX(英雄装备!$F:$BZ,MATCH($H16,英雄装备!$F:$F,0),MATCH(T$2,英雄装备!$1:$1,0)-2),装备属性!$A:$C,3,0),VLOOKUP(INDEX(英雄装备!$F:$BZ,MATCH($H16,英雄装备!$F:$F,0),MATCH(T$2,英雄装备!$1:$1,0)-1),装备属性!$A:$C,3,0))</f>
        <v>87</v>
      </c>
      <c r="W16" s="108">
        <f t="shared" si="3"/>
        <v>1</v>
      </c>
      <c r="X16" s="151">
        <f>IF(X3="暂无","暂无",IF(VLOOKUP(X3,装备属性!$A:$C,3,0)&gt;英雄对比!$C$4,0,1))</f>
        <v>1</v>
      </c>
      <c r="Y16" s="151">
        <f>IF(Y3="暂无","暂无",IF(VLOOKUP(Y3,装备属性!$A:$C,3,0)&gt;英雄对比!$C$4,0,1))</f>
        <v>1</v>
      </c>
      <c r="Z16" s="151">
        <f>IF(Z3="暂无","暂无",IF(VLOOKUP(Z3,装备属性!$A:$C,3,0)&gt;英雄对比!$C$4,0,1))</f>
        <v>1</v>
      </c>
      <c r="AA16" s="151">
        <f>IF(AA3="暂无","暂无",IF(VLOOKUP(AA3,装备属性!$A:$C,3,0)&gt;英雄对比!$C$4,0,1))</f>
        <v>1</v>
      </c>
      <c r="AB16" s="151">
        <f>IF(AB3="暂无","暂无",IF(VLOOKUP(AB3,装备属性!$A:$C,3,0)&gt;英雄对比!$C$4,0,1))</f>
        <v>1</v>
      </c>
      <c r="AC16" s="151">
        <f>IF(AC3="暂无","暂无",IF(VLOOKUP(AC3,装备属性!$A:$C,3,0)&gt;英雄对比!$C$4,0,1))</f>
        <v>1</v>
      </c>
      <c r="AG16" s="234" t="s">
        <v>1099</v>
      </c>
      <c r="AH16" s="232" t="s">
        <v>203</v>
      </c>
      <c r="AI16" s="232" t="s">
        <v>3</v>
      </c>
      <c r="AJ16" s="232">
        <f>$AF$7+(英雄对比!$C$4-1)*英雄对比!$M$4+VLOOKUP(英雄对比!$C$5,进阶奖励!$A$15:$D$26,2,0)</f>
        <v>688</v>
      </c>
      <c r="AK16" s="232" t="s">
        <v>4</v>
      </c>
      <c r="AL16" s="232">
        <f>$AF$8+(英雄对比!$C$4-1)*英雄对比!$M$5+VLOOKUP(英雄对比!$C$5,进阶奖励!$A$15:$D$26,3,0)</f>
        <v>845</v>
      </c>
      <c r="AM16" s="232" t="s">
        <v>5</v>
      </c>
      <c r="AN16" s="232">
        <f>$AF$9+(英雄对比!$C$4-1)*英雄对比!$M$6+VLOOKUP(英雄对比!$C$5,进阶奖励!$A$15:$D$26,4,0)</f>
        <v>378</v>
      </c>
    </row>
    <row r="17" spans="2:54">
      <c r="B17" s="151" t="str">
        <f>英雄初始!A18</f>
        <v>复仇</v>
      </c>
      <c r="E17" s="151" t="str">
        <f>进阶奖励!$A21</f>
        <v>紫</v>
      </c>
      <c r="F17" s="151">
        <v>7</v>
      </c>
      <c r="G17" s="152">
        <f>VLOOKUP(英雄对比!$C$2,中介表格2!$H:$T,8,0)</f>
        <v>59</v>
      </c>
      <c r="H17" s="54" t="s">
        <v>170</v>
      </c>
      <c r="I17" s="51">
        <f>MAX(VLOOKUP(INDEX(英雄装备!$F:$BZ,MATCH($H17,英雄装备!$F:$F,0),MATCH(I$2,英雄装备!$1:$1,0)-5),装备属性!$A:$C,3,0),VLOOKUP(INDEX(英雄装备!$F:$BZ,MATCH($H17,英雄装备!$F:$F,0),MATCH(I$2,英雄装备!$1:$1,0)-4),装备属性!$A:$C,3,0),VLOOKUP(INDEX(英雄装备!$F:$BZ,MATCH($H17,英雄装备!$F:$F,0),MATCH(I$2,英雄装备!$1:$1,0)-3),装备属性!$A:$C,3,0),VLOOKUP(INDEX(英雄装备!$F:$BZ,MATCH($H17,英雄装备!$F:$F,0),MATCH(I$2,英雄装备!$1:$1,0)-2),装备属性!$A:$C,3,0),VLOOKUP(INDEX(英雄装备!$F:$BZ,MATCH($H17,英雄装备!$F:$F,0),MATCH(I$2,英雄装备!$1:$1,0)-1),装备属性!$A:$C,3,0),VLOOKUP(INDEX(英雄装备!$F:$BZ,MATCH($H17,英雄装备!$F:$F,0),MATCH(I$2,英雄装备!$1:$1,0)),装备属性!$A:$C,3,0))</f>
        <v>2</v>
      </c>
      <c r="J17" s="51">
        <f>MAX(VLOOKUP(INDEX(英雄装备!$F:$BZ,MATCH($H17,英雄装备!$F:$F,0),MATCH(J$2,英雄装备!$1:$1,0)-5),装备属性!$A:$C,3,0),VLOOKUP(INDEX(英雄装备!$F:$BZ,MATCH($H17,英雄装备!$F:$F,0),MATCH(J$2,英雄装备!$1:$1,0)-4),装备属性!$A:$C,3,0),VLOOKUP(INDEX(英雄装备!$F:$BZ,MATCH($H17,英雄装备!$F:$F,0),MATCH(J$2,英雄装备!$1:$1,0)-3),装备属性!$A:$C,3,0),VLOOKUP(INDEX(英雄装备!$F:$BZ,MATCH($H17,英雄装备!$F:$F,0),MATCH(J$2,英雄装备!$1:$1,0)-2),装备属性!$A:$C,3,0),VLOOKUP(INDEX(英雄装备!$F:$BZ,MATCH($H17,英雄装备!$F:$F,0),MATCH(J$2,英雄装备!$1:$1,0)-1),装备属性!$A:$C,3,0),VLOOKUP(INDEX(英雄装备!$F:$BZ,MATCH($H17,英雄装备!$F:$F,0),MATCH(J$2,英雄装备!$1:$1,0)),装备属性!$A:$C,3,0))</f>
        <v>12</v>
      </c>
      <c r="K17" s="51">
        <f>MAX(VLOOKUP(INDEX(英雄装备!$F:$BZ,MATCH($H17,英雄装备!$F:$F,0),MATCH(K$2,英雄装备!$1:$1,0)-5),装备属性!$A:$C,3,0),VLOOKUP(INDEX(英雄装备!$F:$BZ,MATCH($H17,英雄装备!$F:$F,0),MATCH(K$2,英雄装备!$1:$1,0)-4),装备属性!$A:$C,3,0),VLOOKUP(INDEX(英雄装备!$F:$BZ,MATCH($H17,英雄装备!$F:$F,0),MATCH(K$2,英雄装备!$1:$1,0)-3),装备属性!$A:$C,3,0),VLOOKUP(INDEX(英雄装备!$F:$BZ,MATCH($H17,英雄装备!$F:$F,0),MATCH(K$2,英雄装备!$1:$1,0)-2),装备属性!$A:$C,3,0),VLOOKUP(INDEX(英雄装备!$F:$BZ,MATCH($H17,英雄装备!$F:$F,0),MATCH(K$2,英雄装备!$1:$1,0)-1),装备属性!$A:$C,3,0),VLOOKUP(INDEX(英雄装备!$F:$BZ,MATCH($H17,英雄装备!$F:$F,0),MATCH(K$2,英雄装备!$1:$1,0)),装备属性!$A:$C,3,0))</f>
        <v>22</v>
      </c>
      <c r="L17" s="51">
        <f>MAX(VLOOKUP(INDEX(英雄装备!$F:$BZ,MATCH($H17,英雄装备!$F:$F,0),MATCH(L$2,英雄装备!$1:$1,0)-5),装备属性!$A:$C,3,0),VLOOKUP(INDEX(英雄装备!$F:$BZ,MATCH($H17,英雄装备!$F:$F,0),MATCH(L$2,英雄装备!$1:$1,0)-4),装备属性!$A:$C,3,0),VLOOKUP(INDEX(英雄装备!$F:$BZ,MATCH($H17,英雄装备!$F:$F,0),MATCH(L$2,英雄装备!$1:$1,0)-3),装备属性!$A:$C,3,0),VLOOKUP(INDEX(英雄装备!$F:$BZ,MATCH($H17,英雄装备!$F:$F,0),MATCH(L$2,英雄装备!$1:$1,0)-2),装备属性!$A:$C,3,0),VLOOKUP(INDEX(英雄装备!$F:$BZ,MATCH($H17,英雄装备!$F:$F,0),MATCH(L$2,英雄装备!$1:$1,0)-1),装备属性!$A:$C,3,0),VLOOKUP(INDEX(英雄装备!$F:$BZ,MATCH($H17,英雄装备!$F:$F,0),MATCH(L$2,英雄装备!$1:$1,0)),装备属性!$A:$C,3,0))</f>
        <v>34</v>
      </c>
      <c r="M17" s="51">
        <f>MAX(VLOOKUP(INDEX(英雄装备!$F:$BZ,MATCH($H17,英雄装备!$F:$F,0),MATCH(M$2,英雄装备!$1:$1,0)-5),装备属性!$A:$C,3,0),VLOOKUP(INDEX(英雄装备!$F:$BZ,MATCH($H17,英雄装备!$F:$F,0),MATCH(M$2,英雄装备!$1:$1,0)-4),装备属性!$A:$C,3,0),VLOOKUP(INDEX(英雄装备!$F:$BZ,MATCH($H17,英雄装备!$F:$F,0),MATCH(M$2,英雄装备!$1:$1,0)-3),装备属性!$A:$C,3,0),VLOOKUP(INDEX(英雄装备!$F:$BZ,MATCH($H17,英雄装备!$F:$F,0),MATCH(M$2,英雄装备!$1:$1,0)-2),装备属性!$A:$C,3,0),VLOOKUP(INDEX(英雄装备!$F:$BZ,MATCH($H17,英雄装备!$F:$F,0),MATCH(M$2,英雄装备!$1:$1,0)-1),装备属性!$A:$C,3,0),VLOOKUP(INDEX(英雄装备!$F:$BZ,MATCH($H17,英雄装备!$F:$F,0),MATCH(M$2,英雄装备!$1:$1,0)),装备属性!$A:$C,3,0))</f>
        <v>42</v>
      </c>
      <c r="N17" s="51">
        <f>MAX(VLOOKUP(INDEX(英雄装备!$F:$BZ,MATCH($H17,英雄装备!$F:$F,0),MATCH(N$2,英雄装备!$1:$1,0)-5),装备属性!$A:$C,3,0),VLOOKUP(INDEX(英雄装备!$F:$BZ,MATCH($H17,英雄装备!$F:$F,0),MATCH(N$2,英雄装备!$1:$1,0)-4),装备属性!$A:$C,3,0),VLOOKUP(INDEX(英雄装备!$F:$BZ,MATCH($H17,英雄装备!$F:$F,0),MATCH(N$2,英雄装备!$1:$1,0)-3),装备属性!$A:$C,3,0),VLOOKUP(INDEX(英雄装备!$F:$BZ,MATCH($H17,英雄装备!$F:$F,0),MATCH(N$2,英雄装备!$1:$1,0)-2),装备属性!$A:$C,3,0),VLOOKUP(INDEX(英雄装备!$F:$BZ,MATCH($H17,英雄装备!$F:$F,0),MATCH(N$2,英雄装备!$1:$1,0)-1),装备属性!$A:$C,3,0),VLOOKUP(INDEX(英雄装备!$F:$BZ,MATCH($H17,英雄装备!$F:$F,0),MATCH(N$2,英雄装备!$1:$1,0)),装备属性!$A:$C,3,0))</f>
        <v>50</v>
      </c>
      <c r="O17" s="51">
        <f>MAX(VLOOKUP(INDEX(英雄装备!$F:$BZ,MATCH($H17,英雄装备!$F:$F,0),MATCH(O$2,英雄装备!$1:$1,0)-5),装备属性!$A:$C,3,0),VLOOKUP(INDEX(英雄装备!$F:$BZ,MATCH($H17,英雄装备!$F:$F,0),MATCH(O$2,英雄装备!$1:$1,0)-4),装备属性!$A:$C,3,0),VLOOKUP(INDEX(英雄装备!$F:$BZ,MATCH($H17,英雄装备!$F:$F,0),MATCH(O$2,英雄装备!$1:$1,0)-3),装备属性!$A:$C,3,0),VLOOKUP(INDEX(英雄装备!$F:$BZ,MATCH($H17,英雄装备!$F:$F,0),MATCH(O$2,英雄装备!$1:$1,0)-2),装备属性!$A:$C,3,0),VLOOKUP(INDEX(英雄装备!$F:$BZ,MATCH($H17,英雄装备!$F:$F,0),MATCH(O$2,英雄装备!$1:$1,0)-1),装备属性!$A:$C,3,0),VLOOKUP(INDEX(英雄装备!$F:$BZ,MATCH($H17,英雄装备!$F:$F,0),MATCH(O$2,英雄装备!$1:$1,0)),装备属性!$A:$C,3,0))</f>
        <v>64</v>
      </c>
      <c r="P17" s="51">
        <f>MAX(VLOOKUP(INDEX(英雄装备!$F:$BZ,MATCH($H17,英雄装备!$F:$F,0),MATCH(P$2,英雄装备!$1:$1,0)-5),装备属性!$A:$C,3,0),VLOOKUP(INDEX(英雄装备!$F:$BZ,MATCH($H17,英雄装备!$F:$F,0),MATCH(P$2,英雄装备!$1:$1,0)-4),装备属性!$A:$C,3,0),VLOOKUP(INDEX(英雄装备!$F:$BZ,MATCH($H17,英雄装备!$F:$F,0),MATCH(P$2,英雄装备!$1:$1,0)-3),装备属性!$A:$C,3,0),VLOOKUP(INDEX(英雄装备!$F:$BZ,MATCH($H17,英雄装备!$F:$F,0),MATCH(P$2,英雄装备!$1:$1,0)-2),装备属性!$A:$C,3,0),VLOOKUP(INDEX(英雄装备!$F:$BZ,MATCH($H17,英雄装备!$F:$F,0),MATCH(P$2,英雄装备!$1:$1,0)-1),装备属性!$A:$C,3,0),VLOOKUP(INDEX(英雄装备!$F:$BZ,MATCH($H17,英雄装备!$F:$F,0),MATCH(P$2,英雄装备!$1:$1,0)),装备属性!$A:$C,3,0))</f>
        <v>70</v>
      </c>
      <c r="Q17" s="51">
        <f>MAX(VLOOKUP(INDEX(英雄装备!$F:$BZ,MATCH($H17,英雄装备!$F:$F,0),MATCH(Q$2,英雄装备!$1:$1,0)-5),装备属性!$A:$C,3,0),VLOOKUP(INDEX(英雄装备!$F:$BZ,MATCH($H17,英雄装备!$F:$F,0),MATCH(Q$2,英雄装备!$1:$1,0)-4),装备属性!$A:$C,3,0),VLOOKUP(INDEX(英雄装备!$F:$BZ,MATCH($H17,英雄装备!$F:$F,0),MATCH(Q$2,英雄装备!$1:$1,0)-3),装备属性!$A:$C,3,0),VLOOKUP(INDEX(英雄装备!$F:$BZ,MATCH($H17,英雄装备!$F:$F,0),MATCH(Q$2,英雄装备!$1:$1,0)-2),装备属性!$A:$C,3,0),VLOOKUP(INDEX(英雄装备!$F:$BZ,MATCH($H17,英雄装备!$F:$F,0),MATCH(Q$2,英雄装备!$1:$1,0)-1),装备属性!$A:$C,3,0),VLOOKUP(INDEX(英雄装备!$F:$BZ,MATCH($H17,英雄装备!$F:$F,0),MATCH(Q$2,英雄装备!$1:$1,0)),装备属性!$A:$C,3,0))</f>
        <v>80</v>
      </c>
      <c r="R17" s="51">
        <f>MAX(VLOOKUP(INDEX(英雄装备!$F:$BZ,MATCH($H17,英雄装备!$F:$F,0),MATCH(R$2,英雄装备!$1:$1,0)-5),装备属性!$A:$C,3,0),VLOOKUP(INDEX(英雄装备!$F:$BZ,MATCH($H17,英雄装备!$F:$F,0),MATCH(R$2,英雄装备!$1:$1,0)-4),装备属性!$A:$C,3,0),VLOOKUP(INDEX(英雄装备!$F:$BZ,MATCH($H17,英雄装备!$F:$F,0),MATCH(R$2,英雄装备!$1:$1,0)-3),装备属性!$A:$C,3,0),VLOOKUP(INDEX(英雄装备!$F:$BZ,MATCH($H17,英雄装备!$F:$F,0),MATCH(R$2,英雄装备!$1:$1,0)-2),装备属性!$A:$C,3,0),VLOOKUP(INDEX(英雄装备!$F:$BZ,MATCH($H17,英雄装备!$F:$F,0),MATCH(R$2,英雄装备!$1:$1,0)-1),装备属性!$A:$C,3,0),VLOOKUP(INDEX(英雄装备!$F:$BZ,MATCH($H17,英雄装备!$F:$F,0),MATCH(R$2,英雄装备!$1:$1,0)),装备属性!$A:$C,3,0))</f>
        <v>73</v>
      </c>
      <c r="S17" s="51">
        <f>MAX(VLOOKUP(INDEX(英雄装备!$F:$BZ,MATCH($H17,英雄装备!$F:$F,0),MATCH(S$2,英雄装备!$1:$1,0)-5),装备属性!$A:$C,3,0),VLOOKUP(INDEX(英雄装备!$F:$BZ,MATCH($H17,英雄装备!$F:$F,0),MATCH(S$2,英雄装备!$1:$1,0)-4),装备属性!$A:$C,3,0),VLOOKUP(INDEX(英雄装备!$F:$BZ,MATCH($H17,英雄装备!$F:$F,0),MATCH(S$2,英雄装备!$1:$1,0)-3),装备属性!$A:$C,3,0),VLOOKUP(INDEX(英雄装备!$F:$BZ,MATCH($H17,英雄装备!$F:$F,0),MATCH(S$2,英雄装备!$1:$1,0)-2),装备属性!$A:$C,3,0),VLOOKUP(INDEX(英雄装备!$F:$BZ,MATCH($H17,英雄装备!$F:$F,0),MATCH(S$2,英雄装备!$1:$1,0)-1),装备属性!$A:$C,3,0),VLOOKUP(INDEX(英雄装备!$F:$BZ,MATCH($H17,英雄装备!$F:$F,0),MATCH(S$2,英雄装备!$1:$1,0)),装备属性!$A:$C,3,0))</f>
        <v>84</v>
      </c>
      <c r="T17" s="51">
        <f>MAX(VLOOKUP(INDEX(英雄装备!$F:$BZ,MATCH($H17,英雄装备!$F:$F,0),MATCH(T$2,英雄装备!$1:$1,0)-5),装备属性!$A:$C,3,0),VLOOKUP(INDEX(英雄装备!$F:$BZ,MATCH($H17,英雄装备!$F:$F,0),MATCH(T$2,英雄装备!$1:$1,0)-4),装备属性!$A:$C,3,0),VLOOKUP(INDEX(英雄装备!$F:$BZ,MATCH($H17,英雄装备!$F:$F,0),MATCH(T$2,英雄装备!$1:$1,0)-3),装备属性!$A:$C,3,0),VLOOKUP(INDEX(英雄装备!$F:$BZ,MATCH($H17,英雄装备!$F:$F,0),MATCH(T$2,英雄装备!$1:$1,0)-2),装备属性!$A:$C,3,0),VLOOKUP(INDEX(英雄装备!$F:$BZ,MATCH($H17,英雄装备!$F:$F,0),MATCH(T$2,英雄装备!$1:$1,0)-1),装备属性!$A:$C,3,0))</f>
        <v>89</v>
      </c>
      <c r="W17" s="108">
        <f t="shared" si="3"/>
        <v>1</v>
      </c>
      <c r="X17" s="151">
        <f>IF(X4="暂无","暂无",IF(VLOOKUP(X4,装备属性!$A:$C,3,0)&gt;英雄对比!$C$4,0,1))</f>
        <v>1</v>
      </c>
      <c r="Y17" s="151">
        <f>IF(Y4="暂无","暂无",IF(VLOOKUP(Y4,装备属性!$A:$C,3,0)&gt;英雄对比!$C$4,0,1))</f>
        <v>1</v>
      </c>
      <c r="Z17" s="151">
        <f>IF(Z4="暂无","暂无",IF(VLOOKUP(Z4,装备属性!$A:$C,3,0)&gt;英雄对比!$C$4,0,1))</f>
        <v>1</v>
      </c>
      <c r="AA17" s="151">
        <f>IF(AA4="暂无","暂无",IF(VLOOKUP(AA4,装备属性!$A:$C,3,0)&gt;英雄对比!$C$4,0,1))</f>
        <v>1</v>
      </c>
      <c r="AB17" s="151">
        <f>IF(AB4="暂无","暂无",IF(VLOOKUP(AB4,装备属性!$A:$C,3,0)&gt;英雄对比!$C$4,0,1))</f>
        <v>1</v>
      </c>
      <c r="AC17" s="151">
        <f>IF(AC4="暂无","暂无",IF(VLOOKUP(AC4,装备属性!$A:$C,3,0)&gt;英雄对比!$C$4,0,1))</f>
        <v>1</v>
      </c>
      <c r="AG17" s="234"/>
      <c r="AH17" s="232"/>
      <c r="AI17" s="232"/>
      <c r="AJ17" s="232"/>
      <c r="AK17" s="232"/>
      <c r="AL17" s="232"/>
      <c r="AM17" s="232"/>
      <c r="AN17" s="232"/>
    </row>
    <row r="18" spans="2:54">
      <c r="B18" s="151" t="str">
        <f>英雄初始!A19</f>
        <v>骨弓</v>
      </c>
      <c r="E18" s="151" t="str">
        <f>进阶奖励!$A22</f>
        <v>紫+1</v>
      </c>
      <c r="F18" s="151">
        <v>8</v>
      </c>
      <c r="G18" s="152">
        <f>VLOOKUP(英雄对比!$C$2,中介表格2!$H:$T,9,0)</f>
        <v>73</v>
      </c>
      <c r="H18" s="54" t="s">
        <v>171</v>
      </c>
      <c r="I18" s="51">
        <f>MAX(VLOOKUP(INDEX(英雄装备!$F:$BZ,MATCH($H18,英雄装备!$F:$F,0),MATCH(I$2,英雄装备!$1:$1,0)-5),装备属性!$A:$C,3,0),VLOOKUP(INDEX(英雄装备!$F:$BZ,MATCH($H18,英雄装备!$F:$F,0),MATCH(I$2,英雄装备!$1:$1,0)-4),装备属性!$A:$C,3,0),VLOOKUP(INDEX(英雄装备!$F:$BZ,MATCH($H18,英雄装备!$F:$F,0),MATCH(I$2,英雄装备!$1:$1,0)-3),装备属性!$A:$C,3,0),VLOOKUP(INDEX(英雄装备!$F:$BZ,MATCH($H18,英雄装备!$F:$F,0),MATCH(I$2,英雄装备!$1:$1,0)-2),装备属性!$A:$C,3,0),VLOOKUP(INDEX(英雄装备!$F:$BZ,MATCH($H18,英雄装备!$F:$F,0),MATCH(I$2,英雄装备!$1:$1,0)-1),装备属性!$A:$C,3,0),VLOOKUP(INDEX(英雄装备!$F:$BZ,MATCH($H18,英雄装备!$F:$F,0),MATCH(I$2,英雄装备!$1:$1,0)),装备属性!$A:$C,3,0))</f>
        <v>2</v>
      </c>
      <c r="J18" s="51">
        <f>MAX(VLOOKUP(INDEX(英雄装备!$F:$BZ,MATCH($H18,英雄装备!$F:$F,0),MATCH(J$2,英雄装备!$1:$1,0)-5),装备属性!$A:$C,3,0),VLOOKUP(INDEX(英雄装备!$F:$BZ,MATCH($H18,英雄装备!$F:$F,0),MATCH(J$2,英雄装备!$1:$1,0)-4),装备属性!$A:$C,3,0),VLOOKUP(INDEX(英雄装备!$F:$BZ,MATCH($H18,英雄装备!$F:$F,0),MATCH(J$2,英雄装备!$1:$1,0)-3),装备属性!$A:$C,3,0),VLOOKUP(INDEX(英雄装备!$F:$BZ,MATCH($H18,英雄装备!$F:$F,0),MATCH(J$2,英雄装备!$1:$1,0)-2),装备属性!$A:$C,3,0),VLOOKUP(INDEX(英雄装备!$F:$BZ,MATCH($H18,英雄装备!$F:$F,0),MATCH(J$2,英雄装备!$1:$1,0)-1),装备属性!$A:$C,3,0),VLOOKUP(INDEX(英雄装备!$F:$BZ,MATCH($H18,英雄装备!$F:$F,0),MATCH(J$2,英雄装备!$1:$1,0)),装备属性!$A:$C,3,0))</f>
        <v>10</v>
      </c>
      <c r="K18" s="51">
        <f>MAX(VLOOKUP(INDEX(英雄装备!$F:$BZ,MATCH($H18,英雄装备!$F:$F,0),MATCH(K$2,英雄装备!$1:$1,0)-5),装备属性!$A:$C,3,0),VLOOKUP(INDEX(英雄装备!$F:$BZ,MATCH($H18,英雄装备!$F:$F,0),MATCH(K$2,英雄装备!$1:$1,0)-4),装备属性!$A:$C,3,0),VLOOKUP(INDEX(英雄装备!$F:$BZ,MATCH($H18,英雄装备!$F:$F,0),MATCH(K$2,英雄装备!$1:$1,0)-3),装备属性!$A:$C,3,0),VLOOKUP(INDEX(英雄装备!$F:$BZ,MATCH($H18,英雄装备!$F:$F,0),MATCH(K$2,英雄装备!$1:$1,0)-2),装备属性!$A:$C,3,0),VLOOKUP(INDEX(英雄装备!$F:$BZ,MATCH($H18,英雄装备!$F:$F,0),MATCH(K$2,英雄装备!$1:$1,0)-1),装备属性!$A:$C,3,0),VLOOKUP(INDEX(英雄装备!$F:$BZ,MATCH($H18,英雄装备!$F:$F,0),MATCH(K$2,英雄装备!$1:$1,0)),装备属性!$A:$C,3,0))</f>
        <v>24</v>
      </c>
      <c r="L18" s="51">
        <f>MAX(VLOOKUP(INDEX(英雄装备!$F:$BZ,MATCH($H18,英雄装备!$F:$F,0),MATCH(L$2,英雄装备!$1:$1,0)-5),装备属性!$A:$C,3,0),VLOOKUP(INDEX(英雄装备!$F:$BZ,MATCH($H18,英雄装备!$F:$F,0),MATCH(L$2,英雄装备!$1:$1,0)-4),装备属性!$A:$C,3,0),VLOOKUP(INDEX(英雄装备!$F:$BZ,MATCH($H18,英雄装备!$F:$F,0),MATCH(L$2,英雄装备!$1:$1,0)-3),装备属性!$A:$C,3,0),VLOOKUP(INDEX(英雄装备!$F:$BZ,MATCH($H18,英雄装备!$F:$F,0),MATCH(L$2,英雄装备!$1:$1,0)-2),装备属性!$A:$C,3,0),VLOOKUP(INDEX(英雄装备!$F:$BZ,MATCH($H18,英雄装备!$F:$F,0),MATCH(L$2,英雄装备!$1:$1,0)-1),装备属性!$A:$C,3,0),VLOOKUP(INDEX(英雄装备!$F:$BZ,MATCH($H18,英雄装备!$F:$F,0),MATCH(L$2,英雄装备!$1:$1,0)),装备属性!$A:$C,3,0))</f>
        <v>37</v>
      </c>
      <c r="M18" s="51">
        <f>MAX(VLOOKUP(INDEX(英雄装备!$F:$BZ,MATCH($H18,英雄装备!$F:$F,0),MATCH(M$2,英雄装备!$1:$1,0)-5),装备属性!$A:$C,3,0),VLOOKUP(INDEX(英雄装备!$F:$BZ,MATCH($H18,英雄装备!$F:$F,0),MATCH(M$2,英雄装备!$1:$1,0)-4),装备属性!$A:$C,3,0),VLOOKUP(INDEX(英雄装备!$F:$BZ,MATCH($H18,英雄装备!$F:$F,0),MATCH(M$2,英雄装备!$1:$1,0)-3),装备属性!$A:$C,3,0),VLOOKUP(INDEX(英雄装备!$F:$BZ,MATCH($H18,英雄装备!$F:$F,0),MATCH(M$2,英雄装备!$1:$1,0)-2),装备属性!$A:$C,3,0),VLOOKUP(INDEX(英雄装备!$F:$BZ,MATCH($H18,英雄装备!$F:$F,0),MATCH(M$2,英雄装备!$1:$1,0)-1),装备属性!$A:$C,3,0),VLOOKUP(INDEX(英雄装备!$F:$BZ,MATCH($H18,英雄装备!$F:$F,0),MATCH(M$2,英雄装备!$1:$1,0)),装备属性!$A:$C,3,0))</f>
        <v>44</v>
      </c>
      <c r="N18" s="51">
        <f>MAX(VLOOKUP(INDEX(英雄装备!$F:$BZ,MATCH($H18,英雄装备!$F:$F,0),MATCH(N$2,英雄装备!$1:$1,0)-5),装备属性!$A:$C,3,0),VLOOKUP(INDEX(英雄装备!$F:$BZ,MATCH($H18,英雄装备!$F:$F,0),MATCH(N$2,英雄装备!$1:$1,0)-4),装备属性!$A:$C,3,0),VLOOKUP(INDEX(英雄装备!$F:$BZ,MATCH($H18,英雄装备!$F:$F,0),MATCH(N$2,英雄装备!$1:$1,0)-3),装备属性!$A:$C,3,0),VLOOKUP(INDEX(英雄装备!$F:$BZ,MATCH($H18,英雄装备!$F:$F,0),MATCH(N$2,英雄装备!$1:$1,0)-2),装备属性!$A:$C,3,0),VLOOKUP(INDEX(英雄装备!$F:$BZ,MATCH($H18,英雄装备!$F:$F,0),MATCH(N$2,英雄装备!$1:$1,0)-1),装备属性!$A:$C,3,0),VLOOKUP(INDEX(英雄装备!$F:$BZ,MATCH($H18,英雄装备!$F:$F,0),MATCH(N$2,英雄装备!$1:$1,0)),装备属性!$A:$C,3,0))</f>
        <v>53</v>
      </c>
      <c r="O18" s="51">
        <f>MAX(VLOOKUP(INDEX(英雄装备!$F:$BZ,MATCH($H18,英雄装备!$F:$F,0),MATCH(O$2,英雄装备!$1:$1,0)-5),装备属性!$A:$C,3,0),VLOOKUP(INDEX(英雄装备!$F:$BZ,MATCH($H18,英雄装备!$F:$F,0),MATCH(O$2,英雄装备!$1:$1,0)-4),装备属性!$A:$C,3,0),VLOOKUP(INDEX(英雄装备!$F:$BZ,MATCH($H18,英雄装备!$F:$F,0),MATCH(O$2,英雄装备!$1:$1,0)-3),装备属性!$A:$C,3,0),VLOOKUP(INDEX(英雄装备!$F:$BZ,MATCH($H18,英雄装备!$F:$F,0),MATCH(O$2,英雄装备!$1:$1,0)-2),装备属性!$A:$C,3,0),VLOOKUP(INDEX(英雄装备!$F:$BZ,MATCH($H18,英雄装备!$F:$F,0),MATCH(O$2,英雄装备!$1:$1,0)-1),装备属性!$A:$C,3,0),VLOOKUP(INDEX(英雄装备!$F:$BZ,MATCH($H18,英雄装备!$F:$F,0),MATCH(O$2,英雄装备!$1:$1,0)),装备属性!$A:$C,3,0))</f>
        <v>66</v>
      </c>
      <c r="P18" s="51">
        <f>MAX(VLOOKUP(INDEX(英雄装备!$F:$BZ,MATCH($H18,英雄装备!$F:$F,0),MATCH(P$2,英雄装备!$1:$1,0)-5),装备属性!$A:$C,3,0),VLOOKUP(INDEX(英雄装备!$F:$BZ,MATCH($H18,英雄装备!$F:$F,0),MATCH(P$2,英雄装备!$1:$1,0)-4),装备属性!$A:$C,3,0),VLOOKUP(INDEX(英雄装备!$F:$BZ,MATCH($H18,英雄装备!$F:$F,0),MATCH(P$2,英雄装备!$1:$1,0)-3),装备属性!$A:$C,3,0),VLOOKUP(INDEX(英雄装备!$F:$BZ,MATCH($H18,英雄装备!$F:$F,0),MATCH(P$2,英雄装备!$1:$1,0)-2),装备属性!$A:$C,3,0),VLOOKUP(INDEX(英雄装备!$F:$BZ,MATCH($H18,英雄装备!$F:$F,0),MATCH(P$2,英雄装备!$1:$1,0)-1),装备属性!$A:$C,3,0),VLOOKUP(INDEX(英雄装备!$F:$BZ,MATCH($H18,英雄装备!$F:$F,0),MATCH(P$2,英雄装备!$1:$1,0)),装备属性!$A:$C,3,0))</f>
        <v>73</v>
      </c>
      <c r="Q18" s="51">
        <f>MAX(VLOOKUP(INDEX(英雄装备!$F:$BZ,MATCH($H18,英雄装备!$F:$F,0),MATCH(Q$2,英雄装备!$1:$1,0)-5),装备属性!$A:$C,3,0),VLOOKUP(INDEX(英雄装备!$F:$BZ,MATCH($H18,英雄装备!$F:$F,0),MATCH(Q$2,英雄装备!$1:$1,0)-4),装备属性!$A:$C,3,0),VLOOKUP(INDEX(英雄装备!$F:$BZ,MATCH($H18,英雄装备!$F:$F,0),MATCH(Q$2,英雄装备!$1:$1,0)-3),装备属性!$A:$C,3,0),VLOOKUP(INDEX(英雄装备!$F:$BZ,MATCH($H18,英雄装备!$F:$F,0),MATCH(Q$2,英雄装备!$1:$1,0)-2),装备属性!$A:$C,3,0),VLOOKUP(INDEX(英雄装备!$F:$BZ,MATCH($H18,英雄装备!$F:$F,0),MATCH(Q$2,英雄装备!$1:$1,0)-1),装备属性!$A:$C,3,0),VLOOKUP(INDEX(英雄装备!$F:$BZ,MATCH($H18,英雄装备!$F:$F,0),MATCH(Q$2,英雄装备!$1:$1,0)),装备属性!$A:$C,3,0))</f>
        <v>80</v>
      </c>
      <c r="R18" s="51">
        <f>MAX(VLOOKUP(INDEX(英雄装备!$F:$BZ,MATCH($H18,英雄装备!$F:$F,0),MATCH(R$2,英雄装备!$1:$1,0)-5),装备属性!$A:$C,3,0),VLOOKUP(INDEX(英雄装备!$F:$BZ,MATCH($H18,英雄装备!$F:$F,0),MATCH(R$2,英雄装备!$1:$1,0)-4),装备属性!$A:$C,3,0),VLOOKUP(INDEX(英雄装备!$F:$BZ,MATCH($H18,英雄装备!$F:$F,0),MATCH(R$2,英雄装备!$1:$1,0)-3),装备属性!$A:$C,3,0),VLOOKUP(INDEX(英雄装备!$F:$BZ,MATCH($H18,英雄装备!$F:$F,0),MATCH(R$2,英雄装备!$1:$1,0)-2),装备属性!$A:$C,3,0),VLOOKUP(INDEX(英雄装备!$F:$BZ,MATCH($H18,英雄装备!$F:$F,0),MATCH(R$2,英雄装备!$1:$1,0)-1),装备属性!$A:$C,3,0),VLOOKUP(INDEX(英雄装备!$F:$BZ,MATCH($H18,英雄装备!$F:$F,0),MATCH(R$2,英雄装备!$1:$1,0)),装备属性!$A:$C,3,0))</f>
        <v>79</v>
      </c>
      <c r="S18" s="51">
        <f>MAX(VLOOKUP(INDEX(英雄装备!$F:$BZ,MATCH($H18,英雄装备!$F:$F,0),MATCH(S$2,英雄装备!$1:$1,0)-5),装备属性!$A:$C,3,0),VLOOKUP(INDEX(英雄装备!$F:$BZ,MATCH($H18,英雄装备!$F:$F,0),MATCH(S$2,英雄装备!$1:$1,0)-4),装备属性!$A:$C,3,0),VLOOKUP(INDEX(英雄装备!$F:$BZ,MATCH($H18,英雄装备!$F:$F,0),MATCH(S$2,英雄装备!$1:$1,0)-3),装备属性!$A:$C,3,0),VLOOKUP(INDEX(英雄装备!$F:$BZ,MATCH($H18,英雄装备!$F:$F,0),MATCH(S$2,英雄装备!$1:$1,0)-2),装备属性!$A:$C,3,0),VLOOKUP(INDEX(英雄装备!$F:$BZ,MATCH($H18,英雄装备!$F:$F,0),MATCH(S$2,英雄装备!$1:$1,0)-1),装备属性!$A:$C,3,0),VLOOKUP(INDEX(英雄装备!$F:$BZ,MATCH($H18,英雄装备!$F:$F,0),MATCH(S$2,英雄装备!$1:$1,0)),装备属性!$A:$C,3,0))</f>
        <v>85</v>
      </c>
      <c r="T18" s="51">
        <f>MAX(VLOOKUP(INDEX(英雄装备!$F:$BZ,MATCH($H18,英雄装备!$F:$F,0),MATCH(T$2,英雄装备!$1:$1,0)-5),装备属性!$A:$C,3,0),VLOOKUP(INDEX(英雄装备!$F:$BZ,MATCH($H18,英雄装备!$F:$F,0),MATCH(T$2,英雄装备!$1:$1,0)-4),装备属性!$A:$C,3,0),VLOOKUP(INDEX(英雄装备!$F:$BZ,MATCH($H18,英雄装备!$F:$F,0),MATCH(T$2,英雄装备!$1:$1,0)-3),装备属性!$A:$C,3,0),VLOOKUP(INDEX(英雄装备!$F:$BZ,MATCH($H18,英雄装备!$F:$F,0),MATCH(T$2,英雄装备!$1:$1,0)-2),装备属性!$A:$C,3,0),VLOOKUP(INDEX(英雄装备!$F:$BZ,MATCH($H18,英雄装备!$F:$F,0),MATCH(T$2,英雄装备!$1:$1,0)-1),装备属性!$A:$C,3,0))</f>
        <v>89</v>
      </c>
      <c r="W18" s="108">
        <f t="shared" si="3"/>
        <v>1</v>
      </c>
      <c r="X18" s="151">
        <f>IF(X5="暂无","暂无",IF(VLOOKUP(X5,装备属性!$A:$C,3,0)&gt;英雄对比!$C$4,0,1))</f>
        <v>1</v>
      </c>
      <c r="Y18" s="151">
        <f>IF(Y5="暂无","暂无",IF(VLOOKUP(Y5,装备属性!$A:$C,3,0)&gt;英雄对比!$C$4,0,1))</f>
        <v>1</v>
      </c>
      <c r="Z18" s="151">
        <f>IF(Z5="暂无","暂无",IF(VLOOKUP(Z5,装备属性!$A:$C,3,0)&gt;英雄对比!$C$4,0,1))</f>
        <v>1</v>
      </c>
      <c r="AA18" s="151">
        <f>IF(AA5="暂无","暂无",IF(VLOOKUP(AA5,装备属性!$A:$C,3,0)&gt;英雄对比!$C$4,0,1))</f>
        <v>1</v>
      </c>
      <c r="AB18" s="151">
        <f>IF(AB5="暂无","暂无",IF(VLOOKUP(AB5,装备属性!$A:$C,3,0)&gt;英雄对比!$C$4,0,1))</f>
        <v>1</v>
      </c>
      <c r="AC18" s="151">
        <f>IF(AC5="暂无","暂无",IF(VLOOKUP(AC5,装备属性!$A:$C,3,0)&gt;英雄对比!$C$4,0,1))</f>
        <v>1</v>
      </c>
      <c r="AG18" s="234"/>
      <c r="AH18" s="232" t="s">
        <v>1077</v>
      </c>
      <c r="AI18" s="50" t="s">
        <v>103</v>
      </c>
      <c r="AJ18" s="50" t="s">
        <v>14</v>
      </c>
      <c r="AK18" s="50" t="s">
        <v>47</v>
      </c>
      <c r="AL18" s="50" t="s">
        <v>35</v>
      </c>
      <c r="AM18" s="50" t="s">
        <v>38</v>
      </c>
      <c r="AN18" s="50" t="s">
        <v>34</v>
      </c>
      <c r="AO18" s="50" t="s">
        <v>56</v>
      </c>
      <c r="AP18" s="50" t="s">
        <v>84</v>
      </c>
      <c r="AQ18" s="50" t="s">
        <v>98</v>
      </c>
      <c r="AR18" s="50" t="s">
        <v>2099</v>
      </c>
      <c r="AS18" s="119" t="s">
        <v>1874</v>
      </c>
      <c r="AT18" s="50" t="s">
        <v>91</v>
      </c>
      <c r="AU18" s="50" t="s">
        <v>13</v>
      </c>
      <c r="AV18" s="50" t="s">
        <v>18</v>
      </c>
      <c r="AW18" s="51" t="s">
        <v>71</v>
      </c>
      <c r="AX18" s="50" t="s">
        <v>130</v>
      </c>
      <c r="AY18" s="141" t="s">
        <v>1867</v>
      </c>
      <c r="AZ18" s="141" t="s">
        <v>1877</v>
      </c>
    </row>
    <row r="19" spans="2:54">
      <c r="B19" s="151" t="str">
        <f>英雄初始!A20</f>
        <v>火枪</v>
      </c>
      <c r="E19" s="151" t="str">
        <f>进阶奖励!$A23</f>
        <v>紫+2</v>
      </c>
      <c r="F19" s="151">
        <v>9</v>
      </c>
      <c r="G19" s="152">
        <f>VLOOKUP(英雄对比!$C$2,中介表格2!$H:$T,10,0)</f>
        <v>78</v>
      </c>
      <c r="H19" s="54" t="s">
        <v>172</v>
      </c>
      <c r="I19" s="51">
        <f>MAX(VLOOKUP(INDEX(英雄装备!$F:$BZ,MATCH($H19,英雄装备!$F:$F,0),MATCH(I$2,英雄装备!$1:$1,0)-5),装备属性!$A:$C,3,0),VLOOKUP(INDEX(英雄装备!$F:$BZ,MATCH($H19,英雄装备!$F:$F,0),MATCH(I$2,英雄装备!$1:$1,0)-4),装备属性!$A:$C,3,0),VLOOKUP(INDEX(英雄装备!$F:$BZ,MATCH($H19,英雄装备!$F:$F,0),MATCH(I$2,英雄装备!$1:$1,0)-3),装备属性!$A:$C,3,0),VLOOKUP(INDEX(英雄装备!$F:$BZ,MATCH($H19,英雄装备!$F:$F,0),MATCH(I$2,英雄装备!$1:$1,0)-2),装备属性!$A:$C,3,0),VLOOKUP(INDEX(英雄装备!$F:$BZ,MATCH($H19,英雄装备!$F:$F,0),MATCH(I$2,英雄装备!$1:$1,0)-1),装备属性!$A:$C,3,0),VLOOKUP(INDEX(英雄装备!$F:$BZ,MATCH($H19,英雄装备!$F:$F,0),MATCH(I$2,英雄装备!$1:$1,0)),装备属性!$A:$C,3,0))</f>
        <v>2</v>
      </c>
      <c r="J19" s="51">
        <f>MAX(VLOOKUP(INDEX(英雄装备!$F:$BZ,MATCH($H19,英雄装备!$F:$F,0),MATCH(J$2,英雄装备!$1:$1,0)-5),装备属性!$A:$C,3,0),VLOOKUP(INDEX(英雄装备!$F:$BZ,MATCH($H19,英雄装备!$F:$F,0),MATCH(J$2,英雄装备!$1:$1,0)-4),装备属性!$A:$C,3,0),VLOOKUP(INDEX(英雄装备!$F:$BZ,MATCH($H19,英雄装备!$F:$F,0),MATCH(J$2,英雄装备!$1:$1,0)-3),装备属性!$A:$C,3,0),VLOOKUP(INDEX(英雄装备!$F:$BZ,MATCH($H19,英雄装备!$F:$F,0),MATCH(J$2,英雄装备!$1:$1,0)-2),装备属性!$A:$C,3,0),VLOOKUP(INDEX(英雄装备!$F:$BZ,MATCH($H19,英雄装备!$F:$F,0),MATCH(J$2,英雄装备!$1:$1,0)-1),装备属性!$A:$C,3,0),VLOOKUP(INDEX(英雄装备!$F:$BZ,MATCH($H19,英雄装备!$F:$F,0),MATCH(J$2,英雄装备!$1:$1,0)),装备属性!$A:$C,3,0))</f>
        <v>10</v>
      </c>
      <c r="K19" s="51">
        <f>MAX(VLOOKUP(INDEX(英雄装备!$F:$BZ,MATCH($H19,英雄装备!$F:$F,0),MATCH(K$2,英雄装备!$1:$1,0)-5),装备属性!$A:$C,3,0),VLOOKUP(INDEX(英雄装备!$F:$BZ,MATCH($H19,英雄装备!$F:$F,0),MATCH(K$2,英雄装备!$1:$1,0)-4),装备属性!$A:$C,3,0),VLOOKUP(INDEX(英雄装备!$F:$BZ,MATCH($H19,英雄装备!$F:$F,0),MATCH(K$2,英雄装备!$1:$1,0)-3),装备属性!$A:$C,3,0),VLOOKUP(INDEX(英雄装备!$F:$BZ,MATCH($H19,英雄装备!$F:$F,0),MATCH(K$2,英雄装备!$1:$1,0)-2),装备属性!$A:$C,3,0),VLOOKUP(INDEX(英雄装备!$F:$BZ,MATCH($H19,英雄装备!$F:$F,0),MATCH(K$2,英雄装备!$1:$1,0)-1),装备属性!$A:$C,3,0),VLOOKUP(INDEX(英雄装备!$F:$BZ,MATCH($H19,英雄装备!$F:$F,0),MATCH(K$2,英雄装备!$1:$1,0)),装备属性!$A:$C,3,0))</f>
        <v>20</v>
      </c>
      <c r="L19" s="51">
        <f>MAX(VLOOKUP(INDEX(英雄装备!$F:$BZ,MATCH($H19,英雄装备!$F:$F,0),MATCH(L$2,英雄装备!$1:$1,0)-5),装备属性!$A:$C,3,0),VLOOKUP(INDEX(英雄装备!$F:$BZ,MATCH($H19,英雄装备!$F:$F,0),MATCH(L$2,英雄装备!$1:$1,0)-4),装备属性!$A:$C,3,0),VLOOKUP(INDEX(英雄装备!$F:$BZ,MATCH($H19,英雄装备!$F:$F,0),MATCH(L$2,英雄装备!$1:$1,0)-3),装备属性!$A:$C,3,0),VLOOKUP(INDEX(英雄装备!$F:$BZ,MATCH($H19,英雄装备!$F:$F,0),MATCH(L$2,英雄装备!$1:$1,0)-2),装备属性!$A:$C,3,0),VLOOKUP(INDEX(英雄装备!$F:$BZ,MATCH($H19,英雄装备!$F:$F,0),MATCH(L$2,英雄装备!$1:$1,0)-1),装备属性!$A:$C,3,0),VLOOKUP(INDEX(英雄装备!$F:$BZ,MATCH($H19,英雄装备!$F:$F,0),MATCH(L$2,英雄装备!$1:$1,0)),装备属性!$A:$C,3,0))</f>
        <v>35</v>
      </c>
      <c r="M19" s="51">
        <f>MAX(VLOOKUP(INDEX(英雄装备!$F:$BZ,MATCH($H19,英雄装备!$F:$F,0),MATCH(M$2,英雄装备!$1:$1,0)-5),装备属性!$A:$C,3,0),VLOOKUP(INDEX(英雄装备!$F:$BZ,MATCH($H19,英雄装备!$F:$F,0),MATCH(M$2,英雄装备!$1:$1,0)-4),装备属性!$A:$C,3,0),VLOOKUP(INDEX(英雄装备!$F:$BZ,MATCH($H19,英雄装备!$F:$F,0),MATCH(M$2,英雄装备!$1:$1,0)-3),装备属性!$A:$C,3,0),VLOOKUP(INDEX(英雄装备!$F:$BZ,MATCH($H19,英雄装备!$F:$F,0),MATCH(M$2,英雄装备!$1:$1,0)-2),装备属性!$A:$C,3,0),VLOOKUP(INDEX(英雄装备!$F:$BZ,MATCH($H19,英雄装备!$F:$F,0),MATCH(M$2,英雄装备!$1:$1,0)-1),装备属性!$A:$C,3,0),VLOOKUP(INDEX(英雄装备!$F:$BZ,MATCH($H19,英雄装备!$F:$F,0),MATCH(M$2,英雄装备!$1:$1,0)),装备属性!$A:$C,3,0))</f>
        <v>44</v>
      </c>
      <c r="N19" s="51">
        <f>MAX(VLOOKUP(INDEX(英雄装备!$F:$BZ,MATCH($H19,英雄装备!$F:$F,0),MATCH(N$2,英雄装备!$1:$1,0)-5),装备属性!$A:$C,3,0),VLOOKUP(INDEX(英雄装备!$F:$BZ,MATCH($H19,英雄装备!$F:$F,0),MATCH(N$2,英雄装备!$1:$1,0)-4),装备属性!$A:$C,3,0),VLOOKUP(INDEX(英雄装备!$F:$BZ,MATCH($H19,英雄装备!$F:$F,0),MATCH(N$2,英雄装备!$1:$1,0)-3),装备属性!$A:$C,3,0),VLOOKUP(INDEX(英雄装备!$F:$BZ,MATCH($H19,英雄装备!$F:$F,0),MATCH(N$2,英雄装备!$1:$1,0)-2),装备属性!$A:$C,3,0),VLOOKUP(INDEX(英雄装备!$F:$BZ,MATCH($H19,英雄装备!$F:$F,0),MATCH(N$2,英雄装备!$1:$1,0)-1),装备属性!$A:$C,3,0),VLOOKUP(INDEX(英雄装备!$F:$BZ,MATCH($H19,英雄装备!$F:$F,0),MATCH(N$2,英雄装备!$1:$1,0)),装备属性!$A:$C,3,0))</f>
        <v>52</v>
      </c>
      <c r="O19" s="51">
        <f>MAX(VLOOKUP(INDEX(英雄装备!$F:$BZ,MATCH($H19,英雄装备!$F:$F,0),MATCH(O$2,英雄装备!$1:$1,0)-5),装备属性!$A:$C,3,0),VLOOKUP(INDEX(英雄装备!$F:$BZ,MATCH($H19,英雄装备!$F:$F,0),MATCH(O$2,英雄装备!$1:$1,0)-4),装备属性!$A:$C,3,0),VLOOKUP(INDEX(英雄装备!$F:$BZ,MATCH($H19,英雄装备!$F:$F,0),MATCH(O$2,英雄装备!$1:$1,0)-3),装备属性!$A:$C,3,0),VLOOKUP(INDEX(英雄装备!$F:$BZ,MATCH($H19,英雄装备!$F:$F,0),MATCH(O$2,英雄装备!$1:$1,0)-2),装备属性!$A:$C,3,0),VLOOKUP(INDEX(英雄装备!$F:$BZ,MATCH($H19,英雄装备!$F:$F,0),MATCH(O$2,英雄装备!$1:$1,0)-1),装备属性!$A:$C,3,0),VLOOKUP(INDEX(英雄装备!$F:$BZ,MATCH($H19,英雄装备!$F:$F,0),MATCH(O$2,英雄装备!$1:$1,0)),装备属性!$A:$C,3,0))</f>
        <v>64</v>
      </c>
      <c r="P19" s="51">
        <f>MAX(VLOOKUP(INDEX(英雄装备!$F:$BZ,MATCH($H19,英雄装备!$F:$F,0),MATCH(P$2,英雄装备!$1:$1,0)-5),装备属性!$A:$C,3,0),VLOOKUP(INDEX(英雄装备!$F:$BZ,MATCH($H19,英雄装备!$F:$F,0),MATCH(P$2,英雄装备!$1:$1,0)-4),装备属性!$A:$C,3,0),VLOOKUP(INDEX(英雄装备!$F:$BZ,MATCH($H19,英雄装备!$F:$F,0),MATCH(P$2,英雄装备!$1:$1,0)-3),装备属性!$A:$C,3,0),VLOOKUP(INDEX(英雄装备!$F:$BZ,MATCH($H19,英雄装备!$F:$F,0),MATCH(P$2,英雄装备!$1:$1,0)-2),装备属性!$A:$C,3,0),VLOOKUP(INDEX(英雄装备!$F:$BZ,MATCH($H19,英雄装备!$F:$F,0),MATCH(P$2,英雄装备!$1:$1,0)-1),装备属性!$A:$C,3,0),VLOOKUP(INDEX(英雄装备!$F:$BZ,MATCH($H19,英雄装备!$F:$F,0),MATCH(P$2,英雄装备!$1:$1,0)),装备属性!$A:$C,3,0))</f>
        <v>70</v>
      </c>
      <c r="Q19" s="51">
        <f>MAX(VLOOKUP(INDEX(英雄装备!$F:$BZ,MATCH($H19,英雄装备!$F:$F,0),MATCH(Q$2,英雄装备!$1:$1,0)-5),装备属性!$A:$C,3,0),VLOOKUP(INDEX(英雄装备!$F:$BZ,MATCH($H19,英雄装备!$F:$F,0),MATCH(Q$2,英雄装备!$1:$1,0)-4),装备属性!$A:$C,3,0),VLOOKUP(INDEX(英雄装备!$F:$BZ,MATCH($H19,英雄装备!$F:$F,0),MATCH(Q$2,英雄装备!$1:$1,0)-3),装备属性!$A:$C,3,0),VLOOKUP(INDEX(英雄装备!$F:$BZ,MATCH($H19,英雄装备!$F:$F,0),MATCH(Q$2,英雄装备!$1:$1,0)-2),装备属性!$A:$C,3,0),VLOOKUP(INDEX(英雄装备!$F:$BZ,MATCH($H19,英雄装备!$F:$F,0),MATCH(Q$2,英雄装备!$1:$1,0)-1),装备属性!$A:$C,3,0),VLOOKUP(INDEX(英雄装备!$F:$BZ,MATCH($H19,英雄装备!$F:$F,0),MATCH(Q$2,英雄装备!$1:$1,0)),装备属性!$A:$C,3,0))</f>
        <v>79</v>
      </c>
      <c r="R19" s="51">
        <f>MAX(VLOOKUP(INDEX(英雄装备!$F:$BZ,MATCH($H19,英雄装备!$F:$F,0),MATCH(R$2,英雄装备!$1:$1,0)-5),装备属性!$A:$C,3,0),VLOOKUP(INDEX(英雄装备!$F:$BZ,MATCH($H19,英雄装备!$F:$F,0),MATCH(R$2,英雄装备!$1:$1,0)-4),装备属性!$A:$C,3,0),VLOOKUP(INDEX(英雄装备!$F:$BZ,MATCH($H19,英雄装备!$F:$F,0),MATCH(R$2,英雄装备!$1:$1,0)-3),装备属性!$A:$C,3,0),VLOOKUP(INDEX(英雄装备!$F:$BZ,MATCH($H19,英雄装备!$F:$F,0),MATCH(R$2,英雄装备!$1:$1,0)-2),装备属性!$A:$C,3,0),VLOOKUP(INDEX(英雄装备!$F:$BZ,MATCH($H19,英雄装备!$F:$F,0),MATCH(R$2,英雄装备!$1:$1,0)-1),装备属性!$A:$C,3,0),VLOOKUP(INDEX(英雄装备!$F:$BZ,MATCH($H19,英雄装备!$F:$F,0),MATCH(R$2,英雄装备!$1:$1,0)),装备属性!$A:$C,3,0))</f>
        <v>80</v>
      </c>
      <c r="S19" s="51">
        <f>MAX(VLOOKUP(INDEX(英雄装备!$F:$BZ,MATCH($H19,英雄装备!$F:$F,0),MATCH(S$2,英雄装备!$1:$1,0)-5),装备属性!$A:$C,3,0),VLOOKUP(INDEX(英雄装备!$F:$BZ,MATCH($H19,英雄装备!$F:$F,0),MATCH(S$2,英雄装备!$1:$1,0)-4),装备属性!$A:$C,3,0),VLOOKUP(INDEX(英雄装备!$F:$BZ,MATCH($H19,英雄装备!$F:$F,0),MATCH(S$2,英雄装备!$1:$1,0)-3),装备属性!$A:$C,3,0),VLOOKUP(INDEX(英雄装备!$F:$BZ,MATCH($H19,英雄装备!$F:$F,0),MATCH(S$2,英雄装备!$1:$1,0)-2),装备属性!$A:$C,3,0),VLOOKUP(INDEX(英雄装备!$F:$BZ,MATCH($H19,英雄装备!$F:$F,0),MATCH(S$2,英雄装备!$1:$1,0)-1),装备属性!$A:$C,3,0),VLOOKUP(INDEX(英雄装备!$F:$BZ,MATCH($H19,英雄装备!$F:$F,0),MATCH(S$2,英雄装备!$1:$1,0)),装备属性!$A:$C,3,0))</f>
        <v>85</v>
      </c>
      <c r="T19" s="51">
        <f>MAX(VLOOKUP(INDEX(英雄装备!$F:$BZ,MATCH($H19,英雄装备!$F:$F,0),MATCH(T$2,英雄装备!$1:$1,0)-5),装备属性!$A:$C,3,0),VLOOKUP(INDEX(英雄装备!$F:$BZ,MATCH($H19,英雄装备!$F:$F,0),MATCH(T$2,英雄装备!$1:$1,0)-4),装备属性!$A:$C,3,0),VLOOKUP(INDEX(英雄装备!$F:$BZ,MATCH($H19,英雄装备!$F:$F,0),MATCH(T$2,英雄装备!$1:$1,0)-3),装备属性!$A:$C,3,0),VLOOKUP(INDEX(英雄装备!$F:$BZ,MATCH($H19,英雄装备!$F:$F,0),MATCH(T$2,英雄装备!$1:$1,0)-2),装备属性!$A:$C,3,0),VLOOKUP(INDEX(英雄装备!$F:$BZ,MATCH($H19,英雄装备!$F:$F,0),MATCH(T$2,英雄装备!$1:$1,0)-1),装备属性!$A:$C,3,0))</f>
        <v>89</v>
      </c>
      <c r="W19" s="108">
        <f t="shared" si="3"/>
        <v>1</v>
      </c>
      <c r="X19" s="151">
        <f>IF(X6="暂无","暂无",IF(VLOOKUP(X6,装备属性!$A:$C,3,0)&gt;英雄对比!$C$4,0,1))</f>
        <v>1</v>
      </c>
      <c r="Y19" s="151">
        <f>IF(Y6="暂无","暂无",IF(VLOOKUP(Y6,装备属性!$A:$C,3,0)&gt;英雄对比!$C$4,0,1))</f>
        <v>1</v>
      </c>
      <c r="Z19" s="151">
        <f>IF(Z6="暂无","暂无",IF(VLOOKUP(Z6,装备属性!$A:$C,3,0)&gt;英雄对比!$C$4,0,1))</f>
        <v>1</v>
      </c>
      <c r="AA19" s="151">
        <f>IF(AA6="暂无","暂无",IF(VLOOKUP(AA6,装备属性!$A:$C,3,0)&gt;英雄对比!$C$4,0,1))</f>
        <v>1</v>
      </c>
      <c r="AB19" s="151">
        <f>IF(AB6="暂无","暂无",IF(VLOOKUP(AB6,装备属性!$A:$C,3,0)&gt;英雄对比!$C$4,0,1))</f>
        <v>1</v>
      </c>
      <c r="AC19" s="151">
        <f>IF(AC6="暂无","暂无",IF(VLOOKUP(AC6,装备属性!$A:$C,3,0)&gt;英雄对比!$C$4,0,1))</f>
        <v>1</v>
      </c>
      <c r="AG19" s="234"/>
      <c r="AH19" s="232"/>
      <c r="AI19" s="151">
        <f>VLOOKUP(英雄对比!$C$2,英雄初始!$A:$K,6,0)</f>
        <v>473</v>
      </c>
      <c r="AJ19" s="151">
        <f>VLOOKUP(英雄对比!$C$2,英雄初始!$A:$K,7,0)</f>
        <v>47</v>
      </c>
      <c r="AK19" s="151">
        <f>VLOOKUP(英雄对比!$C$2,英雄初始!$A:$K,8,0)</f>
        <v>31</v>
      </c>
      <c r="AL19" s="151">
        <f>VLOOKUP(英雄对比!$C$2,英雄初始!$A:$K,9,0)</f>
        <v>3</v>
      </c>
      <c r="AM19" s="151">
        <f>VLOOKUP(英雄对比!$C$2,英雄初始!$A:$K,10,0)</f>
        <v>1</v>
      </c>
      <c r="AN19" s="151">
        <f>VLOOKUP(英雄对比!$C$2,英雄初始!$A:$K,11,0)</f>
        <v>8</v>
      </c>
    </row>
    <row r="20" spans="2:54">
      <c r="B20" s="151" t="str">
        <f>英雄初始!A21</f>
        <v>剑圣</v>
      </c>
      <c r="E20" s="151" t="str">
        <f>进阶奖励!$A24</f>
        <v>紫+3</v>
      </c>
      <c r="F20" s="151">
        <v>10</v>
      </c>
      <c r="G20" s="152">
        <f>VLOOKUP(英雄对比!$C$2,中介表格2!$H:$T,11,0)</f>
        <v>79</v>
      </c>
      <c r="H20" s="54" t="s">
        <v>173</v>
      </c>
      <c r="I20" s="51">
        <f>MAX(VLOOKUP(INDEX(英雄装备!$F:$BZ,MATCH($H20,英雄装备!$F:$F,0),MATCH(I$2,英雄装备!$1:$1,0)-5),装备属性!$A:$C,3,0),VLOOKUP(INDEX(英雄装备!$F:$BZ,MATCH($H20,英雄装备!$F:$F,0),MATCH(I$2,英雄装备!$1:$1,0)-4),装备属性!$A:$C,3,0),VLOOKUP(INDEX(英雄装备!$F:$BZ,MATCH($H20,英雄装备!$F:$F,0),MATCH(I$2,英雄装备!$1:$1,0)-3),装备属性!$A:$C,3,0),VLOOKUP(INDEX(英雄装备!$F:$BZ,MATCH($H20,英雄装备!$F:$F,0),MATCH(I$2,英雄装备!$1:$1,0)-2),装备属性!$A:$C,3,0),VLOOKUP(INDEX(英雄装备!$F:$BZ,MATCH($H20,英雄装备!$F:$F,0),MATCH(I$2,英雄装备!$1:$1,0)-1),装备属性!$A:$C,3,0),VLOOKUP(INDEX(英雄装备!$F:$BZ,MATCH($H20,英雄装备!$F:$F,0),MATCH(I$2,英雄装备!$1:$1,0)),装备属性!$A:$C,3,0))</f>
        <v>2</v>
      </c>
      <c r="J20" s="51">
        <f>MAX(VLOOKUP(INDEX(英雄装备!$F:$BZ,MATCH($H20,英雄装备!$F:$F,0),MATCH(J$2,英雄装备!$1:$1,0)-5),装备属性!$A:$C,3,0),VLOOKUP(INDEX(英雄装备!$F:$BZ,MATCH($H20,英雄装备!$F:$F,0),MATCH(J$2,英雄装备!$1:$1,0)-4),装备属性!$A:$C,3,0),VLOOKUP(INDEX(英雄装备!$F:$BZ,MATCH($H20,英雄装备!$F:$F,0),MATCH(J$2,英雄装备!$1:$1,0)-3),装备属性!$A:$C,3,0),VLOOKUP(INDEX(英雄装备!$F:$BZ,MATCH($H20,英雄装备!$F:$F,0),MATCH(J$2,英雄装备!$1:$1,0)-2),装备属性!$A:$C,3,0),VLOOKUP(INDEX(英雄装备!$F:$BZ,MATCH($H20,英雄装备!$F:$F,0),MATCH(J$2,英雄装备!$1:$1,0)-1),装备属性!$A:$C,3,0),VLOOKUP(INDEX(英雄装备!$F:$BZ,MATCH($H20,英雄装备!$F:$F,0),MATCH(J$2,英雄装备!$1:$1,0)),装备属性!$A:$C,3,0))</f>
        <v>10</v>
      </c>
      <c r="K20" s="51">
        <f>MAX(VLOOKUP(INDEX(英雄装备!$F:$BZ,MATCH($H20,英雄装备!$F:$F,0),MATCH(K$2,英雄装备!$1:$1,0)-5),装备属性!$A:$C,3,0),VLOOKUP(INDEX(英雄装备!$F:$BZ,MATCH($H20,英雄装备!$F:$F,0),MATCH(K$2,英雄装备!$1:$1,0)-4),装备属性!$A:$C,3,0),VLOOKUP(INDEX(英雄装备!$F:$BZ,MATCH($H20,英雄装备!$F:$F,0),MATCH(K$2,英雄装备!$1:$1,0)-3),装备属性!$A:$C,3,0),VLOOKUP(INDEX(英雄装备!$F:$BZ,MATCH($H20,英雄装备!$F:$F,0),MATCH(K$2,英雄装备!$1:$1,0)-2),装备属性!$A:$C,3,0),VLOOKUP(INDEX(英雄装备!$F:$BZ,MATCH($H20,英雄装备!$F:$F,0),MATCH(K$2,英雄装备!$1:$1,0)-1),装备属性!$A:$C,3,0),VLOOKUP(INDEX(英雄装备!$F:$BZ,MATCH($H20,英雄装备!$F:$F,0),MATCH(K$2,英雄装备!$1:$1,0)),装备属性!$A:$C,3,0))</f>
        <v>23</v>
      </c>
      <c r="L20" s="51">
        <f>MAX(VLOOKUP(INDEX(英雄装备!$F:$BZ,MATCH($H20,英雄装备!$F:$F,0),MATCH(L$2,英雄装备!$1:$1,0)-5),装备属性!$A:$C,3,0),VLOOKUP(INDEX(英雄装备!$F:$BZ,MATCH($H20,英雄装备!$F:$F,0),MATCH(L$2,英雄装备!$1:$1,0)-4),装备属性!$A:$C,3,0),VLOOKUP(INDEX(英雄装备!$F:$BZ,MATCH($H20,英雄装备!$F:$F,0),MATCH(L$2,英雄装备!$1:$1,0)-3),装备属性!$A:$C,3,0),VLOOKUP(INDEX(英雄装备!$F:$BZ,MATCH($H20,英雄装备!$F:$F,0),MATCH(L$2,英雄装备!$1:$1,0)-2),装备属性!$A:$C,3,0),VLOOKUP(INDEX(英雄装备!$F:$BZ,MATCH($H20,英雄装备!$F:$F,0),MATCH(L$2,英雄装备!$1:$1,0)-1),装备属性!$A:$C,3,0),VLOOKUP(INDEX(英雄装备!$F:$BZ,MATCH($H20,英雄装备!$F:$F,0),MATCH(L$2,英雄装备!$1:$1,0)),装备属性!$A:$C,3,0))</f>
        <v>37</v>
      </c>
      <c r="M20" s="51">
        <f>MAX(VLOOKUP(INDEX(英雄装备!$F:$BZ,MATCH($H20,英雄装备!$F:$F,0),MATCH(M$2,英雄装备!$1:$1,0)-5),装备属性!$A:$C,3,0),VLOOKUP(INDEX(英雄装备!$F:$BZ,MATCH($H20,英雄装备!$F:$F,0),MATCH(M$2,英雄装备!$1:$1,0)-4),装备属性!$A:$C,3,0),VLOOKUP(INDEX(英雄装备!$F:$BZ,MATCH($H20,英雄装备!$F:$F,0),MATCH(M$2,英雄装备!$1:$1,0)-3),装备属性!$A:$C,3,0),VLOOKUP(INDEX(英雄装备!$F:$BZ,MATCH($H20,英雄装备!$F:$F,0),MATCH(M$2,英雄装备!$1:$1,0)-2),装备属性!$A:$C,3,0),VLOOKUP(INDEX(英雄装备!$F:$BZ,MATCH($H20,英雄装备!$F:$F,0),MATCH(M$2,英雄装备!$1:$1,0)-1),装备属性!$A:$C,3,0),VLOOKUP(INDEX(英雄装备!$F:$BZ,MATCH($H20,英雄装备!$F:$F,0),MATCH(M$2,英雄装备!$1:$1,0)),装备属性!$A:$C,3,0))</f>
        <v>44</v>
      </c>
      <c r="N20" s="51">
        <f>MAX(VLOOKUP(INDEX(英雄装备!$F:$BZ,MATCH($H20,英雄装备!$F:$F,0),MATCH(N$2,英雄装备!$1:$1,0)-5),装备属性!$A:$C,3,0),VLOOKUP(INDEX(英雄装备!$F:$BZ,MATCH($H20,英雄装备!$F:$F,0),MATCH(N$2,英雄装备!$1:$1,0)-4),装备属性!$A:$C,3,0),VLOOKUP(INDEX(英雄装备!$F:$BZ,MATCH($H20,英雄装备!$F:$F,0),MATCH(N$2,英雄装备!$1:$1,0)-3),装备属性!$A:$C,3,0),VLOOKUP(INDEX(英雄装备!$F:$BZ,MATCH($H20,英雄装备!$F:$F,0),MATCH(N$2,英雄装备!$1:$1,0)-2),装备属性!$A:$C,3,0),VLOOKUP(INDEX(英雄装备!$F:$BZ,MATCH($H20,英雄装备!$F:$F,0),MATCH(N$2,英雄装备!$1:$1,0)-1),装备属性!$A:$C,3,0),VLOOKUP(INDEX(英雄装备!$F:$BZ,MATCH($H20,英雄装备!$F:$F,0),MATCH(N$2,英雄装备!$1:$1,0)),装备属性!$A:$C,3,0))</f>
        <v>51</v>
      </c>
      <c r="O20" s="51">
        <f>MAX(VLOOKUP(INDEX(英雄装备!$F:$BZ,MATCH($H20,英雄装备!$F:$F,0),MATCH(O$2,英雄装备!$1:$1,0)-5),装备属性!$A:$C,3,0),VLOOKUP(INDEX(英雄装备!$F:$BZ,MATCH($H20,英雄装备!$F:$F,0),MATCH(O$2,英雄装备!$1:$1,0)-4),装备属性!$A:$C,3,0),VLOOKUP(INDEX(英雄装备!$F:$BZ,MATCH($H20,英雄装备!$F:$F,0),MATCH(O$2,英雄装备!$1:$1,0)-3),装备属性!$A:$C,3,0),VLOOKUP(INDEX(英雄装备!$F:$BZ,MATCH($H20,英雄装备!$F:$F,0),MATCH(O$2,英雄装备!$1:$1,0)-2),装备属性!$A:$C,3,0),VLOOKUP(INDEX(英雄装备!$F:$BZ,MATCH($H20,英雄装备!$F:$F,0),MATCH(O$2,英雄装备!$1:$1,0)-1),装备属性!$A:$C,3,0),VLOOKUP(INDEX(英雄装备!$F:$BZ,MATCH($H20,英雄装备!$F:$F,0),MATCH(O$2,英雄装备!$1:$1,0)),装备属性!$A:$C,3,0))</f>
        <v>65</v>
      </c>
      <c r="P20" s="51">
        <f>MAX(VLOOKUP(INDEX(英雄装备!$F:$BZ,MATCH($H20,英雄装备!$F:$F,0),MATCH(P$2,英雄装备!$1:$1,0)-5),装备属性!$A:$C,3,0),VLOOKUP(INDEX(英雄装备!$F:$BZ,MATCH($H20,英雄装备!$F:$F,0),MATCH(P$2,英雄装备!$1:$1,0)-4),装备属性!$A:$C,3,0),VLOOKUP(INDEX(英雄装备!$F:$BZ,MATCH($H20,英雄装备!$F:$F,0),MATCH(P$2,英雄装备!$1:$1,0)-3),装备属性!$A:$C,3,0),VLOOKUP(INDEX(英雄装备!$F:$BZ,MATCH($H20,英雄装备!$F:$F,0),MATCH(P$2,英雄装备!$1:$1,0)-2),装备属性!$A:$C,3,0),VLOOKUP(INDEX(英雄装备!$F:$BZ,MATCH($H20,英雄装备!$F:$F,0),MATCH(P$2,英雄装备!$1:$1,0)-1),装备属性!$A:$C,3,0),VLOOKUP(INDEX(英雄装备!$F:$BZ,MATCH($H20,英雄装备!$F:$F,0),MATCH(P$2,英雄装备!$1:$1,0)),装备属性!$A:$C,3,0))</f>
        <v>73</v>
      </c>
      <c r="Q20" s="51">
        <f>MAX(VLOOKUP(INDEX(英雄装备!$F:$BZ,MATCH($H20,英雄装备!$F:$F,0),MATCH(Q$2,英雄装备!$1:$1,0)-5),装备属性!$A:$C,3,0),VLOOKUP(INDEX(英雄装备!$F:$BZ,MATCH($H20,英雄装备!$F:$F,0),MATCH(Q$2,英雄装备!$1:$1,0)-4),装备属性!$A:$C,3,0),VLOOKUP(INDEX(英雄装备!$F:$BZ,MATCH($H20,英雄装备!$F:$F,0),MATCH(Q$2,英雄装备!$1:$1,0)-3),装备属性!$A:$C,3,0),VLOOKUP(INDEX(英雄装备!$F:$BZ,MATCH($H20,英雄装备!$F:$F,0),MATCH(Q$2,英雄装备!$1:$1,0)-2),装备属性!$A:$C,3,0),VLOOKUP(INDEX(英雄装备!$F:$BZ,MATCH($H20,英雄装备!$F:$F,0),MATCH(Q$2,英雄装备!$1:$1,0)-1),装备属性!$A:$C,3,0),VLOOKUP(INDEX(英雄装备!$F:$BZ,MATCH($H20,英雄装备!$F:$F,0),MATCH(Q$2,英雄装备!$1:$1,0)),装备属性!$A:$C,3,0))</f>
        <v>79</v>
      </c>
      <c r="R20" s="51">
        <f>MAX(VLOOKUP(INDEX(英雄装备!$F:$BZ,MATCH($H20,英雄装备!$F:$F,0),MATCH(R$2,英雄装备!$1:$1,0)-5),装备属性!$A:$C,3,0),VLOOKUP(INDEX(英雄装备!$F:$BZ,MATCH($H20,英雄装备!$F:$F,0),MATCH(R$2,英雄装备!$1:$1,0)-4),装备属性!$A:$C,3,0),VLOOKUP(INDEX(英雄装备!$F:$BZ,MATCH($H20,英雄装备!$F:$F,0),MATCH(R$2,英雄装备!$1:$1,0)-3),装备属性!$A:$C,3,0),VLOOKUP(INDEX(英雄装备!$F:$BZ,MATCH($H20,英雄装备!$F:$F,0),MATCH(R$2,英雄装备!$1:$1,0)-2),装备属性!$A:$C,3,0),VLOOKUP(INDEX(英雄装备!$F:$BZ,MATCH($H20,英雄装备!$F:$F,0),MATCH(R$2,英雄装备!$1:$1,0)-1),装备属性!$A:$C,3,0),VLOOKUP(INDEX(英雄装备!$F:$BZ,MATCH($H20,英雄装备!$F:$F,0),MATCH(R$2,英雄装备!$1:$1,0)),装备属性!$A:$C,3,0))</f>
        <v>80</v>
      </c>
      <c r="S20" s="51">
        <f>MAX(VLOOKUP(INDEX(英雄装备!$F:$BZ,MATCH($H20,英雄装备!$F:$F,0),MATCH(S$2,英雄装备!$1:$1,0)-5),装备属性!$A:$C,3,0),VLOOKUP(INDEX(英雄装备!$F:$BZ,MATCH($H20,英雄装备!$F:$F,0),MATCH(S$2,英雄装备!$1:$1,0)-4),装备属性!$A:$C,3,0),VLOOKUP(INDEX(英雄装备!$F:$BZ,MATCH($H20,英雄装备!$F:$F,0),MATCH(S$2,英雄装备!$1:$1,0)-3),装备属性!$A:$C,3,0),VLOOKUP(INDEX(英雄装备!$F:$BZ,MATCH($H20,英雄装备!$F:$F,0),MATCH(S$2,英雄装备!$1:$1,0)-2),装备属性!$A:$C,3,0),VLOOKUP(INDEX(英雄装备!$F:$BZ,MATCH($H20,英雄装备!$F:$F,0),MATCH(S$2,英雄装备!$1:$1,0)-1),装备属性!$A:$C,3,0),VLOOKUP(INDEX(英雄装备!$F:$BZ,MATCH($H20,英雄装备!$F:$F,0),MATCH(S$2,英雄装备!$1:$1,0)),装备属性!$A:$C,3,0))</f>
        <v>85</v>
      </c>
      <c r="T20" s="51">
        <f>MAX(VLOOKUP(INDEX(英雄装备!$F:$BZ,MATCH($H20,英雄装备!$F:$F,0),MATCH(T$2,英雄装备!$1:$1,0)-5),装备属性!$A:$C,3,0),VLOOKUP(INDEX(英雄装备!$F:$BZ,MATCH($H20,英雄装备!$F:$F,0),MATCH(T$2,英雄装备!$1:$1,0)-4),装备属性!$A:$C,3,0),VLOOKUP(INDEX(英雄装备!$F:$BZ,MATCH($H20,英雄装备!$F:$F,0),MATCH(T$2,英雄装备!$1:$1,0)-3),装备属性!$A:$C,3,0),VLOOKUP(INDEX(英雄装备!$F:$BZ,MATCH($H20,英雄装备!$F:$F,0),MATCH(T$2,英雄装备!$1:$1,0)-2),装备属性!$A:$C,3,0),VLOOKUP(INDEX(英雄装备!$F:$BZ,MATCH($H20,英雄装备!$F:$F,0),MATCH(T$2,英雄装备!$1:$1,0)-1),装备属性!$A:$C,3,0))</f>
        <v>89</v>
      </c>
      <c r="W20" s="108">
        <f t="shared" si="3"/>
        <v>1</v>
      </c>
      <c r="X20" s="151">
        <f>IF(X7="暂无","暂无",IF(VLOOKUP(X7,装备属性!$A:$C,3,0)&gt;英雄对比!$C$4,0,1))</f>
        <v>1</v>
      </c>
      <c r="Y20" s="151">
        <f>IF(Y7="暂无","暂无",IF(VLOOKUP(Y7,装备属性!$A:$C,3,0)&gt;英雄对比!$C$4,0,1))</f>
        <v>1</v>
      </c>
      <c r="Z20" s="151">
        <f>IF(Z7="暂无","暂无",IF(VLOOKUP(Z7,装备属性!$A:$C,3,0)&gt;英雄对比!$C$4,0,1))</f>
        <v>1</v>
      </c>
      <c r="AA20" s="151">
        <f>IF(AA7="暂无","暂无",IF(VLOOKUP(AA7,装备属性!$A:$C,3,0)&gt;英雄对比!$C$4,0,1))</f>
        <v>1</v>
      </c>
      <c r="AB20" s="151">
        <f>IF(AB7="暂无","暂无",IF(VLOOKUP(AB7,装备属性!$A:$C,3,0)&gt;英雄对比!$C$4,0,1))</f>
        <v>1</v>
      </c>
      <c r="AC20" s="151">
        <f>IF(AC7="暂无","暂无",IF(VLOOKUP(AC7,装备属性!$A:$C,3,0)&gt;英雄对比!$C$4,0,1))</f>
        <v>1</v>
      </c>
    </row>
    <row r="21" spans="2:54">
      <c r="B21" s="151" t="str">
        <f>英雄初始!A22</f>
        <v>巨魔</v>
      </c>
      <c r="E21" s="151" t="str">
        <f>进阶奖励!$A25</f>
        <v>紫+4</v>
      </c>
      <c r="F21" s="151">
        <v>11</v>
      </c>
      <c r="G21" s="152">
        <f>VLOOKUP(英雄对比!$C$2,中介表格2!$H:$T,12,0)</f>
        <v>84</v>
      </c>
      <c r="H21" s="54" t="s">
        <v>174</v>
      </c>
      <c r="I21" s="51">
        <f>MAX(VLOOKUP(INDEX(英雄装备!$F:$BZ,MATCH($H21,英雄装备!$F:$F,0),MATCH(I$2,英雄装备!$1:$1,0)-5),装备属性!$A:$C,3,0),VLOOKUP(INDEX(英雄装备!$F:$BZ,MATCH($H21,英雄装备!$F:$F,0),MATCH(I$2,英雄装备!$1:$1,0)-4),装备属性!$A:$C,3,0),VLOOKUP(INDEX(英雄装备!$F:$BZ,MATCH($H21,英雄装备!$F:$F,0),MATCH(I$2,英雄装备!$1:$1,0)-3),装备属性!$A:$C,3,0),VLOOKUP(INDEX(英雄装备!$F:$BZ,MATCH($H21,英雄装备!$F:$F,0),MATCH(I$2,英雄装备!$1:$1,0)-2),装备属性!$A:$C,3,0),VLOOKUP(INDEX(英雄装备!$F:$BZ,MATCH($H21,英雄装备!$F:$F,0),MATCH(I$2,英雄装备!$1:$1,0)-1),装备属性!$A:$C,3,0),VLOOKUP(INDEX(英雄装备!$F:$BZ,MATCH($H21,英雄装备!$F:$F,0),MATCH(I$2,英雄装备!$1:$1,0)),装备属性!$A:$C,3,0))</f>
        <v>2</v>
      </c>
      <c r="J21" s="51">
        <f>MAX(VLOOKUP(INDEX(英雄装备!$F:$BZ,MATCH($H21,英雄装备!$F:$F,0),MATCH(J$2,英雄装备!$1:$1,0)-5),装备属性!$A:$C,3,0),VLOOKUP(INDEX(英雄装备!$F:$BZ,MATCH($H21,英雄装备!$F:$F,0),MATCH(J$2,英雄装备!$1:$1,0)-4),装备属性!$A:$C,3,0),VLOOKUP(INDEX(英雄装备!$F:$BZ,MATCH($H21,英雄装备!$F:$F,0),MATCH(J$2,英雄装备!$1:$1,0)-3),装备属性!$A:$C,3,0),VLOOKUP(INDEX(英雄装备!$F:$BZ,MATCH($H21,英雄装备!$F:$F,0),MATCH(J$2,英雄装备!$1:$1,0)-2),装备属性!$A:$C,3,0),VLOOKUP(INDEX(英雄装备!$F:$BZ,MATCH($H21,英雄装备!$F:$F,0),MATCH(J$2,英雄装备!$1:$1,0)-1),装备属性!$A:$C,3,0),VLOOKUP(INDEX(英雄装备!$F:$BZ,MATCH($H21,英雄装备!$F:$F,0),MATCH(J$2,英雄装备!$1:$1,0)),装备属性!$A:$C,3,0))</f>
        <v>10</v>
      </c>
      <c r="K21" s="51">
        <f>MAX(VLOOKUP(INDEX(英雄装备!$F:$BZ,MATCH($H21,英雄装备!$F:$F,0),MATCH(K$2,英雄装备!$1:$1,0)-5),装备属性!$A:$C,3,0),VLOOKUP(INDEX(英雄装备!$F:$BZ,MATCH($H21,英雄装备!$F:$F,0),MATCH(K$2,英雄装备!$1:$1,0)-4),装备属性!$A:$C,3,0),VLOOKUP(INDEX(英雄装备!$F:$BZ,MATCH($H21,英雄装备!$F:$F,0),MATCH(K$2,英雄装备!$1:$1,0)-3),装备属性!$A:$C,3,0),VLOOKUP(INDEX(英雄装备!$F:$BZ,MATCH($H21,英雄装备!$F:$F,0),MATCH(K$2,英雄装备!$1:$1,0)-2),装备属性!$A:$C,3,0),VLOOKUP(INDEX(英雄装备!$F:$BZ,MATCH($H21,英雄装备!$F:$F,0),MATCH(K$2,英雄装备!$1:$1,0)-1),装备属性!$A:$C,3,0),VLOOKUP(INDEX(英雄装备!$F:$BZ,MATCH($H21,英雄装备!$F:$F,0),MATCH(K$2,英雄装备!$1:$1,0)),装备属性!$A:$C,3,0))</f>
        <v>24</v>
      </c>
      <c r="L21" s="51">
        <f>MAX(VLOOKUP(INDEX(英雄装备!$F:$BZ,MATCH($H21,英雄装备!$F:$F,0),MATCH(L$2,英雄装备!$1:$1,0)-5),装备属性!$A:$C,3,0),VLOOKUP(INDEX(英雄装备!$F:$BZ,MATCH($H21,英雄装备!$F:$F,0),MATCH(L$2,英雄装备!$1:$1,0)-4),装备属性!$A:$C,3,0),VLOOKUP(INDEX(英雄装备!$F:$BZ,MATCH($H21,英雄装备!$F:$F,0),MATCH(L$2,英雄装备!$1:$1,0)-3),装备属性!$A:$C,3,0),VLOOKUP(INDEX(英雄装备!$F:$BZ,MATCH($H21,英雄装备!$F:$F,0),MATCH(L$2,英雄装备!$1:$1,0)-2),装备属性!$A:$C,3,0),VLOOKUP(INDEX(英雄装备!$F:$BZ,MATCH($H21,英雄装备!$F:$F,0),MATCH(L$2,英雄装备!$1:$1,0)-1),装备属性!$A:$C,3,0),VLOOKUP(INDEX(英雄装备!$F:$BZ,MATCH($H21,英雄装备!$F:$F,0),MATCH(L$2,英雄装备!$1:$1,0)),装备属性!$A:$C,3,0))</f>
        <v>37</v>
      </c>
      <c r="M21" s="51">
        <f>MAX(VLOOKUP(INDEX(英雄装备!$F:$BZ,MATCH($H21,英雄装备!$F:$F,0),MATCH(M$2,英雄装备!$1:$1,0)-5),装备属性!$A:$C,3,0),VLOOKUP(INDEX(英雄装备!$F:$BZ,MATCH($H21,英雄装备!$F:$F,0),MATCH(M$2,英雄装备!$1:$1,0)-4),装备属性!$A:$C,3,0),VLOOKUP(INDEX(英雄装备!$F:$BZ,MATCH($H21,英雄装备!$F:$F,0),MATCH(M$2,英雄装备!$1:$1,0)-3),装备属性!$A:$C,3,0),VLOOKUP(INDEX(英雄装备!$F:$BZ,MATCH($H21,英雄装备!$F:$F,0),MATCH(M$2,英雄装备!$1:$1,0)-2),装备属性!$A:$C,3,0),VLOOKUP(INDEX(英雄装备!$F:$BZ,MATCH($H21,英雄装备!$F:$F,0),MATCH(M$2,英雄装备!$1:$1,0)-1),装备属性!$A:$C,3,0),VLOOKUP(INDEX(英雄装备!$F:$BZ,MATCH($H21,英雄装备!$F:$F,0),MATCH(M$2,英雄装备!$1:$1,0)),装备属性!$A:$C,3,0))</f>
        <v>44</v>
      </c>
      <c r="N21" s="51">
        <f>MAX(VLOOKUP(INDEX(英雄装备!$F:$BZ,MATCH($H21,英雄装备!$F:$F,0),MATCH(N$2,英雄装备!$1:$1,0)-5),装备属性!$A:$C,3,0),VLOOKUP(INDEX(英雄装备!$F:$BZ,MATCH($H21,英雄装备!$F:$F,0),MATCH(N$2,英雄装备!$1:$1,0)-4),装备属性!$A:$C,3,0),VLOOKUP(INDEX(英雄装备!$F:$BZ,MATCH($H21,英雄装备!$F:$F,0),MATCH(N$2,英雄装备!$1:$1,0)-3),装备属性!$A:$C,3,0),VLOOKUP(INDEX(英雄装备!$F:$BZ,MATCH($H21,英雄装备!$F:$F,0),MATCH(N$2,英雄装备!$1:$1,0)-2),装备属性!$A:$C,3,0),VLOOKUP(INDEX(英雄装备!$F:$BZ,MATCH($H21,英雄装备!$F:$F,0),MATCH(N$2,英雄装备!$1:$1,0)-1),装备属性!$A:$C,3,0),VLOOKUP(INDEX(英雄装备!$F:$BZ,MATCH($H21,英雄装备!$F:$F,0),MATCH(N$2,英雄装备!$1:$1,0)),装备属性!$A:$C,3,0))</f>
        <v>50</v>
      </c>
      <c r="O21" s="51">
        <f>MAX(VLOOKUP(INDEX(英雄装备!$F:$BZ,MATCH($H21,英雄装备!$F:$F,0),MATCH(O$2,英雄装备!$1:$1,0)-5),装备属性!$A:$C,3,0),VLOOKUP(INDEX(英雄装备!$F:$BZ,MATCH($H21,英雄装备!$F:$F,0),MATCH(O$2,英雄装备!$1:$1,0)-4),装备属性!$A:$C,3,0),VLOOKUP(INDEX(英雄装备!$F:$BZ,MATCH($H21,英雄装备!$F:$F,0),MATCH(O$2,英雄装备!$1:$1,0)-3),装备属性!$A:$C,3,0),VLOOKUP(INDEX(英雄装备!$F:$BZ,MATCH($H21,英雄装备!$F:$F,0),MATCH(O$2,英雄装备!$1:$1,0)-2),装备属性!$A:$C,3,0),VLOOKUP(INDEX(英雄装备!$F:$BZ,MATCH($H21,英雄装备!$F:$F,0),MATCH(O$2,英雄装备!$1:$1,0)-1),装备属性!$A:$C,3,0),VLOOKUP(INDEX(英雄装备!$F:$BZ,MATCH($H21,英雄装备!$F:$F,0),MATCH(O$2,英雄装备!$1:$1,0)),装备属性!$A:$C,3,0))</f>
        <v>64</v>
      </c>
      <c r="P21" s="51">
        <f>MAX(VLOOKUP(INDEX(英雄装备!$F:$BZ,MATCH($H21,英雄装备!$F:$F,0),MATCH(P$2,英雄装备!$1:$1,0)-5),装备属性!$A:$C,3,0),VLOOKUP(INDEX(英雄装备!$F:$BZ,MATCH($H21,英雄装备!$F:$F,0),MATCH(P$2,英雄装备!$1:$1,0)-4),装备属性!$A:$C,3,0),VLOOKUP(INDEX(英雄装备!$F:$BZ,MATCH($H21,英雄装备!$F:$F,0),MATCH(P$2,英雄装备!$1:$1,0)-3),装备属性!$A:$C,3,0),VLOOKUP(INDEX(英雄装备!$F:$BZ,MATCH($H21,英雄装备!$F:$F,0),MATCH(P$2,英雄装备!$1:$1,0)-2),装备属性!$A:$C,3,0),VLOOKUP(INDEX(英雄装备!$F:$BZ,MATCH($H21,英雄装备!$F:$F,0),MATCH(P$2,英雄装备!$1:$1,0)-1),装备属性!$A:$C,3,0),VLOOKUP(INDEX(英雄装备!$F:$BZ,MATCH($H21,英雄装备!$F:$F,0),MATCH(P$2,英雄装备!$1:$1,0)),装备属性!$A:$C,3,0))</f>
        <v>73</v>
      </c>
      <c r="Q21" s="51">
        <f>MAX(VLOOKUP(INDEX(英雄装备!$F:$BZ,MATCH($H21,英雄装备!$F:$F,0),MATCH(Q$2,英雄装备!$1:$1,0)-5),装备属性!$A:$C,3,0),VLOOKUP(INDEX(英雄装备!$F:$BZ,MATCH($H21,英雄装备!$F:$F,0),MATCH(Q$2,英雄装备!$1:$1,0)-4),装备属性!$A:$C,3,0),VLOOKUP(INDEX(英雄装备!$F:$BZ,MATCH($H21,英雄装备!$F:$F,0),MATCH(Q$2,英雄装备!$1:$1,0)-3),装备属性!$A:$C,3,0),VLOOKUP(INDEX(英雄装备!$F:$BZ,MATCH($H21,英雄装备!$F:$F,0),MATCH(Q$2,英雄装备!$1:$1,0)-2),装备属性!$A:$C,3,0),VLOOKUP(INDEX(英雄装备!$F:$BZ,MATCH($H21,英雄装备!$F:$F,0),MATCH(Q$2,英雄装备!$1:$1,0)-1),装备属性!$A:$C,3,0),VLOOKUP(INDEX(英雄装备!$F:$BZ,MATCH($H21,英雄装备!$F:$F,0),MATCH(Q$2,英雄装备!$1:$1,0)),装备属性!$A:$C,3,0))</f>
        <v>80</v>
      </c>
      <c r="R21" s="51">
        <f>MAX(VLOOKUP(INDEX(英雄装备!$F:$BZ,MATCH($H21,英雄装备!$F:$F,0),MATCH(R$2,英雄装备!$1:$1,0)-5),装备属性!$A:$C,3,0),VLOOKUP(INDEX(英雄装备!$F:$BZ,MATCH($H21,英雄装备!$F:$F,0),MATCH(R$2,英雄装备!$1:$1,0)-4),装备属性!$A:$C,3,0),VLOOKUP(INDEX(英雄装备!$F:$BZ,MATCH($H21,英雄装备!$F:$F,0),MATCH(R$2,英雄装备!$1:$1,0)-3),装备属性!$A:$C,3,0),VLOOKUP(INDEX(英雄装备!$F:$BZ,MATCH($H21,英雄装备!$F:$F,0),MATCH(R$2,英雄装备!$1:$1,0)-2),装备属性!$A:$C,3,0),VLOOKUP(INDEX(英雄装备!$F:$BZ,MATCH($H21,英雄装备!$F:$F,0),MATCH(R$2,英雄装备!$1:$1,0)-1),装备属性!$A:$C,3,0),VLOOKUP(INDEX(英雄装备!$F:$BZ,MATCH($H21,英雄装备!$F:$F,0),MATCH(R$2,英雄装备!$1:$1,0)),装备属性!$A:$C,3,0))</f>
        <v>79</v>
      </c>
      <c r="S21" s="51">
        <f>MAX(VLOOKUP(INDEX(英雄装备!$F:$BZ,MATCH($H21,英雄装备!$F:$F,0),MATCH(S$2,英雄装备!$1:$1,0)-5),装备属性!$A:$C,3,0),VLOOKUP(INDEX(英雄装备!$F:$BZ,MATCH($H21,英雄装备!$F:$F,0),MATCH(S$2,英雄装备!$1:$1,0)-4),装备属性!$A:$C,3,0),VLOOKUP(INDEX(英雄装备!$F:$BZ,MATCH($H21,英雄装备!$F:$F,0),MATCH(S$2,英雄装备!$1:$1,0)-3),装备属性!$A:$C,3,0),VLOOKUP(INDEX(英雄装备!$F:$BZ,MATCH($H21,英雄装备!$F:$F,0),MATCH(S$2,英雄装备!$1:$1,0)-2),装备属性!$A:$C,3,0),VLOOKUP(INDEX(英雄装备!$F:$BZ,MATCH($H21,英雄装备!$F:$F,0),MATCH(S$2,英雄装备!$1:$1,0)-1),装备属性!$A:$C,3,0),VLOOKUP(INDEX(英雄装备!$F:$BZ,MATCH($H21,英雄装备!$F:$F,0),MATCH(S$2,英雄装备!$1:$1,0)),装备属性!$A:$C,3,0))</f>
        <v>85</v>
      </c>
      <c r="T21" s="51">
        <f>MAX(VLOOKUP(INDEX(英雄装备!$F:$BZ,MATCH($H21,英雄装备!$F:$F,0),MATCH(T$2,英雄装备!$1:$1,0)-5),装备属性!$A:$C,3,0),VLOOKUP(INDEX(英雄装备!$F:$BZ,MATCH($H21,英雄装备!$F:$F,0),MATCH(T$2,英雄装备!$1:$1,0)-4),装备属性!$A:$C,3,0),VLOOKUP(INDEX(英雄装备!$F:$BZ,MATCH($H21,英雄装备!$F:$F,0),MATCH(T$2,英雄装备!$1:$1,0)-3),装备属性!$A:$C,3,0),VLOOKUP(INDEX(英雄装备!$F:$BZ,MATCH($H21,英雄装备!$F:$F,0),MATCH(T$2,英雄装备!$1:$1,0)-2),装备属性!$A:$C,3,0),VLOOKUP(INDEX(英雄装备!$F:$BZ,MATCH($H21,英雄装备!$F:$F,0),MATCH(T$2,英雄装备!$1:$1,0)-1),装备属性!$A:$C,3,0))</f>
        <v>89</v>
      </c>
      <c r="W21" s="108">
        <f t="shared" si="3"/>
        <v>1</v>
      </c>
      <c r="X21" s="151">
        <f>IF(X8="暂无","暂无",IF(VLOOKUP(X8,装备属性!$A:$C,3,0)&gt;英雄对比!$C$4,0,1))</f>
        <v>1</v>
      </c>
      <c r="Y21" s="151">
        <f>IF(Y8="暂无","暂无",IF(VLOOKUP(Y8,装备属性!$A:$C,3,0)&gt;英雄对比!$C$4,0,1))</f>
        <v>1</v>
      </c>
      <c r="Z21" s="151">
        <f>IF(Z8="暂无","暂无",IF(VLOOKUP(Z8,装备属性!$A:$C,3,0)&gt;英雄对比!$C$4,0,1))</f>
        <v>1</v>
      </c>
      <c r="AA21" s="151">
        <f>IF(AA8="暂无","暂无",IF(VLOOKUP(AA8,装备属性!$A:$C,3,0)&gt;英雄对比!$C$4,0,1))</f>
        <v>1</v>
      </c>
      <c r="AB21" s="151">
        <f>IF(AB8="暂无","暂无",IF(VLOOKUP(AB8,装备属性!$A:$C,3,0)&gt;英雄对比!$C$4,0,1))</f>
        <v>1</v>
      </c>
      <c r="AC21" s="151">
        <f>IF(AC8="暂无","暂无",IF(VLOOKUP(AC8,装备属性!$A:$C,3,0)&gt;英雄对比!$C$4,0,1))</f>
        <v>1</v>
      </c>
    </row>
    <row r="22" spans="2:54">
      <c r="B22" s="151" t="str">
        <f>英雄初始!A23</f>
        <v>拍拍熊</v>
      </c>
      <c r="E22" s="151" t="str">
        <f>进阶奖励!$A26</f>
        <v>橙</v>
      </c>
      <c r="F22" s="151">
        <v>12</v>
      </c>
      <c r="G22" s="152">
        <f>VLOOKUP(英雄对比!$C$2,中介表格2!$H:$T,13,0)</f>
        <v>89</v>
      </c>
      <c r="H22" s="54" t="s">
        <v>175</v>
      </c>
      <c r="I22" s="51">
        <f>MAX(VLOOKUP(INDEX(英雄装备!$F:$BZ,MATCH($H22,英雄装备!$F:$F,0),MATCH(I$2,英雄装备!$1:$1,0)-5),装备属性!$A:$C,3,0),VLOOKUP(INDEX(英雄装备!$F:$BZ,MATCH($H22,英雄装备!$F:$F,0),MATCH(I$2,英雄装备!$1:$1,0)-4),装备属性!$A:$C,3,0),VLOOKUP(INDEX(英雄装备!$F:$BZ,MATCH($H22,英雄装备!$F:$F,0),MATCH(I$2,英雄装备!$1:$1,0)-3),装备属性!$A:$C,3,0),VLOOKUP(INDEX(英雄装备!$F:$BZ,MATCH($H22,英雄装备!$F:$F,0),MATCH(I$2,英雄装备!$1:$1,0)-2),装备属性!$A:$C,3,0),VLOOKUP(INDEX(英雄装备!$F:$BZ,MATCH($H22,英雄装备!$F:$F,0),MATCH(I$2,英雄装备!$1:$1,0)-1),装备属性!$A:$C,3,0),VLOOKUP(INDEX(英雄装备!$F:$BZ,MATCH($H22,英雄装备!$F:$F,0),MATCH(I$2,英雄装备!$1:$1,0)),装备属性!$A:$C,3,0))</f>
        <v>2</v>
      </c>
      <c r="J22" s="51">
        <f>MAX(VLOOKUP(INDEX(英雄装备!$F:$BZ,MATCH($H22,英雄装备!$F:$F,0),MATCH(J$2,英雄装备!$1:$1,0)-5),装备属性!$A:$C,3,0),VLOOKUP(INDEX(英雄装备!$F:$BZ,MATCH($H22,英雄装备!$F:$F,0),MATCH(J$2,英雄装备!$1:$1,0)-4),装备属性!$A:$C,3,0),VLOOKUP(INDEX(英雄装备!$F:$BZ,MATCH($H22,英雄装备!$F:$F,0),MATCH(J$2,英雄装备!$1:$1,0)-3),装备属性!$A:$C,3,0),VLOOKUP(INDEX(英雄装备!$F:$BZ,MATCH($H22,英雄装备!$F:$F,0),MATCH(J$2,英雄装备!$1:$1,0)-2),装备属性!$A:$C,3,0),VLOOKUP(INDEX(英雄装备!$F:$BZ,MATCH($H22,英雄装备!$F:$F,0),MATCH(J$2,英雄装备!$1:$1,0)-1),装备属性!$A:$C,3,0),VLOOKUP(INDEX(英雄装备!$F:$BZ,MATCH($H22,英雄装备!$F:$F,0),MATCH(J$2,英雄装备!$1:$1,0)),装备属性!$A:$C,3,0))</f>
        <v>10</v>
      </c>
      <c r="K22" s="51">
        <f>MAX(VLOOKUP(INDEX(英雄装备!$F:$BZ,MATCH($H22,英雄装备!$F:$F,0),MATCH(K$2,英雄装备!$1:$1,0)-5),装备属性!$A:$C,3,0),VLOOKUP(INDEX(英雄装备!$F:$BZ,MATCH($H22,英雄装备!$F:$F,0),MATCH(K$2,英雄装备!$1:$1,0)-4),装备属性!$A:$C,3,0),VLOOKUP(INDEX(英雄装备!$F:$BZ,MATCH($H22,英雄装备!$F:$F,0),MATCH(K$2,英雄装备!$1:$1,0)-3),装备属性!$A:$C,3,0),VLOOKUP(INDEX(英雄装备!$F:$BZ,MATCH($H22,英雄装备!$F:$F,0),MATCH(K$2,英雄装备!$1:$1,0)-2),装备属性!$A:$C,3,0),VLOOKUP(INDEX(英雄装备!$F:$BZ,MATCH($H22,英雄装备!$F:$F,0),MATCH(K$2,英雄装备!$1:$1,0)-1),装备属性!$A:$C,3,0),VLOOKUP(INDEX(英雄装备!$F:$BZ,MATCH($H22,英雄装备!$F:$F,0),MATCH(K$2,英雄装备!$1:$1,0)),装备属性!$A:$C,3,0))</f>
        <v>20</v>
      </c>
      <c r="L22" s="51">
        <f>MAX(VLOOKUP(INDEX(英雄装备!$F:$BZ,MATCH($H22,英雄装备!$F:$F,0),MATCH(L$2,英雄装备!$1:$1,0)-5),装备属性!$A:$C,3,0),VLOOKUP(INDEX(英雄装备!$F:$BZ,MATCH($H22,英雄装备!$F:$F,0),MATCH(L$2,英雄装备!$1:$1,0)-4),装备属性!$A:$C,3,0),VLOOKUP(INDEX(英雄装备!$F:$BZ,MATCH($H22,英雄装备!$F:$F,0),MATCH(L$2,英雄装备!$1:$1,0)-3),装备属性!$A:$C,3,0),VLOOKUP(INDEX(英雄装备!$F:$BZ,MATCH($H22,英雄装备!$F:$F,0),MATCH(L$2,英雄装备!$1:$1,0)-2),装备属性!$A:$C,3,0),VLOOKUP(INDEX(英雄装备!$F:$BZ,MATCH($H22,英雄装备!$F:$F,0),MATCH(L$2,英雄装备!$1:$1,0)-1),装备属性!$A:$C,3,0),VLOOKUP(INDEX(英雄装备!$F:$BZ,MATCH($H22,英雄装备!$F:$F,0),MATCH(L$2,英雄装备!$1:$1,0)),装备属性!$A:$C,3,0))</f>
        <v>35</v>
      </c>
      <c r="M22" s="51">
        <f>MAX(VLOOKUP(INDEX(英雄装备!$F:$BZ,MATCH($H22,英雄装备!$F:$F,0),MATCH(M$2,英雄装备!$1:$1,0)-5),装备属性!$A:$C,3,0),VLOOKUP(INDEX(英雄装备!$F:$BZ,MATCH($H22,英雄装备!$F:$F,0),MATCH(M$2,英雄装备!$1:$1,0)-4),装备属性!$A:$C,3,0),VLOOKUP(INDEX(英雄装备!$F:$BZ,MATCH($H22,英雄装备!$F:$F,0),MATCH(M$2,英雄装备!$1:$1,0)-3),装备属性!$A:$C,3,0),VLOOKUP(INDEX(英雄装备!$F:$BZ,MATCH($H22,英雄装备!$F:$F,0),MATCH(M$2,英雄装备!$1:$1,0)-2),装备属性!$A:$C,3,0),VLOOKUP(INDEX(英雄装备!$F:$BZ,MATCH($H22,英雄装备!$F:$F,0),MATCH(M$2,英雄装备!$1:$1,0)-1),装备属性!$A:$C,3,0),VLOOKUP(INDEX(英雄装备!$F:$BZ,MATCH($H22,英雄装备!$F:$F,0),MATCH(M$2,英雄装备!$1:$1,0)),装备属性!$A:$C,3,0))</f>
        <v>42</v>
      </c>
      <c r="N22" s="51">
        <f>MAX(VLOOKUP(INDEX(英雄装备!$F:$BZ,MATCH($H22,英雄装备!$F:$F,0),MATCH(N$2,英雄装备!$1:$1,0)-5),装备属性!$A:$C,3,0),VLOOKUP(INDEX(英雄装备!$F:$BZ,MATCH($H22,英雄装备!$F:$F,0),MATCH(N$2,英雄装备!$1:$1,0)-4),装备属性!$A:$C,3,0),VLOOKUP(INDEX(英雄装备!$F:$BZ,MATCH($H22,英雄装备!$F:$F,0),MATCH(N$2,英雄装备!$1:$1,0)-3),装备属性!$A:$C,3,0),VLOOKUP(INDEX(英雄装备!$F:$BZ,MATCH($H22,英雄装备!$F:$F,0),MATCH(N$2,英雄装备!$1:$1,0)-2),装备属性!$A:$C,3,0),VLOOKUP(INDEX(英雄装备!$F:$BZ,MATCH($H22,英雄装备!$F:$F,0),MATCH(N$2,英雄装备!$1:$1,0)-1),装备属性!$A:$C,3,0),VLOOKUP(INDEX(英雄装备!$F:$BZ,MATCH($H22,英雄装备!$F:$F,0),MATCH(N$2,英雄装备!$1:$1,0)),装备属性!$A:$C,3,0))</f>
        <v>53</v>
      </c>
      <c r="O22" s="51">
        <f>MAX(VLOOKUP(INDEX(英雄装备!$F:$BZ,MATCH($H22,英雄装备!$F:$F,0),MATCH(O$2,英雄装备!$1:$1,0)-5),装备属性!$A:$C,3,0),VLOOKUP(INDEX(英雄装备!$F:$BZ,MATCH($H22,英雄装备!$F:$F,0),MATCH(O$2,英雄装备!$1:$1,0)-4),装备属性!$A:$C,3,0),VLOOKUP(INDEX(英雄装备!$F:$BZ,MATCH($H22,英雄装备!$F:$F,0),MATCH(O$2,英雄装备!$1:$1,0)-3),装备属性!$A:$C,3,0),VLOOKUP(INDEX(英雄装备!$F:$BZ,MATCH($H22,英雄装备!$F:$F,0),MATCH(O$2,英雄装备!$1:$1,0)-2),装备属性!$A:$C,3,0),VLOOKUP(INDEX(英雄装备!$F:$BZ,MATCH($H22,英雄装备!$F:$F,0),MATCH(O$2,英雄装备!$1:$1,0)-1),装备属性!$A:$C,3,0),VLOOKUP(INDEX(英雄装备!$F:$BZ,MATCH($H22,英雄装备!$F:$F,0),MATCH(O$2,英雄装备!$1:$1,0)),装备属性!$A:$C,3,0))</f>
        <v>64</v>
      </c>
      <c r="P22" s="51">
        <f>MAX(VLOOKUP(INDEX(英雄装备!$F:$BZ,MATCH($H22,英雄装备!$F:$F,0),MATCH(P$2,英雄装备!$1:$1,0)-5),装备属性!$A:$C,3,0),VLOOKUP(INDEX(英雄装备!$F:$BZ,MATCH($H22,英雄装备!$F:$F,0),MATCH(P$2,英雄装备!$1:$1,0)-4),装备属性!$A:$C,3,0),VLOOKUP(INDEX(英雄装备!$F:$BZ,MATCH($H22,英雄装备!$F:$F,0),MATCH(P$2,英雄装备!$1:$1,0)-3),装备属性!$A:$C,3,0),VLOOKUP(INDEX(英雄装备!$F:$BZ,MATCH($H22,英雄装备!$F:$F,0),MATCH(P$2,英雄装备!$1:$1,0)-2),装备属性!$A:$C,3,0),VLOOKUP(INDEX(英雄装备!$F:$BZ,MATCH($H22,英雄装备!$F:$F,0),MATCH(P$2,英雄装备!$1:$1,0)-1),装备属性!$A:$C,3,0),VLOOKUP(INDEX(英雄装备!$F:$BZ,MATCH($H22,英雄装备!$F:$F,0),MATCH(P$2,英雄装备!$1:$1,0)),装备属性!$A:$C,3,0))</f>
        <v>73</v>
      </c>
      <c r="Q22" s="51">
        <f>MAX(VLOOKUP(INDEX(英雄装备!$F:$BZ,MATCH($H22,英雄装备!$F:$F,0),MATCH(Q$2,英雄装备!$1:$1,0)-5),装备属性!$A:$C,3,0),VLOOKUP(INDEX(英雄装备!$F:$BZ,MATCH($H22,英雄装备!$F:$F,0),MATCH(Q$2,英雄装备!$1:$1,0)-4),装备属性!$A:$C,3,0),VLOOKUP(INDEX(英雄装备!$F:$BZ,MATCH($H22,英雄装备!$F:$F,0),MATCH(Q$2,英雄装备!$1:$1,0)-3),装备属性!$A:$C,3,0),VLOOKUP(INDEX(英雄装备!$F:$BZ,MATCH($H22,英雄装备!$F:$F,0),MATCH(Q$2,英雄装备!$1:$1,0)-2),装备属性!$A:$C,3,0),VLOOKUP(INDEX(英雄装备!$F:$BZ,MATCH($H22,英雄装备!$F:$F,0),MATCH(Q$2,英雄装备!$1:$1,0)-1),装备属性!$A:$C,3,0),VLOOKUP(INDEX(英雄装备!$F:$BZ,MATCH($H22,英雄装备!$F:$F,0),MATCH(Q$2,英雄装备!$1:$1,0)),装备属性!$A:$C,3,0))</f>
        <v>80</v>
      </c>
      <c r="R22" s="51">
        <f>MAX(VLOOKUP(INDEX(英雄装备!$F:$BZ,MATCH($H22,英雄装备!$F:$F,0),MATCH(R$2,英雄装备!$1:$1,0)-5),装备属性!$A:$C,3,0),VLOOKUP(INDEX(英雄装备!$F:$BZ,MATCH($H22,英雄装备!$F:$F,0),MATCH(R$2,英雄装备!$1:$1,0)-4),装备属性!$A:$C,3,0),VLOOKUP(INDEX(英雄装备!$F:$BZ,MATCH($H22,英雄装备!$F:$F,0),MATCH(R$2,英雄装备!$1:$1,0)-3),装备属性!$A:$C,3,0),VLOOKUP(INDEX(英雄装备!$F:$BZ,MATCH($H22,英雄装备!$F:$F,0),MATCH(R$2,英雄装备!$1:$1,0)-2),装备属性!$A:$C,3,0),VLOOKUP(INDEX(英雄装备!$F:$BZ,MATCH($H22,英雄装备!$F:$F,0),MATCH(R$2,英雄装备!$1:$1,0)-1),装备属性!$A:$C,3,0),VLOOKUP(INDEX(英雄装备!$F:$BZ,MATCH($H22,英雄装备!$F:$F,0),MATCH(R$2,英雄装备!$1:$1,0)),装备属性!$A:$C,3,0))</f>
        <v>78</v>
      </c>
      <c r="S22" s="51">
        <f>MAX(VLOOKUP(INDEX(英雄装备!$F:$BZ,MATCH($H22,英雄装备!$F:$F,0),MATCH(S$2,英雄装备!$1:$1,0)-5),装备属性!$A:$C,3,0),VLOOKUP(INDEX(英雄装备!$F:$BZ,MATCH($H22,英雄装备!$F:$F,0),MATCH(S$2,英雄装备!$1:$1,0)-4),装备属性!$A:$C,3,0),VLOOKUP(INDEX(英雄装备!$F:$BZ,MATCH($H22,英雄装备!$F:$F,0),MATCH(S$2,英雄装备!$1:$1,0)-3),装备属性!$A:$C,3,0),VLOOKUP(INDEX(英雄装备!$F:$BZ,MATCH($H22,英雄装备!$F:$F,0),MATCH(S$2,英雄装备!$1:$1,0)-2),装备属性!$A:$C,3,0),VLOOKUP(INDEX(英雄装备!$F:$BZ,MATCH($H22,英雄装备!$F:$F,0),MATCH(S$2,英雄装备!$1:$1,0)-1),装备属性!$A:$C,3,0),VLOOKUP(INDEX(英雄装备!$F:$BZ,MATCH($H22,英雄装备!$F:$F,0),MATCH(S$2,英雄装备!$1:$1,0)),装备属性!$A:$C,3,0))</f>
        <v>85</v>
      </c>
      <c r="T22" s="51">
        <f>MAX(VLOOKUP(INDEX(英雄装备!$F:$BZ,MATCH($H22,英雄装备!$F:$F,0),MATCH(T$2,英雄装备!$1:$1,0)-5),装备属性!$A:$C,3,0),VLOOKUP(INDEX(英雄装备!$F:$BZ,MATCH($H22,英雄装备!$F:$F,0),MATCH(T$2,英雄装备!$1:$1,0)-4),装备属性!$A:$C,3,0),VLOOKUP(INDEX(英雄装备!$F:$BZ,MATCH($H22,英雄装备!$F:$F,0),MATCH(T$2,英雄装备!$1:$1,0)-3),装备属性!$A:$C,3,0),VLOOKUP(INDEX(英雄装备!$F:$BZ,MATCH($H22,英雄装备!$F:$F,0),MATCH(T$2,英雄装备!$1:$1,0)-2),装备属性!$A:$C,3,0),VLOOKUP(INDEX(英雄装备!$F:$BZ,MATCH($H22,英雄装备!$F:$F,0),MATCH(T$2,英雄装备!$1:$1,0)-1),装备属性!$A:$C,3,0))</f>
        <v>89</v>
      </c>
      <c r="W22" s="108">
        <f t="shared" si="3"/>
        <v>1</v>
      </c>
      <c r="X22" s="151">
        <f>IF(X9="暂无","暂无",IF(VLOOKUP(X9,装备属性!$A:$C,3,0)&gt;英雄对比!$C$4,0,1))</f>
        <v>1</v>
      </c>
      <c r="Y22" s="151">
        <f>IF(Y9="暂无","暂无",IF(VLOOKUP(Y9,装备属性!$A:$C,3,0)&gt;英雄对比!$C$4,0,1))</f>
        <v>1</v>
      </c>
      <c r="Z22" s="151">
        <f>IF(Z9="暂无","暂无",IF(VLOOKUP(Z9,装备属性!$A:$C,3,0)&gt;英雄对比!$C$4,0,1))</f>
        <v>1</v>
      </c>
      <c r="AA22" s="151">
        <f>IF(AA9="暂无","暂无",IF(VLOOKUP(AA9,装备属性!$A:$C,3,0)&gt;英雄对比!$C$4,0,1))</f>
        <v>1</v>
      </c>
      <c r="AB22" s="151">
        <f>IF(AB9="暂无","暂无",IF(VLOOKUP(AB9,装备属性!$A:$C,3,0)&gt;英雄对比!$C$4,0,1))</f>
        <v>1</v>
      </c>
      <c r="AC22" s="151">
        <f>IF(AC9="暂无","暂无",IF(VLOOKUP(AC9,装备属性!$A:$C,3,0)&gt;英雄对比!$C$4,0,1))</f>
        <v>1</v>
      </c>
      <c r="AF22" s="151" t="s">
        <v>1080</v>
      </c>
      <c r="AG22" s="151" t="s">
        <v>1079</v>
      </c>
      <c r="AH22" s="50" t="s">
        <v>3</v>
      </c>
      <c r="AI22" s="50" t="s">
        <v>4</v>
      </c>
      <c r="AJ22" s="50" t="s">
        <v>5</v>
      </c>
      <c r="AK22" s="50" t="s">
        <v>103</v>
      </c>
      <c r="AL22" s="50" t="s">
        <v>14</v>
      </c>
      <c r="AM22" s="50" t="s">
        <v>47</v>
      </c>
      <c r="AN22" s="50" t="s">
        <v>35</v>
      </c>
      <c r="AO22" s="50" t="s">
        <v>38</v>
      </c>
      <c r="AP22" s="50" t="s">
        <v>34</v>
      </c>
      <c r="AQ22" s="50" t="s">
        <v>56</v>
      </c>
      <c r="AR22" s="50" t="s">
        <v>84</v>
      </c>
      <c r="AS22" s="50" t="s">
        <v>98</v>
      </c>
      <c r="AT22" s="50" t="s">
        <v>2099</v>
      </c>
      <c r="AU22" s="119" t="s">
        <v>1874</v>
      </c>
      <c r="AV22" s="50" t="s">
        <v>91</v>
      </c>
      <c r="AW22" s="50" t="s">
        <v>13</v>
      </c>
      <c r="AX22" s="50" t="s">
        <v>18</v>
      </c>
      <c r="AY22" s="51" t="s">
        <v>71</v>
      </c>
      <c r="AZ22" s="50" t="s">
        <v>130</v>
      </c>
      <c r="BA22" s="141" t="s">
        <v>1867</v>
      </c>
      <c r="BB22" s="141" t="s">
        <v>1877</v>
      </c>
    </row>
    <row r="23" spans="2:54">
      <c r="B23" s="151" t="str">
        <f>英雄初始!A24</f>
        <v>美杜莎</v>
      </c>
      <c r="H23" s="54" t="s">
        <v>176</v>
      </c>
      <c r="I23" s="51">
        <f>MAX(VLOOKUP(INDEX(英雄装备!$F:$BZ,MATCH($H23,英雄装备!$F:$F,0),MATCH(I$2,英雄装备!$1:$1,0)-5),装备属性!$A:$C,3,0),VLOOKUP(INDEX(英雄装备!$F:$BZ,MATCH($H23,英雄装备!$F:$F,0),MATCH(I$2,英雄装备!$1:$1,0)-4),装备属性!$A:$C,3,0),VLOOKUP(INDEX(英雄装备!$F:$BZ,MATCH($H23,英雄装备!$F:$F,0),MATCH(I$2,英雄装备!$1:$1,0)-3),装备属性!$A:$C,3,0),VLOOKUP(INDEX(英雄装备!$F:$BZ,MATCH($H23,英雄装备!$F:$F,0),MATCH(I$2,英雄装备!$1:$1,0)-2),装备属性!$A:$C,3,0),VLOOKUP(INDEX(英雄装备!$F:$BZ,MATCH($H23,英雄装备!$F:$F,0),MATCH(I$2,英雄装备!$1:$1,0)-1),装备属性!$A:$C,3,0),VLOOKUP(INDEX(英雄装备!$F:$BZ,MATCH($H23,英雄装备!$F:$F,0),MATCH(I$2,英雄装备!$1:$1,0)),装备属性!$A:$C,3,0))</f>
        <v>2</v>
      </c>
      <c r="J23" s="51">
        <f>MAX(VLOOKUP(INDEX(英雄装备!$F:$BZ,MATCH($H23,英雄装备!$F:$F,0),MATCH(J$2,英雄装备!$1:$1,0)-5),装备属性!$A:$C,3,0),VLOOKUP(INDEX(英雄装备!$F:$BZ,MATCH($H23,英雄装备!$F:$F,0),MATCH(J$2,英雄装备!$1:$1,0)-4),装备属性!$A:$C,3,0),VLOOKUP(INDEX(英雄装备!$F:$BZ,MATCH($H23,英雄装备!$F:$F,0),MATCH(J$2,英雄装备!$1:$1,0)-3),装备属性!$A:$C,3,0),VLOOKUP(INDEX(英雄装备!$F:$BZ,MATCH($H23,英雄装备!$F:$F,0),MATCH(J$2,英雄装备!$1:$1,0)-2),装备属性!$A:$C,3,0),VLOOKUP(INDEX(英雄装备!$F:$BZ,MATCH($H23,英雄装备!$F:$F,0),MATCH(J$2,英雄装备!$1:$1,0)-1),装备属性!$A:$C,3,0),VLOOKUP(INDEX(英雄装备!$F:$BZ,MATCH($H23,英雄装备!$F:$F,0),MATCH(J$2,英雄装备!$1:$1,0)),装备属性!$A:$C,3,0))</f>
        <v>11</v>
      </c>
      <c r="K23" s="51">
        <f>MAX(VLOOKUP(INDEX(英雄装备!$F:$BZ,MATCH($H23,英雄装备!$F:$F,0),MATCH(K$2,英雄装备!$1:$1,0)-5),装备属性!$A:$C,3,0),VLOOKUP(INDEX(英雄装备!$F:$BZ,MATCH($H23,英雄装备!$F:$F,0),MATCH(K$2,英雄装备!$1:$1,0)-4),装备属性!$A:$C,3,0),VLOOKUP(INDEX(英雄装备!$F:$BZ,MATCH($H23,英雄装备!$F:$F,0),MATCH(K$2,英雄装备!$1:$1,0)-3),装备属性!$A:$C,3,0),VLOOKUP(INDEX(英雄装备!$F:$BZ,MATCH($H23,英雄装备!$F:$F,0),MATCH(K$2,英雄装备!$1:$1,0)-2),装备属性!$A:$C,3,0),VLOOKUP(INDEX(英雄装备!$F:$BZ,MATCH($H23,英雄装备!$F:$F,0),MATCH(K$2,英雄装备!$1:$1,0)-1),装备属性!$A:$C,3,0),VLOOKUP(INDEX(英雄装备!$F:$BZ,MATCH($H23,英雄装备!$F:$F,0),MATCH(K$2,英雄装备!$1:$1,0)),装备属性!$A:$C,3,0))</f>
        <v>25</v>
      </c>
      <c r="L23" s="51">
        <f>MAX(VLOOKUP(INDEX(英雄装备!$F:$BZ,MATCH($H23,英雄装备!$F:$F,0),MATCH(L$2,英雄装备!$1:$1,0)-5),装备属性!$A:$C,3,0),VLOOKUP(INDEX(英雄装备!$F:$BZ,MATCH($H23,英雄装备!$F:$F,0),MATCH(L$2,英雄装备!$1:$1,0)-4),装备属性!$A:$C,3,0),VLOOKUP(INDEX(英雄装备!$F:$BZ,MATCH($H23,英雄装备!$F:$F,0),MATCH(L$2,英雄装备!$1:$1,0)-3),装备属性!$A:$C,3,0),VLOOKUP(INDEX(英雄装备!$F:$BZ,MATCH($H23,英雄装备!$F:$F,0),MATCH(L$2,英雄装备!$1:$1,0)-2),装备属性!$A:$C,3,0),VLOOKUP(INDEX(英雄装备!$F:$BZ,MATCH($H23,英雄装备!$F:$F,0),MATCH(L$2,英雄装备!$1:$1,0)-1),装备属性!$A:$C,3,0),VLOOKUP(INDEX(英雄装备!$F:$BZ,MATCH($H23,英雄装备!$F:$F,0),MATCH(L$2,英雄装备!$1:$1,0)),装备属性!$A:$C,3,0))</f>
        <v>34</v>
      </c>
      <c r="M23" s="51">
        <f>MAX(VLOOKUP(INDEX(英雄装备!$F:$BZ,MATCH($H23,英雄装备!$F:$F,0),MATCH(M$2,英雄装备!$1:$1,0)-5),装备属性!$A:$C,3,0),VLOOKUP(INDEX(英雄装备!$F:$BZ,MATCH($H23,英雄装备!$F:$F,0),MATCH(M$2,英雄装备!$1:$1,0)-4),装备属性!$A:$C,3,0),VLOOKUP(INDEX(英雄装备!$F:$BZ,MATCH($H23,英雄装备!$F:$F,0),MATCH(M$2,英雄装备!$1:$1,0)-3),装备属性!$A:$C,3,0),VLOOKUP(INDEX(英雄装备!$F:$BZ,MATCH($H23,英雄装备!$F:$F,0),MATCH(M$2,英雄装备!$1:$1,0)-2),装备属性!$A:$C,3,0),VLOOKUP(INDEX(英雄装备!$F:$BZ,MATCH($H23,英雄装备!$F:$F,0),MATCH(M$2,英雄装备!$1:$1,0)-1),装备属性!$A:$C,3,0),VLOOKUP(INDEX(英雄装备!$F:$BZ,MATCH($H23,英雄装备!$F:$F,0),MATCH(M$2,英雄装备!$1:$1,0)),装备属性!$A:$C,3,0))</f>
        <v>44</v>
      </c>
      <c r="N23" s="51">
        <f>MAX(VLOOKUP(INDEX(英雄装备!$F:$BZ,MATCH($H23,英雄装备!$F:$F,0),MATCH(N$2,英雄装备!$1:$1,0)-5),装备属性!$A:$C,3,0),VLOOKUP(INDEX(英雄装备!$F:$BZ,MATCH($H23,英雄装备!$F:$F,0),MATCH(N$2,英雄装备!$1:$1,0)-4),装备属性!$A:$C,3,0),VLOOKUP(INDEX(英雄装备!$F:$BZ,MATCH($H23,英雄装备!$F:$F,0),MATCH(N$2,英雄装备!$1:$1,0)-3),装备属性!$A:$C,3,0),VLOOKUP(INDEX(英雄装备!$F:$BZ,MATCH($H23,英雄装备!$F:$F,0),MATCH(N$2,英雄装备!$1:$1,0)-2),装备属性!$A:$C,3,0),VLOOKUP(INDEX(英雄装备!$F:$BZ,MATCH($H23,英雄装备!$F:$F,0),MATCH(N$2,英雄装备!$1:$1,0)-1),装备属性!$A:$C,3,0),VLOOKUP(INDEX(英雄装备!$F:$BZ,MATCH($H23,英雄装备!$F:$F,0),MATCH(N$2,英雄装备!$1:$1,0)),装备属性!$A:$C,3,0))</f>
        <v>53</v>
      </c>
      <c r="O23" s="51">
        <f>MAX(VLOOKUP(INDEX(英雄装备!$F:$BZ,MATCH($H23,英雄装备!$F:$F,0),MATCH(O$2,英雄装备!$1:$1,0)-5),装备属性!$A:$C,3,0),VLOOKUP(INDEX(英雄装备!$F:$BZ,MATCH($H23,英雄装备!$F:$F,0),MATCH(O$2,英雄装备!$1:$1,0)-4),装备属性!$A:$C,3,0),VLOOKUP(INDEX(英雄装备!$F:$BZ,MATCH($H23,英雄装备!$F:$F,0),MATCH(O$2,英雄装备!$1:$1,0)-3),装备属性!$A:$C,3,0),VLOOKUP(INDEX(英雄装备!$F:$BZ,MATCH($H23,英雄装备!$F:$F,0),MATCH(O$2,英雄装备!$1:$1,0)-2),装备属性!$A:$C,3,0),VLOOKUP(INDEX(英雄装备!$F:$BZ,MATCH($H23,英雄装备!$F:$F,0),MATCH(O$2,英雄装备!$1:$1,0)-1),装备属性!$A:$C,3,0),VLOOKUP(INDEX(英雄装备!$F:$BZ,MATCH($H23,英雄装备!$F:$F,0),MATCH(O$2,英雄装备!$1:$1,0)),装备属性!$A:$C,3,0))</f>
        <v>59</v>
      </c>
      <c r="P23" s="51">
        <f>MAX(VLOOKUP(INDEX(英雄装备!$F:$BZ,MATCH($H23,英雄装备!$F:$F,0),MATCH(P$2,英雄装备!$1:$1,0)-5),装备属性!$A:$C,3,0),VLOOKUP(INDEX(英雄装备!$F:$BZ,MATCH($H23,英雄装备!$F:$F,0),MATCH(P$2,英雄装备!$1:$1,0)-4),装备属性!$A:$C,3,0),VLOOKUP(INDEX(英雄装备!$F:$BZ,MATCH($H23,英雄装备!$F:$F,0),MATCH(P$2,英雄装备!$1:$1,0)-3),装备属性!$A:$C,3,0),VLOOKUP(INDEX(英雄装备!$F:$BZ,MATCH($H23,英雄装备!$F:$F,0),MATCH(P$2,英雄装备!$1:$1,0)-2),装备属性!$A:$C,3,0),VLOOKUP(INDEX(英雄装备!$F:$BZ,MATCH($H23,英雄装备!$F:$F,0),MATCH(P$2,英雄装备!$1:$1,0)-1),装备属性!$A:$C,3,0),VLOOKUP(INDEX(英雄装备!$F:$BZ,MATCH($H23,英雄装备!$F:$F,0),MATCH(P$2,英雄装备!$1:$1,0)),装备属性!$A:$C,3,0))</f>
        <v>73</v>
      </c>
      <c r="Q23" s="51">
        <f>MAX(VLOOKUP(INDEX(英雄装备!$F:$BZ,MATCH($H23,英雄装备!$F:$F,0),MATCH(Q$2,英雄装备!$1:$1,0)-5),装备属性!$A:$C,3,0),VLOOKUP(INDEX(英雄装备!$F:$BZ,MATCH($H23,英雄装备!$F:$F,0),MATCH(Q$2,英雄装备!$1:$1,0)-4),装备属性!$A:$C,3,0),VLOOKUP(INDEX(英雄装备!$F:$BZ,MATCH($H23,英雄装备!$F:$F,0),MATCH(Q$2,英雄装备!$1:$1,0)-3),装备属性!$A:$C,3,0),VLOOKUP(INDEX(英雄装备!$F:$BZ,MATCH($H23,英雄装备!$F:$F,0),MATCH(Q$2,英雄装备!$1:$1,0)-2),装备属性!$A:$C,3,0),VLOOKUP(INDEX(英雄装备!$F:$BZ,MATCH($H23,英雄装备!$F:$F,0),MATCH(Q$2,英雄装备!$1:$1,0)-1),装备属性!$A:$C,3,0),VLOOKUP(INDEX(英雄装备!$F:$BZ,MATCH($H23,英雄装备!$F:$F,0),MATCH(Q$2,英雄装备!$1:$1,0)),装备属性!$A:$C,3,0))</f>
        <v>78</v>
      </c>
      <c r="R23" s="51">
        <f>MAX(VLOOKUP(INDEX(英雄装备!$F:$BZ,MATCH($H23,英雄装备!$F:$F,0),MATCH(R$2,英雄装备!$1:$1,0)-5),装备属性!$A:$C,3,0),VLOOKUP(INDEX(英雄装备!$F:$BZ,MATCH($H23,英雄装备!$F:$F,0),MATCH(R$2,英雄装备!$1:$1,0)-4),装备属性!$A:$C,3,0),VLOOKUP(INDEX(英雄装备!$F:$BZ,MATCH($H23,英雄装备!$F:$F,0),MATCH(R$2,英雄装备!$1:$1,0)-3),装备属性!$A:$C,3,0),VLOOKUP(INDEX(英雄装备!$F:$BZ,MATCH($H23,英雄装备!$F:$F,0),MATCH(R$2,英雄装备!$1:$1,0)-2),装备属性!$A:$C,3,0),VLOOKUP(INDEX(英雄装备!$F:$BZ,MATCH($H23,英雄装备!$F:$F,0),MATCH(R$2,英雄装备!$1:$1,0)-1),装备属性!$A:$C,3,0),VLOOKUP(INDEX(英雄装备!$F:$BZ,MATCH($H23,英雄装备!$F:$F,0),MATCH(R$2,英雄装备!$1:$1,0)),装备属性!$A:$C,3,0))</f>
        <v>79</v>
      </c>
      <c r="S23" s="51">
        <f>MAX(VLOOKUP(INDEX(英雄装备!$F:$BZ,MATCH($H23,英雄装备!$F:$F,0),MATCH(S$2,英雄装备!$1:$1,0)-5),装备属性!$A:$C,3,0),VLOOKUP(INDEX(英雄装备!$F:$BZ,MATCH($H23,英雄装备!$F:$F,0),MATCH(S$2,英雄装备!$1:$1,0)-4),装备属性!$A:$C,3,0),VLOOKUP(INDEX(英雄装备!$F:$BZ,MATCH($H23,英雄装备!$F:$F,0),MATCH(S$2,英雄装备!$1:$1,0)-3),装备属性!$A:$C,3,0),VLOOKUP(INDEX(英雄装备!$F:$BZ,MATCH($H23,英雄装备!$F:$F,0),MATCH(S$2,英雄装备!$1:$1,0)-2),装备属性!$A:$C,3,0),VLOOKUP(INDEX(英雄装备!$F:$BZ,MATCH($H23,英雄装备!$F:$F,0),MATCH(S$2,英雄装备!$1:$1,0)-1),装备属性!$A:$C,3,0),VLOOKUP(INDEX(英雄装备!$F:$BZ,MATCH($H23,英雄装备!$F:$F,0),MATCH(S$2,英雄装备!$1:$1,0)),装备属性!$A:$C,3,0))</f>
        <v>84</v>
      </c>
      <c r="T23" s="51">
        <f>MAX(VLOOKUP(INDEX(英雄装备!$F:$BZ,MATCH($H23,英雄装备!$F:$F,0),MATCH(T$2,英雄装备!$1:$1,0)-5),装备属性!$A:$C,3,0),VLOOKUP(INDEX(英雄装备!$F:$BZ,MATCH($H23,英雄装备!$F:$F,0),MATCH(T$2,英雄装备!$1:$1,0)-4),装备属性!$A:$C,3,0),VLOOKUP(INDEX(英雄装备!$F:$BZ,MATCH($H23,英雄装备!$F:$F,0),MATCH(T$2,英雄装备!$1:$1,0)-3),装备属性!$A:$C,3,0),VLOOKUP(INDEX(英雄装备!$F:$BZ,MATCH($H23,英雄装备!$F:$F,0),MATCH(T$2,英雄装备!$1:$1,0)-2),装备属性!$A:$C,3,0),VLOOKUP(INDEX(英雄装备!$F:$BZ,MATCH($H23,英雄装备!$F:$F,0),MATCH(T$2,英雄装备!$1:$1,0)-1),装备属性!$A:$C,3,0))</f>
        <v>89</v>
      </c>
      <c r="W23" s="108">
        <f t="shared" si="3"/>
        <v>1</v>
      </c>
      <c r="X23" s="151">
        <f>IF(X10="暂无","暂无",IF(VLOOKUP(X10,装备属性!$A:$C,3,0)&gt;英雄对比!$C$4,0,1))</f>
        <v>1</v>
      </c>
      <c r="Y23" s="151">
        <f>IF(Y10="暂无","暂无",IF(VLOOKUP(Y10,装备属性!$A:$C,3,0)&gt;英雄对比!$C$4,0,1))</f>
        <v>1</v>
      </c>
      <c r="Z23" s="151">
        <f>IF(Z10="暂无","暂无",IF(VLOOKUP(Z10,装备属性!$A:$C,3,0)&gt;英雄对比!$C$4,0,1))</f>
        <v>1</v>
      </c>
      <c r="AA23" s="151">
        <f>IF(AA10="暂无","暂无",IF(VLOOKUP(AA10,装备属性!$A:$C,3,0)&gt;英雄对比!$C$4,0,1))</f>
        <v>1</v>
      </c>
      <c r="AB23" s="151">
        <f>IF(AB10="暂无","暂无",IF(VLOOKUP(AB10,装备属性!$A:$C,3,0)&gt;英雄对比!$C$4,0,1))</f>
        <v>1</v>
      </c>
      <c r="AC23" s="151">
        <f>IF(AC10="暂无","暂无",IF(VLOOKUP(AC10,装备属性!$A:$C,3,0)&gt;英雄对比!$C$4,0,1))</f>
        <v>1</v>
      </c>
      <c r="AF23" s="151">
        <v>1</v>
      </c>
      <c r="AG23" s="151" t="str">
        <f>X1</f>
        <v>树枝</v>
      </c>
      <c r="AH23" s="151">
        <f>VLOOKUP($AG23,装备属性!$A:$Y,5,0)</f>
        <v>1</v>
      </c>
      <c r="AI23" s="151">
        <f>VLOOKUP($AG23,装备属性!$A:$Y,6,0)</f>
        <v>1</v>
      </c>
      <c r="AJ23" s="151">
        <f>VLOOKUP($AG23,装备属性!$A:$Y,7,0)</f>
        <v>1</v>
      </c>
      <c r="AK23" s="151">
        <f>VLOOKUP($AG23,装备属性!$A:$Y,8,0)</f>
        <v>0</v>
      </c>
      <c r="AL23" s="151">
        <f>VLOOKUP($AG23,装备属性!$A:$Y,9,0)</f>
        <v>0</v>
      </c>
      <c r="AM23" s="151">
        <f>VLOOKUP($AG23,装备属性!$A:$Y,10,0)</f>
        <v>0</v>
      </c>
      <c r="AN23" s="151">
        <f>VLOOKUP($AG23,装备属性!$A:$Y,11,0)</f>
        <v>0</v>
      </c>
      <c r="AO23" s="151">
        <f>VLOOKUP($AG23,装备属性!$A:$Y,12,0)</f>
        <v>0</v>
      </c>
      <c r="AP23" s="151">
        <f>VLOOKUP($AG23,装备属性!$A:$Y,13,0)</f>
        <v>0</v>
      </c>
      <c r="AQ23" s="151">
        <f>VLOOKUP($AG23,装备属性!$A:$Y,14,0)</f>
        <v>0</v>
      </c>
      <c r="AR23" s="151">
        <f>VLOOKUP($AG23,装备属性!$A:$Y,15,0)</f>
        <v>0</v>
      </c>
      <c r="AS23" s="151">
        <f>VLOOKUP($AG23,装备属性!$A:$Y,16,0)</f>
        <v>0</v>
      </c>
      <c r="AT23" s="151">
        <f>VLOOKUP($AG23,装备属性!$A:$Y,17,0)</f>
        <v>0</v>
      </c>
      <c r="AU23" s="151">
        <f>VLOOKUP($AG23,装备属性!$A:$Y,18,0)</f>
        <v>0</v>
      </c>
      <c r="AV23" s="151">
        <f>VLOOKUP($AG23,装备属性!$A:$Y,19,0)</f>
        <v>0</v>
      </c>
      <c r="AW23" s="151">
        <f>VLOOKUP($AG23,装备属性!$A:$Y,20,0)</f>
        <v>0</v>
      </c>
      <c r="AX23" s="151">
        <f>VLOOKUP($AG23,装备属性!$A:$Y,21,0)</f>
        <v>0</v>
      </c>
      <c r="AY23" s="151">
        <f>VLOOKUP($AG23,装备属性!$A:$Y,22,0)</f>
        <v>0</v>
      </c>
      <c r="AZ23" s="151">
        <f>VLOOKUP($AG23,装备属性!$A:$Y,23,0)</f>
        <v>0</v>
      </c>
      <c r="BA23" s="151">
        <f>VLOOKUP($AG23,装备属性!$A:$Y,24,0)</f>
        <v>0</v>
      </c>
      <c r="BB23" s="151">
        <f>VLOOKUP($AG23,装备属性!$A:$Y,25,0)</f>
        <v>0</v>
      </c>
    </row>
    <row r="24" spans="2:54" ht="13.5" customHeight="1">
      <c r="B24" s="151" t="str">
        <f>英雄初始!A25</f>
        <v>小黑</v>
      </c>
      <c r="D24" s="48" t="s">
        <v>1055</v>
      </c>
      <c r="E24" s="233" t="str">
        <f>IF(D25="-","暂无英雄1数据，请重新输入","")</f>
        <v/>
      </c>
      <c r="H24" s="54" t="s">
        <v>177</v>
      </c>
      <c r="I24" s="51">
        <f>MAX(VLOOKUP(INDEX(英雄装备!$F:$BZ,MATCH($H24,英雄装备!$F:$F,0),MATCH(I$2,英雄装备!$1:$1,0)-5),装备属性!$A:$C,3,0),VLOOKUP(INDEX(英雄装备!$F:$BZ,MATCH($H24,英雄装备!$F:$F,0),MATCH(I$2,英雄装备!$1:$1,0)-4),装备属性!$A:$C,3,0),VLOOKUP(INDEX(英雄装备!$F:$BZ,MATCH($H24,英雄装备!$F:$F,0),MATCH(I$2,英雄装备!$1:$1,0)-3),装备属性!$A:$C,3,0),VLOOKUP(INDEX(英雄装备!$F:$BZ,MATCH($H24,英雄装备!$F:$F,0),MATCH(I$2,英雄装备!$1:$1,0)-2),装备属性!$A:$C,3,0),VLOOKUP(INDEX(英雄装备!$F:$BZ,MATCH($H24,英雄装备!$F:$F,0),MATCH(I$2,英雄装备!$1:$1,0)-1),装备属性!$A:$C,3,0),VLOOKUP(INDEX(英雄装备!$F:$BZ,MATCH($H24,英雄装备!$F:$F,0),MATCH(I$2,英雄装备!$1:$1,0)),装备属性!$A:$C,3,0))</f>
        <v>2</v>
      </c>
      <c r="J24" s="51">
        <f>MAX(VLOOKUP(INDEX(英雄装备!$F:$BZ,MATCH($H24,英雄装备!$F:$F,0),MATCH(J$2,英雄装备!$1:$1,0)-5),装备属性!$A:$C,3,0),VLOOKUP(INDEX(英雄装备!$F:$BZ,MATCH($H24,英雄装备!$F:$F,0),MATCH(J$2,英雄装备!$1:$1,0)-4),装备属性!$A:$C,3,0),VLOOKUP(INDEX(英雄装备!$F:$BZ,MATCH($H24,英雄装备!$F:$F,0),MATCH(J$2,英雄装备!$1:$1,0)-3),装备属性!$A:$C,3,0),VLOOKUP(INDEX(英雄装备!$F:$BZ,MATCH($H24,英雄装备!$F:$F,0),MATCH(J$2,英雄装备!$1:$1,0)-2),装备属性!$A:$C,3,0),VLOOKUP(INDEX(英雄装备!$F:$BZ,MATCH($H24,英雄装备!$F:$F,0),MATCH(J$2,英雄装备!$1:$1,0)-1),装备属性!$A:$C,3,0),VLOOKUP(INDEX(英雄装备!$F:$BZ,MATCH($H24,英雄装备!$F:$F,0),MATCH(J$2,英雄装备!$1:$1,0)),装备属性!$A:$C,3,0))</f>
        <v>11</v>
      </c>
      <c r="K24" s="51">
        <f>MAX(VLOOKUP(INDEX(英雄装备!$F:$BZ,MATCH($H24,英雄装备!$F:$F,0),MATCH(K$2,英雄装备!$1:$1,0)-5),装备属性!$A:$C,3,0),VLOOKUP(INDEX(英雄装备!$F:$BZ,MATCH($H24,英雄装备!$F:$F,0),MATCH(K$2,英雄装备!$1:$1,0)-4),装备属性!$A:$C,3,0),VLOOKUP(INDEX(英雄装备!$F:$BZ,MATCH($H24,英雄装备!$F:$F,0),MATCH(K$2,英雄装备!$1:$1,0)-3),装备属性!$A:$C,3,0),VLOOKUP(INDEX(英雄装备!$F:$BZ,MATCH($H24,英雄装备!$F:$F,0),MATCH(K$2,英雄装备!$1:$1,0)-2),装备属性!$A:$C,3,0),VLOOKUP(INDEX(英雄装备!$F:$BZ,MATCH($H24,英雄装备!$F:$F,0),MATCH(K$2,英雄装备!$1:$1,0)-1),装备属性!$A:$C,3,0),VLOOKUP(INDEX(英雄装备!$F:$BZ,MATCH($H24,英雄装备!$F:$F,0),MATCH(K$2,英雄装备!$1:$1,0)),装备属性!$A:$C,3,0))</f>
        <v>25</v>
      </c>
      <c r="L24" s="51">
        <f>MAX(VLOOKUP(INDEX(英雄装备!$F:$BZ,MATCH($H24,英雄装备!$F:$F,0),MATCH(L$2,英雄装备!$1:$1,0)-5),装备属性!$A:$C,3,0),VLOOKUP(INDEX(英雄装备!$F:$BZ,MATCH($H24,英雄装备!$F:$F,0),MATCH(L$2,英雄装备!$1:$1,0)-4),装备属性!$A:$C,3,0),VLOOKUP(INDEX(英雄装备!$F:$BZ,MATCH($H24,英雄装备!$F:$F,0),MATCH(L$2,英雄装备!$1:$1,0)-3),装备属性!$A:$C,3,0),VLOOKUP(INDEX(英雄装备!$F:$BZ,MATCH($H24,英雄装备!$F:$F,0),MATCH(L$2,英雄装备!$1:$1,0)-2),装备属性!$A:$C,3,0),VLOOKUP(INDEX(英雄装备!$F:$BZ,MATCH($H24,英雄装备!$F:$F,0),MATCH(L$2,英雄装备!$1:$1,0)-1),装备属性!$A:$C,3,0),VLOOKUP(INDEX(英雄装备!$F:$BZ,MATCH($H24,英雄装备!$F:$F,0),MATCH(L$2,英雄装备!$1:$1,0)),装备属性!$A:$C,3,0))</f>
        <v>34</v>
      </c>
      <c r="M24" s="51">
        <f>MAX(VLOOKUP(INDEX(英雄装备!$F:$BZ,MATCH($H24,英雄装备!$F:$F,0),MATCH(M$2,英雄装备!$1:$1,0)-5),装备属性!$A:$C,3,0),VLOOKUP(INDEX(英雄装备!$F:$BZ,MATCH($H24,英雄装备!$F:$F,0),MATCH(M$2,英雄装备!$1:$1,0)-4),装备属性!$A:$C,3,0),VLOOKUP(INDEX(英雄装备!$F:$BZ,MATCH($H24,英雄装备!$F:$F,0),MATCH(M$2,英雄装备!$1:$1,0)-3),装备属性!$A:$C,3,0),VLOOKUP(INDEX(英雄装备!$F:$BZ,MATCH($H24,英雄装备!$F:$F,0),MATCH(M$2,英雄装备!$1:$1,0)-2),装备属性!$A:$C,3,0),VLOOKUP(INDEX(英雄装备!$F:$BZ,MATCH($H24,英雄装备!$F:$F,0),MATCH(M$2,英雄装备!$1:$1,0)-1),装备属性!$A:$C,3,0),VLOOKUP(INDEX(英雄装备!$F:$BZ,MATCH($H24,英雄装备!$F:$F,0),MATCH(M$2,英雄装备!$1:$1,0)),装备属性!$A:$C,3,0))</f>
        <v>44</v>
      </c>
      <c r="N24" s="51">
        <f>MAX(VLOOKUP(INDEX(英雄装备!$F:$BZ,MATCH($H24,英雄装备!$F:$F,0),MATCH(N$2,英雄装备!$1:$1,0)-5),装备属性!$A:$C,3,0),VLOOKUP(INDEX(英雄装备!$F:$BZ,MATCH($H24,英雄装备!$F:$F,0),MATCH(N$2,英雄装备!$1:$1,0)-4),装备属性!$A:$C,3,0),VLOOKUP(INDEX(英雄装备!$F:$BZ,MATCH($H24,英雄装备!$F:$F,0),MATCH(N$2,英雄装备!$1:$1,0)-3),装备属性!$A:$C,3,0),VLOOKUP(INDEX(英雄装备!$F:$BZ,MATCH($H24,英雄装备!$F:$F,0),MATCH(N$2,英雄装备!$1:$1,0)-2),装备属性!$A:$C,3,0),VLOOKUP(INDEX(英雄装备!$F:$BZ,MATCH($H24,英雄装备!$F:$F,0),MATCH(N$2,英雄装备!$1:$1,0)-1),装备属性!$A:$C,3,0),VLOOKUP(INDEX(英雄装备!$F:$BZ,MATCH($H24,英雄装备!$F:$F,0),MATCH(N$2,英雄装备!$1:$1,0)),装备属性!$A:$C,3,0))</f>
        <v>53</v>
      </c>
      <c r="O24" s="51">
        <f>MAX(VLOOKUP(INDEX(英雄装备!$F:$BZ,MATCH($H24,英雄装备!$F:$F,0),MATCH(O$2,英雄装备!$1:$1,0)-5),装备属性!$A:$C,3,0),VLOOKUP(INDEX(英雄装备!$F:$BZ,MATCH($H24,英雄装备!$F:$F,0),MATCH(O$2,英雄装备!$1:$1,0)-4),装备属性!$A:$C,3,0),VLOOKUP(INDEX(英雄装备!$F:$BZ,MATCH($H24,英雄装备!$F:$F,0),MATCH(O$2,英雄装备!$1:$1,0)-3),装备属性!$A:$C,3,0),VLOOKUP(INDEX(英雄装备!$F:$BZ,MATCH($H24,英雄装备!$F:$F,0),MATCH(O$2,英雄装备!$1:$1,0)-2),装备属性!$A:$C,3,0),VLOOKUP(INDEX(英雄装备!$F:$BZ,MATCH($H24,英雄装备!$F:$F,0),MATCH(O$2,英雄装备!$1:$1,0)-1),装备属性!$A:$C,3,0),VLOOKUP(INDEX(英雄装备!$F:$BZ,MATCH($H24,英雄装备!$F:$F,0),MATCH(O$2,英雄装备!$1:$1,0)),装备属性!$A:$C,3,0))</f>
        <v>59</v>
      </c>
      <c r="P24" s="51">
        <f>MAX(VLOOKUP(INDEX(英雄装备!$F:$BZ,MATCH($H24,英雄装备!$F:$F,0),MATCH(P$2,英雄装备!$1:$1,0)-5),装备属性!$A:$C,3,0),VLOOKUP(INDEX(英雄装备!$F:$BZ,MATCH($H24,英雄装备!$F:$F,0),MATCH(P$2,英雄装备!$1:$1,0)-4),装备属性!$A:$C,3,0),VLOOKUP(INDEX(英雄装备!$F:$BZ,MATCH($H24,英雄装备!$F:$F,0),MATCH(P$2,英雄装备!$1:$1,0)-3),装备属性!$A:$C,3,0),VLOOKUP(INDEX(英雄装备!$F:$BZ,MATCH($H24,英雄装备!$F:$F,0),MATCH(P$2,英雄装备!$1:$1,0)-2),装备属性!$A:$C,3,0),VLOOKUP(INDEX(英雄装备!$F:$BZ,MATCH($H24,英雄装备!$F:$F,0),MATCH(P$2,英雄装备!$1:$1,0)-1),装备属性!$A:$C,3,0),VLOOKUP(INDEX(英雄装备!$F:$BZ,MATCH($H24,英雄装备!$F:$F,0),MATCH(P$2,英雄装备!$1:$1,0)),装备属性!$A:$C,3,0))</f>
        <v>72</v>
      </c>
      <c r="Q24" s="51">
        <f>MAX(VLOOKUP(INDEX(英雄装备!$F:$BZ,MATCH($H24,英雄装备!$F:$F,0),MATCH(Q$2,英雄装备!$1:$1,0)-5),装备属性!$A:$C,3,0),VLOOKUP(INDEX(英雄装备!$F:$BZ,MATCH($H24,英雄装备!$F:$F,0),MATCH(Q$2,英雄装备!$1:$1,0)-4),装备属性!$A:$C,3,0),VLOOKUP(INDEX(英雄装备!$F:$BZ,MATCH($H24,英雄装备!$F:$F,0),MATCH(Q$2,英雄装备!$1:$1,0)-3),装备属性!$A:$C,3,0),VLOOKUP(INDEX(英雄装备!$F:$BZ,MATCH($H24,英雄装备!$F:$F,0),MATCH(Q$2,英雄装备!$1:$1,0)-2),装备属性!$A:$C,3,0),VLOOKUP(INDEX(英雄装备!$F:$BZ,MATCH($H24,英雄装备!$F:$F,0),MATCH(Q$2,英雄装备!$1:$1,0)-1),装备属性!$A:$C,3,0),VLOOKUP(INDEX(英雄装备!$F:$BZ,MATCH($H24,英雄装备!$F:$F,0),MATCH(Q$2,英雄装备!$1:$1,0)),装备属性!$A:$C,3,0))</f>
        <v>78</v>
      </c>
      <c r="R24" s="51">
        <f>MAX(VLOOKUP(INDEX(英雄装备!$F:$BZ,MATCH($H24,英雄装备!$F:$F,0),MATCH(R$2,英雄装备!$1:$1,0)-5),装备属性!$A:$C,3,0),VLOOKUP(INDEX(英雄装备!$F:$BZ,MATCH($H24,英雄装备!$F:$F,0),MATCH(R$2,英雄装备!$1:$1,0)-4),装备属性!$A:$C,3,0),VLOOKUP(INDEX(英雄装备!$F:$BZ,MATCH($H24,英雄装备!$F:$F,0),MATCH(R$2,英雄装备!$1:$1,0)-3),装备属性!$A:$C,3,0),VLOOKUP(INDEX(英雄装备!$F:$BZ,MATCH($H24,英雄装备!$F:$F,0),MATCH(R$2,英雄装备!$1:$1,0)-2),装备属性!$A:$C,3,0),VLOOKUP(INDEX(英雄装备!$F:$BZ,MATCH($H24,英雄装备!$F:$F,0),MATCH(R$2,英雄装备!$1:$1,0)-1),装备属性!$A:$C,3,0),VLOOKUP(INDEX(英雄装备!$F:$BZ,MATCH($H24,英雄装备!$F:$F,0),MATCH(R$2,英雄装备!$1:$1,0)),装备属性!$A:$C,3,0))</f>
        <v>73</v>
      </c>
      <c r="S24" s="51">
        <f>MAX(VLOOKUP(INDEX(英雄装备!$F:$BZ,MATCH($H24,英雄装备!$F:$F,0),MATCH(S$2,英雄装备!$1:$1,0)-5),装备属性!$A:$C,3,0),VLOOKUP(INDEX(英雄装备!$F:$BZ,MATCH($H24,英雄装备!$F:$F,0),MATCH(S$2,英雄装备!$1:$1,0)-4),装备属性!$A:$C,3,0),VLOOKUP(INDEX(英雄装备!$F:$BZ,MATCH($H24,英雄装备!$F:$F,0),MATCH(S$2,英雄装备!$1:$1,0)-3),装备属性!$A:$C,3,0),VLOOKUP(INDEX(英雄装备!$F:$BZ,MATCH($H24,英雄装备!$F:$F,0),MATCH(S$2,英雄装备!$1:$1,0)-2),装备属性!$A:$C,3,0),VLOOKUP(INDEX(英雄装备!$F:$BZ,MATCH($H24,英雄装备!$F:$F,0),MATCH(S$2,英雄装备!$1:$1,0)-1),装备属性!$A:$C,3,0),VLOOKUP(INDEX(英雄装备!$F:$BZ,MATCH($H24,英雄装备!$F:$F,0),MATCH(S$2,英雄装备!$1:$1,0)),装备属性!$A:$C,3,0))</f>
        <v>84</v>
      </c>
      <c r="T24" s="51">
        <f>MAX(VLOOKUP(INDEX(英雄装备!$F:$BZ,MATCH($H24,英雄装备!$F:$F,0),MATCH(T$2,英雄装备!$1:$1,0)-5),装备属性!$A:$C,3,0),VLOOKUP(INDEX(英雄装备!$F:$BZ,MATCH($H24,英雄装备!$F:$F,0),MATCH(T$2,英雄装备!$1:$1,0)-4),装备属性!$A:$C,3,0),VLOOKUP(INDEX(英雄装备!$F:$BZ,MATCH($H24,英雄装备!$F:$F,0),MATCH(T$2,英雄装备!$1:$1,0)-3),装备属性!$A:$C,3,0),VLOOKUP(INDEX(英雄装备!$F:$BZ,MATCH($H24,英雄装备!$F:$F,0),MATCH(T$2,英雄装备!$1:$1,0)-2),装备属性!$A:$C,3,0),VLOOKUP(INDEX(英雄装备!$F:$BZ,MATCH($H24,英雄装备!$F:$F,0),MATCH(T$2,英雄装备!$1:$1,0)-1),装备属性!$A:$C,3,0))</f>
        <v>89</v>
      </c>
      <c r="W24" s="108">
        <f t="shared" si="3"/>
        <v>1</v>
      </c>
      <c r="X24" s="151">
        <f>IF(X11="暂无","暂无",IF(VLOOKUP(X11,装备属性!$A:$C,3,0)&gt;英雄对比!$C$4,0,1))</f>
        <v>1</v>
      </c>
      <c r="Y24" s="151">
        <f>IF(Y11="暂无","暂无",IF(VLOOKUP(Y11,装备属性!$A:$C,3,0)&gt;英雄对比!$C$4,0,1))</f>
        <v>1</v>
      </c>
      <c r="Z24" s="151">
        <f>IF(Z11="暂无","暂无",IF(VLOOKUP(Z11,装备属性!$A:$C,3,0)&gt;英雄对比!$C$4,0,1))</f>
        <v>1</v>
      </c>
      <c r="AA24" s="151">
        <f>IF(AA11="暂无","暂无",IF(VLOOKUP(AA11,装备属性!$A:$C,3,0)&gt;英雄对比!$C$4,0,1))</f>
        <v>1</v>
      </c>
      <c r="AB24" s="151">
        <f>IF(AB11="暂无","暂无",IF(VLOOKUP(AB11,装备属性!$A:$C,3,0)&gt;英雄对比!$C$4,0,1))</f>
        <v>1</v>
      </c>
      <c r="AC24" s="151">
        <f>IF(AC11="暂无","暂无",IF(VLOOKUP(AC11,装备属性!$A:$C,3,0)&gt;英雄对比!$C$4,0,1))</f>
        <v>1</v>
      </c>
      <c r="AF24" s="151">
        <v>1</v>
      </c>
      <c r="AG24" s="151" t="str">
        <f>Y1</f>
        <v>树枝</v>
      </c>
      <c r="AH24" s="151">
        <f>VLOOKUP($AG24,装备属性!$A:$Y,5,0)</f>
        <v>1</v>
      </c>
      <c r="AI24" s="151">
        <f>VLOOKUP($AG24,装备属性!$A:$Y,6,0)</f>
        <v>1</v>
      </c>
      <c r="AJ24" s="151">
        <f>VLOOKUP($AG24,装备属性!$A:$Y,7,0)</f>
        <v>1</v>
      </c>
      <c r="AK24" s="151">
        <f>VLOOKUP($AG24,装备属性!$A:$Y,8,0)</f>
        <v>0</v>
      </c>
      <c r="AL24" s="151">
        <f>VLOOKUP($AG24,装备属性!$A:$Y,9,0)</f>
        <v>0</v>
      </c>
      <c r="AM24" s="151">
        <f>VLOOKUP($AG24,装备属性!$A:$Y,10,0)</f>
        <v>0</v>
      </c>
      <c r="AN24" s="151">
        <f>VLOOKUP($AG24,装备属性!$A:$Y,11,0)</f>
        <v>0</v>
      </c>
      <c r="AO24" s="151">
        <f>VLOOKUP($AG24,装备属性!$A:$Y,12,0)</f>
        <v>0</v>
      </c>
      <c r="AP24" s="151">
        <f>VLOOKUP($AG24,装备属性!$A:$Y,13,0)</f>
        <v>0</v>
      </c>
      <c r="AQ24" s="151">
        <f>VLOOKUP($AG24,装备属性!$A:$Y,14,0)</f>
        <v>0</v>
      </c>
      <c r="AR24" s="151">
        <f>VLOOKUP($AG24,装备属性!$A:$Y,15,0)</f>
        <v>0</v>
      </c>
      <c r="AS24" s="151">
        <f>VLOOKUP($AG24,装备属性!$A:$Y,16,0)</f>
        <v>0</v>
      </c>
      <c r="AT24" s="151">
        <f>VLOOKUP($AG24,装备属性!$A:$Y,17,0)</f>
        <v>0</v>
      </c>
      <c r="AU24" s="151">
        <f>VLOOKUP($AG24,装备属性!$A:$Y,18,0)</f>
        <v>0</v>
      </c>
      <c r="AV24" s="151">
        <f>VLOOKUP($AG24,装备属性!$A:$Y,19,0)</f>
        <v>0</v>
      </c>
      <c r="AW24" s="151">
        <f>VLOOKUP($AG24,装备属性!$A:$Y,20,0)</f>
        <v>0</v>
      </c>
      <c r="AX24" s="151">
        <f>VLOOKUP($AG24,装备属性!$A:$Y,21,0)</f>
        <v>0</v>
      </c>
      <c r="AY24" s="151">
        <f>VLOOKUP($AG24,装备属性!$A:$Y,22,0)</f>
        <v>0</v>
      </c>
      <c r="AZ24" s="151">
        <f>VLOOKUP($AG24,装备属性!$A:$Y,23,0)</f>
        <v>0</v>
      </c>
      <c r="BA24" s="151">
        <f>VLOOKUP($AG24,装备属性!$A:$Y,24,0)</f>
        <v>0</v>
      </c>
      <c r="BB24" s="151">
        <f>VLOOKUP($AG24,装备属性!$A:$Y,25,0)</f>
        <v>0</v>
      </c>
    </row>
    <row r="25" spans="2:54">
      <c r="B25" s="151" t="str">
        <f>英雄初始!A26</f>
        <v>小娜迦</v>
      </c>
      <c r="D25" s="151">
        <f>INDEX(英雄成长!$A:$Q,MATCH(英雄对比!$C$2,英雄成长!$A:$A,0),MATCH(英雄对比!$C$3,英雄成长!$1:$1,0))</f>
        <v>6.6</v>
      </c>
      <c r="E25" s="233"/>
      <c r="H25" s="54" t="s">
        <v>178</v>
      </c>
      <c r="I25" s="51">
        <f>MAX(VLOOKUP(INDEX(英雄装备!$F:$BZ,MATCH($H25,英雄装备!$F:$F,0),MATCH(I$2,英雄装备!$1:$1,0)-5),装备属性!$A:$C,3,0),VLOOKUP(INDEX(英雄装备!$F:$BZ,MATCH($H25,英雄装备!$F:$F,0),MATCH(I$2,英雄装备!$1:$1,0)-4),装备属性!$A:$C,3,0),VLOOKUP(INDEX(英雄装备!$F:$BZ,MATCH($H25,英雄装备!$F:$F,0),MATCH(I$2,英雄装备!$1:$1,0)-3),装备属性!$A:$C,3,0),VLOOKUP(INDEX(英雄装备!$F:$BZ,MATCH($H25,英雄装备!$F:$F,0),MATCH(I$2,英雄装备!$1:$1,0)-2),装备属性!$A:$C,3,0),VLOOKUP(INDEX(英雄装备!$F:$BZ,MATCH($H25,英雄装备!$F:$F,0),MATCH(I$2,英雄装备!$1:$1,0)-1),装备属性!$A:$C,3,0),VLOOKUP(INDEX(英雄装备!$F:$BZ,MATCH($H25,英雄装备!$F:$F,0),MATCH(I$2,英雄装备!$1:$1,0)),装备属性!$A:$C,3,0))</f>
        <v>2</v>
      </c>
      <c r="J25" s="51">
        <f>MAX(VLOOKUP(INDEX(英雄装备!$F:$BZ,MATCH($H25,英雄装备!$F:$F,0),MATCH(J$2,英雄装备!$1:$1,0)-5),装备属性!$A:$C,3,0),VLOOKUP(INDEX(英雄装备!$F:$BZ,MATCH($H25,英雄装备!$F:$F,0),MATCH(J$2,英雄装备!$1:$1,0)-4),装备属性!$A:$C,3,0),VLOOKUP(INDEX(英雄装备!$F:$BZ,MATCH($H25,英雄装备!$F:$F,0),MATCH(J$2,英雄装备!$1:$1,0)-3),装备属性!$A:$C,3,0),VLOOKUP(INDEX(英雄装备!$F:$BZ,MATCH($H25,英雄装备!$F:$F,0),MATCH(J$2,英雄装备!$1:$1,0)-2),装备属性!$A:$C,3,0),VLOOKUP(INDEX(英雄装备!$F:$BZ,MATCH($H25,英雄装备!$F:$F,0),MATCH(J$2,英雄装备!$1:$1,0)-1),装备属性!$A:$C,3,0),VLOOKUP(INDEX(英雄装备!$F:$BZ,MATCH($H25,英雄装备!$F:$F,0),MATCH(J$2,英雄装备!$1:$1,0)),装备属性!$A:$C,3,0))</f>
        <v>10</v>
      </c>
      <c r="K25" s="51">
        <f>MAX(VLOOKUP(INDEX(英雄装备!$F:$BZ,MATCH($H25,英雄装备!$F:$F,0),MATCH(K$2,英雄装备!$1:$1,0)-5),装备属性!$A:$C,3,0),VLOOKUP(INDEX(英雄装备!$F:$BZ,MATCH($H25,英雄装备!$F:$F,0),MATCH(K$2,英雄装备!$1:$1,0)-4),装备属性!$A:$C,3,0),VLOOKUP(INDEX(英雄装备!$F:$BZ,MATCH($H25,英雄装备!$F:$F,0),MATCH(K$2,英雄装备!$1:$1,0)-3),装备属性!$A:$C,3,0),VLOOKUP(INDEX(英雄装备!$F:$BZ,MATCH($H25,英雄装备!$F:$F,0),MATCH(K$2,英雄装备!$1:$1,0)-2),装备属性!$A:$C,3,0),VLOOKUP(INDEX(英雄装备!$F:$BZ,MATCH($H25,英雄装备!$F:$F,0),MATCH(K$2,英雄装备!$1:$1,0)-1),装备属性!$A:$C,3,0),VLOOKUP(INDEX(英雄装备!$F:$BZ,MATCH($H25,英雄装备!$F:$F,0),MATCH(K$2,英雄装备!$1:$1,0)),装备属性!$A:$C,3,0))</f>
        <v>20</v>
      </c>
      <c r="L25" s="51">
        <f>MAX(VLOOKUP(INDEX(英雄装备!$F:$BZ,MATCH($H25,英雄装备!$F:$F,0),MATCH(L$2,英雄装备!$1:$1,0)-5),装备属性!$A:$C,3,0),VLOOKUP(INDEX(英雄装备!$F:$BZ,MATCH($H25,英雄装备!$F:$F,0),MATCH(L$2,英雄装备!$1:$1,0)-4),装备属性!$A:$C,3,0),VLOOKUP(INDEX(英雄装备!$F:$BZ,MATCH($H25,英雄装备!$F:$F,0),MATCH(L$2,英雄装备!$1:$1,0)-3),装备属性!$A:$C,3,0),VLOOKUP(INDEX(英雄装备!$F:$BZ,MATCH($H25,英雄装备!$F:$F,0),MATCH(L$2,英雄装备!$1:$1,0)-2),装备属性!$A:$C,3,0),VLOOKUP(INDEX(英雄装备!$F:$BZ,MATCH($H25,英雄装备!$F:$F,0),MATCH(L$2,英雄装备!$1:$1,0)-1),装备属性!$A:$C,3,0),VLOOKUP(INDEX(英雄装备!$F:$BZ,MATCH($H25,英雄装备!$F:$F,0),MATCH(L$2,英雄装备!$1:$1,0)),装备属性!$A:$C,3,0))</f>
        <v>37</v>
      </c>
      <c r="M25" s="51">
        <f>MAX(VLOOKUP(INDEX(英雄装备!$F:$BZ,MATCH($H25,英雄装备!$F:$F,0),MATCH(M$2,英雄装备!$1:$1,0)-5),装备属性!$A:$C,3,0),VLOOKUP(INDEX(英雄装备!$F:$BZ,MATCH($H25,英雄装备!$F:$F,0),MATCH(M$2,英雄装备!$1:$1,0)-4),装备属性!$A:$C,3,0),VLOOKUP(INDEX(英雄装备!$F:$BZ,MATCH($H25,英雄装备!$F:$F,0),MATCH(M$2,英雄装备!$1:$1,0)-3),装备属性!$A:$C,3,0),VLOOKUP(INDEX(英雄装备!$F:$BZ,MATCH($H25,英雄装备!$F:$F,0),MATCH(M$2,英雄装备!$1:$1,0)-2),装备属性!$A:$C,3,0),VLOOKUP(INDEX(英雄装备!$F:$BZ,MATCH($H25,英雄装备!$F:$F,0),MATCH(M$2,英雄装备!$1:$1,0)-1),装备属性!$A:$C,3,0),VLOOKUP(INDEX(英雄装备!$F:$BZ,MATCH($H25,英雄装备!$F:$F,0),MATCH(M$2,英雄装备!$1:$1,0)),装备属性!$A:$C,3,0))</f>
        <v>42</v>
      </c>
      <c r="N25" s="51">
        <f>MAX(VLOOKUP(INDEX(英雄装备!$F:$BZ,MATCH($H25,英雄装备!$F:$F,0),MATCH(N$2,英雄装备!$1:$1,0)-5),装备属性!$A:$C,3,0),VLOOKUP(INDEX(英雄装备!$F:$BZ,MATCH($H25,英雄装备!$F:$F,0),MATCH(N$2,英雄装备!$1:$1,0)-4),装备属性!$A:$C,3,0),VLOOKUP(INDEX(英雄装备!$F:$BZ,MATCH($H25,英雄装备!$F:$F,0),MATCH(N$2,英雄装备!$1:$1,0)-3),装备属性!$A:$C,3,0),VLOOKUP(INDEX(英雄装备!$F:$BZ,MATCH($H25,英雄装备!$F:$F,0),MATCH(N$2,英雄装备!$1:$1,0)-2),装备属性!$A:$C,3,0),VLOOKUP(INDEX(英雄装备!$F:$BZ,MATCH($H25,英雄装备!$F:$F,0),MATCH(N$2,英雄装备!$1:$1,0)-1),装备属性!$A:$C,3,0),VLOOKUP(INDEX(英雄装备!$F:$BZ,MATCH($H25,英雄装备!$F:$F,0),MATCH(N$2,英雄装备!$1:$1,0)),装备属性!$A:$C,3,0))</f>
        <v>53</v>
      </c>
      <c r="O25" s="51">
        <f>MAX(VLOOKUP(INDEX(英雄装备!$F:$BZ,MATCH($H25,英雄装备!$F:$F,0),MATCH(O$2,英雄装备!$1:$1,0)-5),装备属性!$A:$C,3,0),VLOOKUP(INDEX(英雄装备!$F:$BZ,MATCH($H25,英雄装备!$F:$F,0),MATCH(O$2,英雄装备!$1:$1,0)-4),装备属性!$A:$C,3,0),VLOOKUP(INDEX(英雄装备!$F:$BZ,MATCH($H25,英雄装备!$F:$F,0),MATCH(O$2,英雄装备!$1:$1,0)-3),装备属性!$A:$C,3,0),VLOOKUP(INDEX(英雄装备!$F:$BZ,MATCH($H25,英雄装备!$F:$F,0),MATCH(O$2,英雄装备!$1:$1,0)-2),装备属性!$A:$C,3,0),VLOOKUP(INDEX(英雄装备!$F:$BZ,MATCH($H25,英雄装备!$F:$F,0),MATCH(O$2,英雄装备!$1:$1,0)-1),装备属性!$A:$C,3,0),VLOOKUP(INDEX(英雄装备!$F:$BZ,MATCH($H25,英雄装备!$F:$F,0),MATCH(O$2,英雄装备!$1:$1,0)),装备属性!$A:$C,3,0))</f>
        <v>64</v>
      </c>
      <c r="P25" s="51">
        <f>MAX(VLOOKUP(INDEX(英雄装备!$F:$BZ,MATCH($H25,英雄装备!$F:$F,0),MATCH(P$2,英雄装备!$1:$1,0)-5),装备属性!$A:$C,3,0),VLOOKUP(INDEX(英雄装备!$F:$BZ,MATCH($H25,英雄装备!$F:$F,0),MATCH(P$2,英雄装备!$1:$1,0)-4),装备属性!$A:$C,3,0),VLOOKUP(INDEX(英雄装备!$F:$BZ,MATCH($H25,英雄装备!$F:$F,0),MATCH(P$2,英雄装备!$1:$1,0)-3),装备属性!$A:$C,3,0),VLOOKUP(INDEX(英雄装备!$F:$BZ,MATCH($H25,英雄装备!$F:$F,0),MATCH(P$2,英雄装备!$1:$1,0)-2),装备属性!$A:$C,3,0),VLOOKUP(INDEX(英雄装备!$F:$BZ,MATCH($H25,英雄装备!$F:$F,0),MATCH(P$2,英雄装备!$1:$1,0)-1),装备属性!$A:$C,3,0),VLOOKUP(INDEX(英雄装备!$F:$BZ,MATCH($H25,英雄装备!$F:$F,0),MATCH(P$2,英雄装备!$1:$1,0)),装备属性!$A:$C,3,0))</f>
        <v>73</v>
      </c>
      <c r="Q25" s="51">
        <f>MAX(VLOOKUP(INDEX(英雄装备!$F:$BZ,MATCH($H25,英雄装备!$F:$F,0),MATCH(Q$2,英雄装备!$1:$1,0)-5),装备属性!$A:$C,3,0),VLOOKUP(INDEX(英雄装备!$F:$BZ,MATCH($H25,英雄装备!$F:$F,0),MATCH(Q$2,英雄装备!$1:$1,0)-4),装备属性!$A:$C,3,0),VLOOKUP(INDEX(英雄装备!$F:$BZ,MATCH($H25,英雄装备!$F:$F,0),MATCH(Q$2,英雄装备!$1:$1,0)-3),装备属性!$A:$C,3,0),VLOOKUP(INDEX(英雄装备!$F:$BZ,MATCH($H25,英雄装备!$F:$F,0),MATCH(Q$2,英雄装备!$1:$1,0)-2),装备属性!$A:$C,3,0),VLOOKUP(INDEX(英雄装备!$F:$BZ,MATCH($H25,英雄装备!$F:$F,0),MATCH(Q$2,英雄装备!$1:$1,0)-1),装备属性!$A:$C,3,0),VLOOKUP(INDEX(英雄装备!$F:$BZ,MATCH($H25,英雄装备!$F:$F,0),MATCH(Q$2,英雄装备!$1:$1,0)),装备属性!$A:$C,3,0))</f>
        <v>80</v>
      </c>
      <c r="R25" s="51">
        <f>MAX(VLOOKUP(INDEX(英雄装备!$F:$BZ,MATCH($H25,英雄装备!$F:$F,0),MATCH(R$2,英雄装备!$1:$1,0)-5),装备属性!$A:$C,3,0),VLOOKUP(INDEX(英雄装备!$F:$BZ,MATCH($H25,英雄装备!$F:$F,0),MATCH(R$2,英雄装备!$1:$1,0)-4),装备属性!$A:$C,3,0),VLOOKUP(INDEX(英雄装备!$F:$BZ,MATCH($H25,英雄装备!$F:$F,0),MATCH(R$2,英雄装备!$1:$1,0)-3),装备属性!$A:$C,3,0),VLOOKUP(INDEX(英雄装备!$F:$BZ,MATCH($H25,英雄装备!$F:$F,0),MATCH(R$2,英雄装备!$1:$1,0)-2),装备属性!$A:$C,3,0),VLOOKUP(INDEX(英雄装备!$F:$BZ,MATCH($H25,英雄装备!$F:$F,0),MATCH(R$2,英雄装备!$1:$1,0)-1),装备属性!$A:$C,3,0),VLOOKUP(INDEX(英雄装备!$F:$BZ,MATCH($H25,英雄装备!$F:$F,0),MATCH(R$2,英雄装备!$1:$1,0)),装备属性!$A:$C,3,0))</f>
        <v>79</v>
      </c>
      <c r="S25" s="51">
        <f>MAX(VLOOKUP(INDEX(英雄装备!$F:$BZ,MATCH($H25,英雄装备!$F:$F,0),MATCH(S$2,英雄装备!$1:$1,0)-5),装备属性!$A:$C,3,0),VLOOKUP(INDEX(英雄装备!$F:$BZ,MATCH($H25,英雄装备!$F:$F,0),MATCH(S$2,英雄装备!$1:$1,0)-4),装备属性!$A:$C,3,0),VLOOKUP(INDEX(英雄装备!$F:$BZ,MATCH($H25,英雄装备!$F:$F,0),MATCH(S$2,英雄装备!$1:$1,0)-3),装备属性!$A:$C,3,0),VLOOKUP(INDEX(英雄装备!$F:$BZ,MATCH($H25,英雄装备!$F:$F,0),MATCH(S$2,英雄装备!$1:$1,0)-2),装备属性!$A:$C,3,0),VLOOKUP(INDEX(英雄装备!$F:$BZ,MATCH($H25,英雄装备!$F:$F,0),MATCH(S$2,英雄装备!$1:$1,0)-1),装备属性!$A:$C,3,0),VLOOKUP(INDEX(英雄装备!$F:$BZ,MATCH($H25,英雄装备!$F:$F,0),MATCH(S$2,英雄装备!$1:$1,0)),装备属性!$A:$C,3,0))</f>
        <v>85</v>
      </c>
      <c r="T25" s="51">
        <f>MAX(VLOOKUP(INDEX(英雄装备!$F:$BZ,MATCH($H25,英雄装备!$F:$F,0),MATCH(T$2,英雄装备!$1:$1,0)-5),装备属性!$A:$C,3,0),VLOOKUP(INDEX(英雄装备!$F:$BZ,MATCH($H25,英雄装备!$F:$F,0),MATCH(T$2,英雄装备!$1:$1,0)-4),装备属性!$A:$C,3,0),VLOOKUP(INDEX(英雄装备!$F:$BZ,MATCH($H25,英雄装备!$F:$F,0),MATCH(T$2,英雄装备!$1:$1,0)-3),装备属性!$A:$C,3,0),VLOOKUP(INDEX(英雄装备!$F:$BZ,MATCH($H25,英雄装备!$F:$F,0),MATCH(T$2,英雄装备!$1:$1,0)-2),装备属性!$A:$C,3,0),VLOOKUP(INDEX(英雄装备!$F:$BZ,MATCH($H25,英雄装备!$F:$F,0),MATCH(T$2,英雄装备!$1:$1,0)-1),装备属性!$A:$C,3,0))</f>
        <v>89</v>
      </c>
      <c r="W25" s="108">
        <f t="shared" si="3"/>
        <v>0</v>
      </c>
      <c r="X25" s="151">
        <f>IF(X12="暂无","暂无",IF(VLOOKUP(X12,装备属性!$A:$C,3,0)&gt;英雄对比!$C$4,0,1))</f>
        <v>0</v>
      </c>
      <c r="Y25" s="151">
        <f>IF(Y12="暂无","暂无",IF(VLOOKUP(Y12,装备属性!$A:$C,3,0)&gt;英雄对比!$C$4,0,1))</f>
        <v>1</v>
      </c>
      <c r="Z25" s="151">
        <f>IF(Z12="暂无","暂无",IF(VLOOKUP(Z12,装备属性!$A:$C,3,0)&gt;英雄对比!$C$4,0,1))</f>
        <v>1</v>
      </c>
      <c r="AA25" s="151">
        <f>IF(AA12="暂无","暂无",IF(VLOOKUP(AA12,装备属性!$A:$C,3,0)&gt;英雄对比!$C$4,0,1))</f>
        <v>1</v>
      </c>
      <c r="AB25" s="151">
        <f>IF(AB12="暂无","暂无",IF(VLOOKUP(AB12,装备属性!$A:$C,3,0)&gt;英雄对比!$C$4,0,1))</f>
        <v>1</v>
      </c>
      <c r="AC25" s="141" t="s">
        <v>2102</v>
      </c>
      <c r="AF25" s="151">
        <v>1</v>
      </c>
      <c r="AG25" s="151" t="str">
        <f>Z1</f>
        <v>敏捷丝袜</v>
      </c>
      <c r="AH25" s="151">
        <f>VLOOKUP($AG25,装备属性!$A:$Y,5,0)</f>
        <v>0</v>
      </c>
      <c r="AI25" s="151">
        <f>VLOOKUP($AG25,装备属性!$A:$Y,6,0)</f>
        <v>3</v>
      </c>
      <c r="AJ25" s="151">
        <f>VLOOKUP($AG25,装备属性!$A:$Y,7,0)</f>
        <v>0</v>
      </c>
      <c r="AK25" s="151">
        <f>VLOOKUP($AG25,装备属性!$A:$Y,8,0)</f>
        <v>0</v>
      </c>
      <c r="AL25" s="151">
        <f>VLOOKUP($AG25,装备属性!$A:$Y,9,0)</f>
        <v>0</v>
      </c>
      <c r="AM25" s="151">
        <f>VLOOKUP($AG25,装备属性!$A:$Y,10,0)</f>
        <v>0</v>
      </c>
      <c r="AN25" s="151">
        <f>VLOOKUP($AG25,装备属性!$A:$Y,11,0)</f>
        <v>0</v>
      </c>
      <c r="AO25" s="151">
        <f>VLOOKUP($AG25,装备属性!$A:$Y,12,0)</f>
        <v>0</v>
      </c>
      <c r="AP25" s="151">
        <f>VLOOKUP($AG25,装备属性!$A:$Y,13,0)</f>
        <v>0</v>
      </c>
      <c r="AQ25" s="151">
        <f>VLOOKUP($AG25,装备属性!$A:$Y,14,0)</f>
        <v>0</v>
      </c>
      <c r="AR25" s="151">
        <f>VLOOKUP($AG25,装备属性!$A:$Y,15,0)</f>
        <v>0</v>
      </c>
      <c r="AS25" s="151">
        <f>VLOOKUP($AG25,装备属性!$A:$Y,16,0)</f>
        <v>0</v>
      </c>
      <c r="AT25" s="151">
        <f>VLOOKUP($AG25,装备属性!$A:$Y,17,0)</f>
        <v>0</v>
      </c>
      <c r="AU25" s="151">
        <f>VLOOKUP($AG25,装备属性!$A:$Y,18,0)</f>
        <v>0</v>
      </c>
      <c r="AV25" s="151">
        <f>VLOOKUP($AG25,装备属性!$A:$Y,19,0)</f>
        <v>0</v>
      </c>
      <c r="AW25" s="151">
        <f>VLOOKUP($AG25,装备属性!$A:$Y,20,0)</f>
        <v>0</v>
      </c>
      <c r="AX25" s="151">
        <f>VLOOKUP($AG25,装备属性!$A:$Y,21,0)</f>
        <v>0</v>
      </c>
      <c r="AY25" s="151">
        <f>VLOOKUP($AG25,装备属性!$A:$Y,22,0)</f>
        <v>0</v>
      </c>
      <c r="AZ25" s="151">
        <f>VLOOKUP($AG25,装备属性!$A:$Y,23,0)</f>
        <v>0</v>
      </c>
      <c r="BA25" s="151">
        <f>VLOOKUP($AG25,装备属性!$A:$Y,24,0)</f>
        <v>0</v>
      </c>
      <c r="BB25" s="151">
        <f>VLOOKUP($AG25,装备属性!$A:$Y,25,0)</f>
        <v>0</v>
      </c>
    </row>
    <row r="26" spans="2:54">
      <c r="B26" s="151" t="str">
        <f>英雄初始!A27</f>
        <v>影魔</v>
      </c>
      <c r="D26" s="151">
        <f>INDEX(英雄成长!$A:$Q,MATCH(英雄对比!$C$2,英雄成长!$A:$A,0),MATCH(英雄对比!$C$3,英雄成长!$1:$1,0)+1)</f>
        <v>8.4</v>
      </c>
      <c r="E26" s="233"/>
      <c r="H26" s="54" t="s">
        <v>179</v>
      </c>
      <c r="I26" s="51">
        <f>MAX(VLOOKUP(INDEX(英雄装备!$F:$BZ,MATCH($H26,英雄装备!$F:$F,0),MATCH(I$2,英雄装备!$1:$1,0)-5),装备属性!$A:$C,3,0),VLOOKUP(INDEX(英雄装备!$F:$BZ,MATCH($H26,英雄装备!$F:$F,0),MATCH(I$2,英雄装备!$1:$1,0)-4),装备属性!$A:$C,3,0),VLOOKUP(INDEX(英雄装备!$F:$BZ,MATCH($H26,英雄装备!$F:$F,0),MATCH(I$2,英雄装备!$1:$1,0)-3),装备属性!$A:$C,3,0),VLOOKUP(INDEX(英雄装备!$F:$BZ,MATCH($H26,英雄装备!$F:$F,0),MATCH(I$2,英雄装备!$1:$1,0)-2),装备属性!$A:$C,3,0),VLOOKUP(INDEX(英雄装备!$F:$BZ,MATCH($H26,英雄装备!$F:$F,0),MATCH(I$2,英雄装备!$1:$1,0)-1),装备属性!$A:$C,3,0),VLOOKUP(INDEX(英雄装备!$F:$BZ,MATCH($H26,英雄装备!$F:$F,0),MATCH(I$2,英雄装备!$1:$1,0)),装备属性!$A:$C,3,0))</f>
        <v>2</v>
      </c>
      <c r="J26" s="51">
        <f>MAX(VLOOKUP(INDEX(英雄装备!$F:$BZ,MATCH($H26,英雄装备!$F:$F,0),MATCH(J$2,英雄装备!$1:$1,0)-5),装备属性!$A:$C,3,0),VLOOKUP(INDEX(英雄装备!$F:$BZ,MATCH($H26,英雄装备!$F:$F,0),MATCH(J$2,英雄装备!$1:$1,0)-4),装备属性!$A:$C,3,0),VLOOKUP(INDEX(英雄装备!$F:$BZ,MATCH($H26,英雄装备!$F:$F,0),MATCH(J$2,英雄装备!$1:$1,0)-3),装备属性!$A:$C,3,0),VLOOKUP(INDEX(英雄装备!$F:$BZ,MATCH($H26,英雄装备!$F:$F,0),MATCH(J$2,英雄装备!$1:$1,0)-2),装备属性!$A:$C,3,0),VLOOKUP(INDEX(英雄装备!$F:$BZ,MATCH($H26,英雄装备!$F:$F,0),MATCH(J$2,英雄装备!$1:$1,0)-1),装备属性!$A:$C,3,0),VLOOKUP(INDEX(英雄装备!$F:$BZ,MATCH($H26,英雄装备!$F:$F,0),MATCH(J$2,英雄装备!$1:$1,0)),装备属性!$A:$C,3,0))</f>
        <v>11</v>
      </c>
      <c r="K26" s="51">
        <f>MAX(VLOOKUP(INDEX(英雄装备!$F:$BZ,MATCH($H26,英雄装备!$F:$F,0),MATCH(K$2,英雄装备!$1:$1,0)-5),装备属性!$A:$C,3,0),VLOOKUP(INDEX(英雄装备!$F:$BZ,MATCH($H26,英雄装备!$F:$F,0),MATCH(K$2,英雄装备!$1:$1,0)-4),装备属性!$A:$C,3,0),VLOOKUP(INDEX(英雄装备!$F:$BZ,MATCH($H26,英雄装备!$F:$F,0),MATCH(K$2,英雄装备!$1:$1,0)-3),装备属性!$A:$C,3,0),VLOOKUP(INDEX(英雄装备!$F:$BZ,MATCH($H26,英雄装备!$F:$F,0),MATCH(K$2,英雄装备!$1:$1,0)-2),装备属性!$A:$C,3,0),VLOOKUP(INDEX(英雄装备!$F:$BZ,MATCH($H26,英雄装备!$F:$F,0),MATCH(K$2,英雄装备!$1:$1,0)-1),装备属性!$A:$C,3,0),VLOOKUP(INDEX(英雄装备!$F:$BZ,MATCH($H26,英雄装备!$F:$F,0),MATCH(K$2,英雄装备!$1:$1,0)),装备属性!$A:$C,3,0))</f>
        <v>26</v>
      </c>
      <c r="L26" s="51">
        <f>MAX(VLOOKUP(INDEX(英雄装备!$F:$BZ,MATCH($H26,英雄装备!$F:$F,0),MATCH(L$2,英雄装备!$1:$1,0)-5),装备属性!$A:$C,3,0),VLOOKUP(INDEX(英雄装备!$F:$BZ,MATCH($H26,英雄装备!$F:$F,0),MATCH(L$2,英雄装备!$1:$1,0)-4),装备属性!$A:$C,3,0),VLOOKUP(INDEX(英雄装备!$F:$BZ,MATCH($H26,英雄装备!$F:$F,0),MATCH(L$2,英雄装备!$1:$1,0)-3),装备属性!$A:$C,3,0),VLOOKUP(INDEX(英雄装备!$F:$BZ,MATCH($H26,英雄装备!$F:$F,0),MATCH(L$2,英雄装备!$1:$1,0)-2),装备属性!$A:$C,3,0),VLOOKUP(INDEX(英雄装备!$F:$BZ,MATCH($H26,英雄装备!$F:$F,0),MATCH(L$2,英雄装备!$1:$1,0)-1),装备属性!$A:$C,3,0),VLOOKUP(INDEX(英雄装备!$F:$BZ,MATCH($H26,英雄装备!$F:$F,0),MATCH(L$2,英雄装备!$1:$1,0)),装备属性!$A:$C,3,0))</f>
        <v>35</v>
      </c>
      <c r="M26" s="51">
        <f>MAX(VLOOKUP(INDEX(英雄装备!$F:$BZ,MATCH($H26,英雄装备!$F:$F,0),MATCH(M$2,英雄装备!$1:$1,0)-5),装备属性!$A:$C,3,0),VLOOKUP(INDEX(英雄装备!$F:$BZ,MATCH($H26,英雄装备!$F:$F,0),MATCH(M$2,英雄装备!$1:$1,0)-4),装备属性!$A:$C,3,0),VLOOKUP(INDEX(英雄装备!$F:$BZ,MATCH($H26,英雄装备!$F:$F,0),MATCH(M$2,英雄装备!$1:$1,0)-3),装备属性!$A:$C,3,0),VLOOKUP(INDEX(英雄装备!$F:$BZ,MATCH($H26,英雄装备!$F:$F,0),MATCH(M$2,英雄装备!$1:$1,0)-2),装备属性!$A:$C,3,0),VLOOKUP(INDEX(英雄装备!$F:$BZ,MATCH($H26,英雄装备!$F:$F,0),MATCH(M$2,英雄装备!$1:$1,0)-1),装备属性!$A:$C,3,0),VLOOKUP(INDEX(英雄装备!$F:$BZ,MATCH($H26,英雄装备!$F:$F,0),MATCH(M$2,英雄装备!$1:$1,0)),装备属性!$A:$C,3,0))</f>
        <v>44</v>
      </c>
      <c r="N26" s="51">
        <f>MAX(VLOOKUP(INDEX(英雄装备!$F:$BZ,MATCH($H26,英雄装备!$F:$F,0),MATCH(N$2,英雄装备!$1:$1,0)-5),装备属性!$A:$C,3,0),VLOOKUP(INDEX(英雄装备!$F:$BZ,MATCH($H26,英雄装备!$F:$F,0),MATCH(N$2,英雄装备!$1:$1,0)-4),装备属性!$A:$C,3,0),VLOOKUP(INDEX(英雄装备!$F:$BZ,MATCH($H26,英雄装备!$F:$F,0),MATCH(N$2,英雄装备!$1:$1,0)-3),装备属性!$A:$C,3,0),VLOOKUP(INDEX(英雄装备!$F:$BZ,MATCH($H26,英雄装备!$F:$F,0),MATCH(N$2,英雄装备!$1:$1,0)-2),装备属性!$A:$C,3,0),VLOOKUP(INDEX(英雄装备!$F:$BZ,MATCH($H26,英雄装备!$F:$F,0),MATCH(N$2,英雄装备!$1:$1,0)-1),装备属性!$A:$C,3,0),VLOOKUP(INDEX(英雄装备!$F:$BZ,MATCH($H26,英雄装备!$F:$F,0),MATCH(N$2,英雄装备!$1:$1,0)),装备属性!$A:$C,3,0))</f>
        <v>53</v>
      </c>
      <c r="O26" s="51">
        <f>MAX(VLOOKUP(INDEX(英雄装备!$F:$BZ,MATCH($H26,英雄装备!$F:$F,0),MATCH(O$2,英雄装备!$1:$1,0)-5),装备属性!$A:$C,3,0),VLOOKUP(INDEX(英雄装备!$F:$BZ,MATCH($H26,英雄装备!$F:$F,0),MATCH(O$2,英雄装备!$1:$1,0)-4),装备属性!$A:$C,3,0),VLOOKUP(INDEX(英雄装备!$F:$BZ,MATCH($H26,英雄装备!$F:$F,0),MATCH(O$2,英雄装备!$1:$1,0)-3),装备属性!$A:$C,3,0),VLOOKUP(INDEX(英雄装备!$F:$BZ,MATCH($H26,英雄装备!$F:$F,0),MATCH(O$2,英雄装备!$1:$1,0)-2),装备属性!$A:$C,3,0),VLOOKUP(INDEX(英雄装备!$F:$BZ,MATCH($H26,英雄装备!$F:$F,0),MATCH(O$2,英雄装备!$1:$1,0)-1),装备属性!$A:$C,3,0),VLOOKUP(INDEX(英雄装备!$F:$BZ,MATCH($H26,英雄装备!$F:$F,0),MATCH(O$2,英雄装备!$1:$1,0)),装备属性!$A:$C,3,0))</f>
        <v>64</v>
      </c>
      <c r="P26" s="51">
        <f>MAX(VLOOKUP(INDEX(英雄装备!$F:$BZ,MATCH($H26,英雄装备!$F:$F,0),MATCH(P$2,英雄装备!$1:$1,0)-5),装备属性!$A:$C,3,0),VLOOKUP(INDEX(英雄装备!$F:$BZ,MATCH($H26,英雄装备!$F:$F,0),MATCH(P$2,英雄装备!$1:$1,0)-4),装备属性!$A:$C,3,0),VLOOKUP(INDEX(英雄装备!$F:$BZ,MATCH($H26,英雄装备!$F:$F,0),MATCH(P$2,英雄装备!$1:$1,0)-3),装备属性!$A:$C,3,0),VLOOKUP(INDEX(英雄装备!$F:$BZ,MATCH($H26,英雄装备!$F:$F,0),MATCH(P$2,英雄装备!$1:$1,0)-2),装备属性!$A:$C,3,0),VLOOKUP(INDEX(英雄装备!$F:$BZ,MATCH($H26,英雄装备!$F:$F,0),MATCH(P$2,英雄装备!$1:$1,0)-1),装备属性!$A:$C,3,0),VLOOKUP(INDEX(英雄装备!$F:$BZ,MATCH($H26,英雄装备!$F:$F,0),MATCH(P$2,英雄装备!$1:$1,0)),装备属性!$A:$C,3,0))</f>
        <v>73</v>
      </c>
      <c r="Q26" s="51">
        <f>MAX(VLOOKUP(INDEX(英雄装备!$F:$BZ,MATCH($H26,英雄装备!$F:$F,0),MATCH(Q$2,英雄装备!$1:$1,0)-5),装备属性!$A:$C,3,0),VLOOKUP(INDEX(英雄装备!$F:$BZ,MATCH($H26,英雄装备!$F:$F,0),MATCH(Q$2,英雄装备!$1:$1,0)-4),装备属性!$A:$C,3,0),VLOOKUP(INDEX(英雄装备!$F:$BZ,MATCH($H26,英雄装备!$F:$F,0),MATCH(Q$2,英雄装备!$1:$1,0)-3),装备属性!$A:$C,3,0),VLOOKUP(INDEX(英雄装备!$F:$BZ,MATCH($H26,英雄装备!$F:$F,0),MATCH(Q$2,英雄装备!$1:$1,0)-2),装备属性!$A:$C,3,0),VLOOKUP(INDEX(英雄装备!$F:$BZ,MATCH($H26,英雄装备!$F:$F,0),MATCH(Q$2,英雄装备!$1:$1,0)-1),装备属性!$A:$C,3,0),VLOOKUP(INDEX(英雄装备!$F:$BZ,MATCH($H26,英雄装备!$F:$F,0),MATCH(Q$2,英雄装备!$1:$1,0)),装备属性!$A:$C,3,0))</f>
        <v>79</v>
      </c>
      <c r="R26" s="51">
        <f>MAX(VLOOKUP(INDEX(英雄装备!$F:$BZ,MATCH($H26,英雄装备!$F:$F,0),MATCH(R$2,英雄装备!$1:$1,0)-5),装备属性!$A:$C,3,0),VLOOKUP(INDEX(英雄装备!$F:$BZ,MATCH($H26,英雄装备!$F:$F,0),MATCH(R$2,英雄装备!$1:$1,0)-4),装备属性!$A:$C,3,0),VLOOKUP(INDEX(英雄装备!$F:$BZ,MATCH($H26,英雄装备!$F:$F,0),MATCH(R$2,英雄装备!$1:$1,0)-3),装备属性!$A:$C,3,0),VLOOKUP(INDEX(英雄装备!$F:$BZ,MATCH($H26,英雄装备!$F:$F,0),MATCH(R$2,英雄装备!$1:$1,0)-2),装备属性!$A:$C,3,0),VLOOKUP(INDEX(英雄装备!$F:$BZ,MATCH($H26,英雄装备!$F:$F,0),MATCH(R$2,英雄装备!$1:$1,0)-1),装备属性!$A:$C,3,0),VLOOKUP(INDEX(英雄装备!$F:$BZ,MATCH($H26,英雄装备!$F:$F,0),MATCH(R$2,英雄装备!$1:$1,0)),装备属性!$A:$C,3,0))</f>
        <v>80</v>
      </c>
      <c r="S26" s="51">
        <f>MAX(VLOOKUP(INDEX(英雄装备!$F:$BZ,MATCH($H26,英雄装备!$F:$F,0),MATCH(S$2,英雄装备!$1:$1,0)-5),装备属性!$A:$C,3,0),VLOOKUP(INDEX(英雄装备!$F:$BZ,MATCH($H26,英雄装备!$F:$F,0),MATCH(S$2,英雄装备!$1:$1,0)-4),装备属性!$A:$C,3,0),VLOOKUP(INDEX(英雄装备!$F:$BZ,MATCH($H26,英雄装备!$F:$F,0),MATCH(S$2,英雄装备!$1:$1,0)-3),装备属性!$A:$C,3,0),VLOOKUP(INDEX(英雄装备!$F:$BZ,MATCH($H26,英雄装备!$F:$F,0),MATCH(S$2,英雄装备!$1:$1,0)-2),装备属性!$A:$C,3,0),VLOOKUP(INDEX(英雄装备!$F:$BZ,MATCH($H26,英雄装备!$F:$F,0),MATCH(S$2,英雄装备!$1:$1,0)-1),装备属性!$A:$C,3,0),VLOOKUP(INDEX(英雄装备!$F:$BZ,MATCH($H26,英雄装备!$F:$F,0),MATCH(S$2,英雄装备!$1:$1,0)),装备属性!$A:$C,3,0))</f>
        <v>85</v>
      </c>
      <c r="T26" s="51">
        <f>MAX(VLOOKUP(INDEX(英雄装备!$F:$BZ,MATCH($H26,英雄装备!$F:$F,0),MATCH(T$2,英雄装备!$1:$1,0)-5),装备属性!$A:$C,3,0),VLOOKUP(INDEX(英雄装备!$F:$BZ,MATCH($H26,英雄装备!$F:$F,0),MATCH(T$2,英雄装备!$1:$1,0)-4),装备属性!$A:$C,3,0),VLOOKUP(INDEX(英雄装备!$F:$BZ,MATCH($H26,英雄装备!$F:$F,0),MATCH(T$2,英雄装备!$1:$1,0)-3),装备属性!$A:$C,3,0),VLOOKUP(INDEX(英雄装备!$F:$BZ,MATCH($H26,英雄装备!$F:$F,0),MATCH(T$2,英雄装备!$1:$1,0)-2),装备属性!$A:$C,3,0),VLOOKUP(INDEX(英雄装备!$F:$BZ,MATCH($H26,英雄装备!$F:$F,0),MATCH(T$2,英雄装备!$1:$1,0)-1),装备属性!$A:$C,3,0))</f>
        <v>89</v>
      </c>
      <c r="AF26" s="151">
        <v>1</v>
      </c>
      <c r="AG26" s="151" t="str">
        <f>AA1</f>
        <v>敏捷丝袜</v>
      </c>
      <c r="AH26" s="151">
        <f>VLOOKUP($AG26,装备属性!$A:$Y,5,0)</f>
        <v>0</v>
      </c>
      <c r="AI26" s="151">
        <f>VLOOKUP($AG26,装备属性!$A:$Y,6,0)</f>
        <v>3</v>
      </c>
      <c r="AJ26" s="151">
        <f>VLOOKUP($AG26,装备属性!$A:$Y,7,0)</f>
        <v>0</v>
      </c>
      <c r="AK26" s="151">
        <f>VLOOKUP($AG26,装备属性!$A:$Y,8,0)</f>
        <v>0</v>
      </c>
      <c r="AL26" s="151">
        <f>VLOOKUP($AG26,装备属性!$A:$Y,9,0)</f>
        <v>0</v>
      </c>
      <c r="AM26" s="151">
        <f>VLOOKUP($AG26,装备属性!$A:$Y,10,0)</f>
        <v>0</v>
      </c>
      <c r="AN26" s="151">
        <f>VLOOKUP($AG26,装备属性!$A:$Y,11,0)</f>
        <v>0</v>
      </c>
      <c r="AO26" s="151">
        <f>VLOOKUP($AG26,装备属性!$A:$Y,12,0)</f>
        <v>0</v>
      </c>
      <c r="AP26" s="151">
        <f>VLOOKUP($AG26,装备属性!$A:$Y,13,0)</f>
        <v>0</v>
      </c>
      <c r="AQ26" s="151">
        <f>VLOOKUP($AG26,装备属性!$A:$Y,14,0)</f>
        <v>0</v>
      </c>
      <c r="AR26" s="151">
        <f>VLOOKUP($AG26,装备属性!$A:$Y,15,0)</f>
        <v>0</v>
      </c>
      <c r="AS26" s="151">
        <f>VLOOKUP($AG26,装备属性!$A:$Y,16,0)</f>
        <v>0</v>
      </c>
      <c r="AT26" s="151">
        <f>VLOOKUP($AG26,装备属性!$A:$Y,17,0)</f>
        <v>0</v>
      </c>
      <c r="AU26" s="151">
        <f>VLOOKUP($AG26,装备属性!$A:$Y,18,0)</f>
        <v>0</v>
      </c>
      <c r="AV26" s="151">
        <f>VLOOKUP($AG26,装备属性!$A:$Y,19,0)</f>
        <v>0</v>
      </c>
      <c r="AW26" s="151">
        <f>VLOOKUP($AG26,装备属性!$A:$Y,20,0)</f>
        <v>0</v>
      </c>
      <c r="AX26" s="151">
        <f>VLOOKUP($AG26,装备属性!$A:$Y,21,0)</f>
        <v>0</v>
      </c>
      <c r="AY26" s="151">
        <f>VLOOKUP($AG26,装备属性!$A:$Y,22,0)</f>
        <v>0</v>
      </c>
      <c r="AZ26" s="151">
        <f>VLOOKUP($AG26,装备属性!$A:$Y,23,0)</f>
        <v>0</v>
      </c>
      <c r="BA26" s="151">
        <f>VLOOKUP($AG26,装备属性!$A:$Y,24,0)</f>
        <v>0</v>
      </c>
      <c r="BB26" s="151">
        <f>VLOOKUP($AG26,装备属性!$A:$Y,25,0)</f>
        <v>0</v>
      </c>
    </row>
    <row r="27" spans="2:54">
      <c r="B27" s="151" t="str">
        <f>英雄初始!A28</f>
        <v>月骑</v>
      </c>
      <c r="D27" s="151">
        <f>INDEX(英雄成长!$A:$Q,MATCH(英雄对比!$C$2,英雄成长!$A:$A,0),MATCH(英雄对比!$C$3,英雄成长!$1:$1,0)+2)</f>
        <v>3</v>
      </c>
      <c r="E27" s="233"/>
      <c r="H27" s="54" t="s">
        <v>180</v>
      </c>
      <c r="I27" s="51">
        <f>MAX(VLOOKUP(INDEX(英雄装备!$F:$BZ,MATCH($H27,英雄装备!$F:$F,0),MATCH(I$2,英雄装备!$1:$1,0)-5),装备属性!$A:$C,3,0),VLOOKUP(INDEX(英雄装备!$F:$BZ,MATCH($H27,英雄装备!$F:$F,0),MATCH(I$2,英雄装备!$1:$1,0)-4),装备属性!$A:$C,3,0),VLOOKUP(INDEX(英雄装备!$F:$BZ,MATCH($H27,英雄装备!$F:$F,0),MATCH(I$2,英雄装备!$1:$1,0)-3),装备属性!$A:$C,3,0),VLOOKUP(INDEX(英雄装备!$F:$BZ,MATCH($H27,英雄装备!$F:$F,0),MATCH(I$2,英雄装备!$1:$1,0)-2),装备属性!$A:$C,3,0),VLOOKUP(INDEX(英雄装备!$F:$BZ,MATCH($H27,英雄装备!$F:$F,0),MATCH(I$2,英雄装备!$1:$1,0)-1),装备属性!$A:$C,3,0),VLOOKUP(INDEX(英雄装备!$F:$BZ,MATCH($H27,英雄装备!$F:$F,0),MATCH(I$2,英雄装备!$1:$1,0)),装备属性!$A:$C,3,0))</f>
        <v>2</v>
      </c>
      <c r="J27" s="51">
        <f>MAX(VLOOKUP(INDEX(英雄装备!$F:$BZ,MATCH($H27,英雄装备!$F:$F,0),MATCH(J$2,英雄装备!$1:$1,0)-5),装备属性!$A:$C,3,0),VLOOKUP(INDEX(英雄装备!$F:$BZ,MATCH($H27,英雄装备!$F:$F,0),MATCH(J$2,英雄装备!$1:$1,0)-4),装备属性!$A:$C,3,0),VLOOKUP(INDEX(英雄装备!$F:$BZ,MATCH($H27,英雄装备!$F:$F,0),MATCH(J$2,英雄装备!$1:$1,0)-3),装备属性!$A:$C,3,0),VLOOKUP(INDEX(英雄装备!$F:$BZ,MATCH($H27,英雄装备!$F:$F,0),MATCH(J$2,英雄装备!$1:$1,0)-2),装备属性!$A:$C,3,0),VLOOKUP(INDEX(英雄装备!$F:$BZ,MATCH($H27,英雄装备!$F:$F,0),MATCH(J$2,英雄装备!$1:$1,0)-1),装备属性!$A:$C,3,0),VLOOKUP(INDEX(英雄装备!$F:$BZ,MATCH($H27,英雄装备!$F:$F,0),MATCH(J$2,英雄装备!$1:$1,0)),装备属性!$A:$C,3,0))</f>
        <v>10</v>
      </c>
      <c r="K27" s="51">
        <f>MAX(VLOOKUP(INDEX(英雄装备!$F:$BZ,MATCH($H27,英雄装备!$F:$F,0),MATCH(K$2,英雄装备!$1:$1,0)-5),装备属性!$A:$C,3,0),VLOOKUP(INDEX(英雄装备!$F:$BZ,MATCH($H27,英雄装备!$F:$F,0),MATCH(K$2,英雄装备!$1:$1,0)-4),装备属性!$A:$C,3,0),VLOOKUP(INDEX(英雄装备!$F:$BZ,MATCH($H27,英雄装备!$F:$F,0),MATCH(K$2,英雄装备!$1:$1,0)-3),装备属性!$A:$C,3,0),VLOOKUP(INDEX(英雄装备!$F:$BZ,MATCH($H27,英雄装备!$F:$F,0),MATCH(K$2,英雄装备!$1:$1,0)-2),装备属性!$A:$C,3,0),VLOOKUP(INDEX(英雄装备!$F:$BZ,MATCH($H27,英雄装备!$F:$F,0),MATCH(K$2,英雄装备!$1:$1,0)-1),装备属性!$A:$C,3,0),VLOOKUP(INDEX(英雄装备!$F:$BZ,MATCH($H27,英雄装备!$F:$F,0),MATCH(K$2,英雄装备!$1:$1,0)),装备属性!$A:$C,3,0))</f>
        <v>20</v>
      </c>
      <c r="L27" s="51">
        <f>MAX(VLOOKUP(INDEX(英雄装备!$F:$BZ,MATCH($H27,英雄装备!$F:$F,0),MATCH(L$2,英雄装备!$1:$1,0)-5),装备属性!$A:$C,3,0),VLOOKUP(INDEX(英雄装备!$F:$BZ,MATCH($H27,英雄装备!$F:$F,0),MATCH(L$2,英雄装备!$1:$1,0)-4),装备属性!$A:$C,3,0),VLOOKUP(INDEX(英雄装备!$F:$BZ,MATCH($H27,英雄装备!$F:$F,0),MATCH(L$2,英雄装备!$1:$1,0)-3),装备属性!$A:$C,3,0),VLOOKUP(INDEX(英雄装备!$F:$BZ,MATCH($H27,英雄装备!$F:$F,0),MATCH(L$2,英雄装备!$1:$1,0)-2),装备属性!$A:$C,3,0),VLOOKUP(INDEX(英雄装备!$F:$BZ,MATCH($H27,英雄装备!$F:$F,0),MATCH(L$2,英雄装备!$1:$1,0)-1),装备属性!$A:$C,3,0),VLOOKUP(INDEX(英雄装备!$F:$BZ,MATCH($H27,英雄装备!$F:$F,0),MATCH(L$2,英雄装备!$1:$1,0)),装备属性!$A:$C,3,0))</f>
        <v>35</v>
      </c>
      <c r="M27" s="51">
        <f>MAX(VLOOKUP(INDEX(英雄装备!$F:$BZ,MATCH($H27,英雄装备!$F:$F,0),MATCH(M$2,英雄装备!$1:$1,0)-5),装备属性!$A:$C,3,0),VLOOKUP(INDEX(英雄装备!$F:$BZ,MATCH($H27,英雄装备!$F:$F,0),MATCH(M$2,英雄装备!$1:$1,0)-4),装备属性!$A:$C,3,0),VLOOKUP(INDEX(英雄装备!$F:$BZ,MATCH($H27,英雄装备!$F:$F,0),MATCH(M$2,英雄装备!$1:$1,0)-3),装备属性!$A:$C,3,0),VLOOKUP(INDEX(英雄装备!$F:$BZ,MATCH($H27,英雄装备!$F:$F,0),MATCH(M$2,英雄装备!$1:$1,0)-2),装备属性!$A:$C,3,0),VLOOKUP(INDEX(英雄装备!$F:$BZ,MATCH($H27,英雄装备!$F:$F,0),MATCH(M$2,英雄装备!$1:$1,0)-1),装备属性!$A:$C,3,0),VLOOKUP(INDEX(英雄装备!$F:$BZ,MATCH($H27,英雄装备!$F:$F,0),MATCH(M$2,英雄装备!$1:$1,0)),装备属性!$A:$C,3,0))</f>
        <v>44</v>
      </c>
      <c r="N27" s="51">
        <f>MAX(VLOOKUP(INDEX(英雄装备!$F:$BZ,MATCH($H27,英雄装备!$F:$F,0),MATCH(N$2,英雄装备!$1:$1,0)-5),装备属性!$A:$C,3,0),VLOOKUP(INDEX(英雄装备!$F:$BZ,MATCH($H27,英雄装备!$F:$F,0),MATCH(N$2,英雄装备!$1:$1,0)-4),装备属性!$A:$C,3,0),VLOOKUP(INDEX(英雄装备!$F:$BZ,MATCH($H27,英雄装备!$F:$F,0),MATCH(N$2,英雄装备!$1:$1,0)-3),装备属性!$A:$C,3,0),VLOOKUP(INDEX(英雄装备!$F:$BZ,MATCH($H27,英雄装备!$F:$F,0),MATCH(N$2,英雄装备!$1:$1,0)-2),装备属性!$A:$C,3,0),VLOOKUP(INDEX(英雄装备!$F:$BZ,MATCH($H27,英雄装备!$F:$F,0),MATCH(N$2,英雄装备!$1:$1,0)-1),装备属性!$A:$C,3,0),VLOOKUP(INDEX(英雄装备!$F:$BZ,MATCH($H27,英雄装备!$F:$F,0),MATCH(N$2,英雄装备!$1:$1,0)),装备属性!$A:$C,3,0))</f>
        <v>53</v>
      </c>
      <c r="O27" s="51">
        <f>MAX(VLOOKUP(INDEX(英雄装备!$F:$BZ,MATCH($H27,英雄装备!$F:$F,0),MATCH(O$2,英雄装备!$1:$1,0)-5),装备属性!$A:$C,3,0),VLOOKUP(INDEX(英雄装备!$F:$BZ,MATCH($H27,英雄装备!$F:$F,0),MATCH(O$2,英雄装备!$1:$1,0)-4),装备属性!$A:$C,3,0),VLOOKUP(INDEX(英雄装备!$F:$BZ,MATCH($H27,英雄装备!$F:$F,0),MATCH(O$2,英雄装备!$1:$1,0)-3),装备属性!$A:$C,3,0),VLOOKUP(INDEX(英雄装备!$F:$BZ,MATCH($H27,英雄装备!$F:$F,0),MATCH(O$2,英雄装备!$1:$1,0)-2),装备属性!$A:$C,3,0),VLOOKUP(INDEX(英雄装备!$F:$BZ,MATCH($H27,英雄装备!$F:$F,0),MATCH(O$2,英雄装备!$1:$1,0)-1),装备属性!$A:$C,3,0),VLOOKUP(INDEX(英雄装备!$F:$BZ,MATCH($H27,英雄装备!$F:$F,0),MATCH(O$2,英雄装备!$1:$1,0)),装备属性!$A:$C,3,0))</f>
        <v>64</v>
      </c>
      <c r="P27" s="51">
        <f>MAX(VLOOKUP(INDEX(英雄装备!$F:$BZ,MATCH($H27,英雄装备!$F:$F,0),MATCH(P$2,英雄装备!$1:$1,0)-5),装备属性!$A:$C,3,0),VLOOKUP(INDEX(英雄装备!$F:$BZ,MATCH($H27,英雄装备!$F:$F,0),MATCH(P$2,英雄装备!$1:$1,0)-4),装备属性!$A:$C,3,0),VLOOKUP(INDEX(英雄装备!$F:$BZ,MATCH($H27,英雄装备!$F:$F,0),MATCH(P$2,英雄装备!$1:$1,0)-3),装备属性!$A:$C,3,0),VLOOKUP(INDEX(英雄装备!$F:$BZ,MATCH($H27,英雄装备!$F:$F,0),MATCH(P$2,英雄装备!$1:$1,0)-2),装备属性!$A:$C,3,0),VLOOKUP(INDEX(英雄装备!$F:$BZ,MATCH($H27,英雄装备!$F:$F,0),MATCH(P$2,英雄装备!$1:$1,0)-1),装备属性!$A:$C,3,0),VLOOKUP(INDEX(英雄装备!$F:$BZ,MATCH($H27,英雄装备!$F:$F,0),MATCH(P$2,英雄装备!$1:$1,0)),装备属性!$A:$C,3,0))</f>
        <v>73</v>
      </c>
      <c r="Q27" s="51">
        <f>MAX(VLOOKUP(INDEX(英雄装备!$F:$BZ,MATCH($H27,英雄装备!$F:$F,0),MATCH(Q$2,英雄装备!$1:$1,0)-5),装备属性!$A:$C,3,0),VLOOKUP(INDEX(英雄装备!$F:$BZ,MATCH($H27,英雄装备!$F:$F,0),MATCH(Q$2,英雄装备!$1:$1,0)-4),装备属性!$A:$C,3,0),VLOOKUP(INDEX(英雄装备!$F:$BZ,MATCH($H27,英雄装备!$F:$F,0),MATCH(Q$2,英雄装备!$1:$1,0)-3),装备属性!$A:$C,3,0),VLOOKUP(INDEX(英雄装备!$F:$BZ,MATCH($H27,英雄装备!$F:$F,0),MATCH(Q$2,英雄装备!$1:$1,0)-2),装备属性!$A:$C,3,0),VLOOKUP(INDEX(英雄装备!$F:$BZ,MATCH($H27,英雄装备!$F:$F,0),MATCH(Q$2,英雄装备!$1:$1,0)-1),装备属性!$A:$C,3,0),VLOOKUP(INDEX(英雄装备!$F:$BZ,MATCH($H27,英雄装备!$F:$F,0),MATCH(Q$2,英雄装备!$1:$1,0)),装备属性!$A:$C,3,0))</f>
        <v>79</v>
      </c>
      <c r="R27" s="51">
        <f>MAX(VLOOKUP(INDEX(英雄装备!$F:$BZ,MATCH($H27,英雄装备!$F:$F,0),MATCH(R$2,英雄装备!$1:$1,0)-5),装备属性!$A:$C,3,0),VLOOKUP(INDEX(英雄装备!$F:$BZ,MATCH($H27,英雄装备!$F:$F,0),MATCH(R$2,英雄装备!$1:$1,0)-4),装备属性!$A:$C,3,0),VLOOKUP(INDEX(英雄装备!$F:$BZ,MATCH($H27,英雄装备!$F:$F,0),MATCH(R$2,英雄装备!$1:$1,0)-3),装备属性!$A:$C,3,0),VLOOKUP(INDEX(英雄装备!$F:$BZ,MATCH($H27,英雄装备!$F:$F,0),MATCH(R$2,英雄装备!$1:$1,0)-2),装备属性!$A:$C,3,0),VLOOKUP(INDEX(英雄装备!$F:$BZ,MATCH($H27,英雄装备!$F:$F,0),MATCH(R$2,英雄装备!$1:$1,0)-1),装备属性!$A:$C,3,0),VLOOKUP(INDEX(英雄装备!$F:$BZ,MATCH($H27,英雄装备!$F:$F,0),MATCH(R$2,英雄装备!$1:$1,0)),装备属性!$A:$C,3,0))</f>
        <v>80</v>
      </c>
      <c r="S27" s="51">
        <f>MAX(VLOOKUP(INDEX(英雄装备!$F:$BZ,MATCH($H27,英雄装备!$F:$F,0),MATCH(S$2,英雄装备!$1:$1,0)-5),装备属性!$A:$C,3,0),VLOOKUP(INDEX(英雄装备!$F:$BZ,MATCH($H27,英雄装备!$F:$F,0),MATCH(S$2,英雄装备!$1:$1,0)-4),装备属性!$A:$C,3,0),VLOOKUP(INDEX(英雄装备!$F:$BZ,MATCH($H27,英雄装备!$F:$F,0),MATCH(S$2,英雄装备!$1:$1,0)-3),装备属性!$A:$C,3,0),VLOOKUP(INDEX(英雄装备!$F:$BZ,MATCH($H27,英雄装备!$F:$F,0),MATCH(S$2,英雄装备!$1:$1,0)-2),装备属性!$A:$C,3,0),VLOOKUP(INDEX(英雄装备!$F:$BZ,MATCH($H27,英雄装备!$F:$F,0),MATCH(S$2,英雄装备!$1:$1,0)-1),装备属性!$A:$C,3,0),VLOOKUP(INDEX(英雄装备!$F:$BZ,MATCH($H27,英雄装备!$F:$F,0),MATCH(S$2,英雄装备!$1:$1,0)),装备属性!$A:$C,3,0))</f>
        <v>84</v>
      </c>
      <c r="T27" s="51">
        <f>MAX(VLOOKUP(INDEX(英雄装备!$F:$BZ,MATCH($H27,英雄装备!$F:$F,0),MATCH(T$2,英雄装备!$1:$1,0)-5),装备属性!$A:$C,3,0),VLOOKUP(INDEX(英雄装备!$F:$BZ,MATCH($H27,英雄装备!$F:$F,0),MATCH(T$2,英雄装备!$1:$1,0)-4),装备属性!$A:$C,3,0),VLOOKUP(INDEX(英雄装备!$F:$BZ,MATCH($H27,英雄装备!$F:$F,0),MATCH(T$2,英雄装备!$1:$1,0)-3),装备属性!$A:$C,3,0),VLOOKUP(INDEX(英雄装备!$F:$BZ,MATCH($H27,英雄装备!$F:$F,0),MATCH(T$2,英雄装备!$1:$1,0)-2),装备属性!$A:$C,3,0),VLOOKUP(INDEX(英雄装备!$F:$BZ,MATCH($H27,英雄装备!$F:$F,0),MATCH(T$2,英雄装备!$1:$1,0)-1),装备属性!$A:$C,3,0))</f>
        <v>89</v>
      </c>
      <c r="X27" s="151" t="b">
        <f t="shared" ref="X27:AC38" si="4">AND($W14,X14)</f>
        <v>1</v>
      </c>
      <c r="Y27" s="151" t="b">
        <f t="shared" si="4"/>
        <v>1</v>
      </c>
      <c r="Z27" s="151" t="b">
        <f t="shared" si="4"/>
        <v>1</v>
      </c>
      <c r="AA27" s="151" t="b">
        <f t="shared" si="4"/>
        <v>1</v>
      </c>
      <c r="AB27" s="151" t="b">
        <f t="shared" si="4"/>
        <v>1</v>
      </c>
      <c r="AC27" s="151" t="b">
        <f t="shared" si="4"/>
        <v>1</v>
      </c>
      <c r="AF27" s="151">
        <v>1</v>
      </c>
      <c r="AG27" s="151" t="str">
        <f>AB1</f>
        <v>防御指环</v>
      </c>
      <c r="AH27" s="151">
        <f>VLOOKUP($AG27,装备属性!$A:$Y,5,0)</f>
        <v>0</v>
      </c>
      <c r="AI27" s="151">
        <f>VLOOKUP($AG27,装备属性!$A:$Y,6,0)</f>
        <v>0</v>
      </c>
      <c r="AJ27" s="151">
        <f>VLOOKUP($AG27,装备属性!$A:$Y,7,0)</f>
        <v>0</v>
      </c>
      <c r="AK27" s="151">
        <f>VLOOKUP($AG27,装备属性!$A:$Y,8,0)</f>
        <v>0</v>
      </c>
      <c r="AL27" s="151">
        <f>VLOOKUP($AG27,装备属性!$A:$Y,9,0)</f>
        <v>0</v>
      </c>
      <c r="AM27" s="151">
        <f>VLOOKUP($AG27,装备属性!$A:$Y,10,0)</f>
        <v>0</v>
      </c>
      <c r="AN27" s="151">
        <f>VLOOKUP($AG27,装备属性!$A:$Y,11,0)</f>
        <v>2</v>
      </c>
      <c r="AO27" s="151">
        <f>VLOOKUP($AG27,装备属性!$A:$Y,12,0)</f>
        <v>0</v>
      </c>
      <c r="AP27" s="151">
        <f>VLOOKUP($AG27,装备属性!$A:$Y,13,0)</f>
        <v>0</v>
      </c>
      <c r="AQ27" s="151">
        <f>VLOOKUP($AG27,装备属性!$A:$Y,14,0)</f>
        <v>0</v>
      </c>
      <c r="AR27" s="151">
        <f>VLOOKUP($AG27,装备属性!$A:$Y,15,0)</f>
        <v>0</v>
      </c>
      <c r="AS27" s="151">
        <f>VLOOKUP($AG27,装备属性!$A:$Y,16,0)</f>
        <v>0</v>
      </c>
      <c r="AT27" s="151">
        <f>VLOOKUP($AG27,装备属性!$A:$Y,17,0)</f>
        <v>0</v>
      </c>
      <c r="AU27" s="151">
        <f>VLOOKUP($AG27,装备属性!$A:$Y,18,0)</f>
        <v>0</v>
      </c>
      <c r="AV27" s="151">
        <f>VLOOKUP($AG27,装备属性!$A:$Y,19,0)</f>
        <v>0</v>
      </c>
      <c r="AW27" s="151">
        <f>VLOOKUP($AG27,装备属性!$A:$Y,20,0)</f>
        <v>0</v>
      </c>
      <c r="AX27" s="151">
        <f>VLOOKUP($AG27,装备属性!$A:$Y,21,0)</f>
        <v>0</v>
      </c>
      <c r="AY27" s="151">
        <f>VLOOKUP($AG27,装备属性!$A:$Y,22,0)</f>
        <v>0</v>
      </c>
      <c r="AZ27" s="151">
        <f>VLOOKUP($AG27,装备属性!$A:$Y,23,0)</f>
        <v>0</v>
      </c>
      <c r="BA27" s="151">
        <f>VLOOKUP($AG27,装备属性!$A:$Y,24,0)</f>
        <v>0</v>
      </c>
      <c r="BB27" s="151">
        <f>VLOOKUP($AG27,装备属性!$A:$Y,25,0)</f>
        <v>0</v>
      </c>
    </row>
    <row r="28" spans="2:54">
      <c r="B28" s="151" t="str">
        <f>英雄初始!A29</f>
        <v>暗牧</v>
      </c>
      <c r="E28" s="233"/>
      <c r="H28" s="54" t="s">
        <v>181</v>
      </c>
      <c r="I28" s="51">
        <f>MAX(VLOOKUP(INDEX(英雄装备!$F:$BZ,MATCH($H28,英雄装备!$F:$F,0),MATCH(I$2,英雄装备!$1:$1,0)-5),装备属性!$A:$C,3,0),VLOOKUP(INDEX(英雄装备!$F:$BZ,MATCH($H28,英雄装备!$F:$F,0),MATCH(I$2,英雄装备!$1:$1,0)-4),装备属性!$A:$C,3,0),VLOOKUP(INDEX(英雄装备!$F:$BZ,MATCH($H28,英雄装备!$F:$F,0),MATCH(I$2,英雄装备!$1:$1,0)-3),装备属性!$A:$C,3,0),VLOOKUP(INDEX(英雄装备!$F:$BZ,MATCH($H28,英雄装备!$F:$F,0),MATCH(I$2,英雄装备!$1:$1,0)-2),装备属性!$A:$C,3,0),VLOOKUP(INDEX(英雄装备!$F:$BZ,MATCH($H28,英雄装备!$F:$F,0),MATCH(I$2,英雄装备!$1:$1,0)-1),装备属性!$A:$C,3,0),VLOOKUP(INDEX(英雄装备!$F:$BZ,MATCH($H28,英雄装备!$F:$F,0),MATCH(I$2,英雄装备!$1:$1,0)),装备属性!$A:$C,3,0))</f>
        <v>2</v>
      </c>
      <c r="J28" s="51">
        <f>MAX(VLOOKUP(INDEX(英雄装备!$F:$BZ,MATCH($H28,英雄装备!$F:$F,0),MATCH(J$2,英雄装备!$1:$1,0)-5),装备属性!$A:$C,3,0),VLOOKUP(INDEX(英雄装备!$F:$BZ,MATCH($H28,英雄装备!$F:$F,0),MATCH(J$2,英雄装备!$1:$1,0)-4),装备属性!$A:$C,3,0),VLOOKUP(INDEX(英雄装备!$F:$BZ,MATCH($H28,英雄装备!$F:$F,0),MATCH(J$2,英雄装备!$1:$1,0)-3),装备属性!$A:$C,3,0),VLOOKUP(INDEX(英雄装备!$F:$BZ,MATCH($H28,英雄装备!$F:$F,0),MATCH(J$2,英雄装备!$1:$1,0)-2),装备属性!$A:$C,3,0),VLOOKUP(INDEX(英雄装备!$F:$BZ,MATCH($H28,英雄装备!$F:$F,0),MATCH(J$2,英雄装备!$1:$1,0)-1),装备属性!$A:$C,3,0),VLOOKUP(INDEX(英雄装备!$F:$BZ,MATCH($H28,英雄装备!$F:$F,0),MATCH(J$2,英雄装备!$1:$1,0)),装备属性!$A:$C,3,0))</f>
        <v>10</v>
      </c>
      <c r="K28" s="51">
        <f>MAX(VLOOKUP(INDEX(英雄装备!$F:$BZ,MATCH($H28,英雄装备!$F:$F,0),MATCH(K$2,英雄装备!$1:$1,0)-5),装备属性!$A:$C,3,0),VLOOKUP(INDEX(英雄装备!$F:$BZ,MATCH($H28,英雄装备!$F:$F,0),MATCH(K$2,英雄装备!$1:$1,0)-4),装备属性!$A:$C,3,0),VLOOKUP(INDEX(英雄装备!$F:$BZ,MATCH($H28,英雄装备!$F:$F,0),MATCH(K$2,英雄装备!$1:$1,0)-3),装备属性!$A:$C,3,0),VLOOKUP(INDEX(英雄装备!$F:$BZ,MATCH($H28,英雄装备!$F:$F,0),MATCH(K$2,英雄装备!$1:$1,0)-2),装备属性!$A:$C,3,0),VLOOKUP(INDEX(英雄装备!$F:$BZ,MATCH($H28,英雄装备!$F:$F,0),MATCH(K$2,英雄装备!$1:$1,0)-1),装备属性!$A:$C,3,0),VLOOKUP(INDEX(英雄装备!$F:$BZ,MATCH($H28,英雄装备!$F:$F,0),MATCH(K$2,英雄装备!$1:$1,0)),装备属性!$A:$C,3,0))</f>
        <v>24</v>
      </c>
      <c r="L28" s="51">
        <f>MAX(VLOOKUP(INDEX(英雄装备!$F:$BZ,MATCH($H28,英雄装备!$F:$F,0),MATCH(L$2,英雄装备!$1:$1,0)-5),装备属性!$A:$C,3,0),VLOOKUP(INDEX(英雄装备!$F:$BZ,MATCH($H28,英雄装备!$F:$F,0),MATCH(L$2,英雄装备!$1:$1,0)-4),装备属性!$A:$C,3,0),VLOOKUP(INDEX(英雄装备!$F:$BZ,MATCH($H28,英雄装备!$F:$F,0),MATCH(L$2,英雄装备!$1:$1,0)-3),装备属性!$A:$C,3,0),VLOOKUP(INDEX(英雄装备!$F:$BZ,MATCH($H28,英雄装备!$F:$F,0),MATCH(L$2,英雄装备!$1:$1,0)-2),装备属性!$A:$C,3,0),VLOOKUP(INDEX(英雄装备!$F:$BZ,MATCH($H28,英雄装备!$F:$F,0),MATCH(L$2,英雄装备!$1:$1,0)-1),装备属性!$A:$C,3,0),VLOOKUP(INDEX(英雄装备!$F:$BZ,MATCH($H28,英雄装备!$F:$F,0),MATCH(L$2,英雄装备!$1:$1,0)),装备属性!$A:$C,3,0))</f>
        <v>34</v>
      </c>
      <c r="M28" s="51">
        <f>MAX(VLOOKUP(INDEX(英雄装备!$F:$BZ,MATCH($H28,英雄装备!$F:$F,0),MATCH(M$2,英雄装备!$1:$1,0)-5),装备属性!$A:$C,3,0),VLOOKUP(INDEX(英雄装备!$F:$BZ,MATCH($H28,英雄装备!$F:$F,0),MATCH(M$2,英雄装备!$1:$1,0)-4),装备属性!$A:$C,3,0),VLOOKUP(INDEX(英雄装备!$F:$BZ,MATCH($H28,英雄装备!$F:$F,0),MATCH(M$2,英雄装备!$1:$1,0)-3),装备属性!$A:$C,3,0),VLOOKUP(INDEX(英雄装备!$F:$BZ,MATCH($H28,英雄装备!$F:$F,0),MATCH(M$2,英雄装备!$1:$1,0)-2),装备属性!$A:$C,3,0),VLOOKUP(INDEX(英雄装备!$F:$BZ,MATCH($H28,英雄装备!$F:$F,0),MATCH(M$2,英雄装备!$1:$1,0)-1),装备属性!$A:$C,3,0),VLOOKUP(INDEX(英雄装备!$F:$BZ,MATCH($H28,英雄装备!$F:$F,0),MATCH(M$2,英雄装备!$1:$1,0)),装备属性!$A:$C,3,0))</f>
        <v>44</v>
      </c>
      <c r="N28" s="51">
        <f>MAX(VLOOKUP(INDEX(英雄装备!$F:$BZ,MATCH($H28,英雄装备!$F:$F,0),MATCH(N$2,英雄装备!$1:$1,0)-5),装备属性!$A:$C,3,0),VLOOKUP(INDEX(英雄装备!$F:$BZ,MATCH($H28,英雄装备!$F:$F,0),MATCH(N$2,英雄装备!$1:$1,0)-4),装备属性!$A:$C,3,0),VLOOKUP(INDEX(英雄装备!$F:$BZ,MATCH($H28,英雄装备!$F:$F,0),MATCH(N$2,英雄装备!$1:$1,0)-3),装备属性!$A:$C,3,0),VLOOKUP(INDEX(英雄装备!$F:$BZ,MATCH($H28,英雄装备!$F:$F,0),MATCH(N$2,英雄装备!$1:$1,0)-2),装备属性!$A:$C,3,0),VLOOKUP(INDEX(英雄装备!$F:$BZ,MATCH($H28,英雄装备!$F:$F,0),MATCH(N$2,英雄装备!$1:$1,0)-1),装备属性!$A:$C,3,0),VLOOKUP(INDEX(英雄装备!$F:$BZ,MATCH($H28,英雄装备!$F:$F,0),MATCH(N$2,英雄装备!$1:$1,0)),装备属性!$A:$C,3,0))</f>
        <v>53</v>
      </c>
      <c r="O28" s="51">
        <f>MAX(VLOOKUP(INDEX(英雄装备!$F:$BZ,MATCH($H28,英雄装备!$F:$F,0),MATCH(O$2,英雄装备!$1:$1,0)-5),装备属性!$A:$C,3,0),VLOOKUP(INDEX(英雄装备!$F:$BZ,MATCH($H28,英雄装备!$F:$F,0),MATCH(O$2,英雄装备!$1:$1,0)-4),装备属性!$A:$C,3,0),VLOOKUP(INDEX(英雄装备!$F:$BZ,MATCH($H28,英雄装备!$F:$F,0),MATCH(O$2,英雄装备!$1:$1,0)-3),装备属性!$A:$C,3,0),VLOOKUP(INDEX(英雄装备!$F:$BZ,MATCH($H28,英雄装备!$F:$F,0),MATCH(O$2,英雄装备!$1:$1,0)-2),装备属性!$A:$C,3,0),VLOOKUP(INDEX(英雄装备!$F:$BZ,MATCH($H28,英雄装备!$F:$F,0),MATCH(O$2,英雄装备!$1:$1,0)-1),装备属性!$A:$C,3,0),VLOOKUP(INDEX(英雄装备!$F:$BZ,MATCH($H28,英雄装备!$F:$F,0),MATCH(O$2,英雄装备!$1:$1,0)),装备属性!$A:$C,3,0))</f>
        <v>62</v>
      </c>
      <c r="P28" s="51">
        <f>MAX(VLOOKUP(INDEX(英雄装备!$F:$BZ,MATCH($H28,英雄装备!$F:$F,0),MATCH(P$2,英雄装备!$1:$1,0)-5),装备属性!$A:$C,3,0),VLOOKUP(INDEX(英雄装备!$F:$BZ,MATCH($H28,英雄装备!$F:$F,0),MATCH(P$2,英雄装备!$1:$1,0)-4),装备属性!$A:$C,3,0),VLOOKUP(INDEX(英雄装备!$F:$BZ,MATCH($H28,英雄装备!$F:$F,0),MATCH(P$2,英雄装备!$1:$1,0)-3),装备属性!$A:$C,3,0),VLOOKUP(INDEX(英雄装备!$F:$BZ,MATCH($H28,英雄装备!$F:$F,0),MATCH(P$2,英雄装备!$1:$1,0)-2),装备属性!$A:$C,3,0),VLOOKUP(INDEX(英雄装备!$F:$BZ,MATCH($H28,英雄装备!$F:$F,0),MATCH(P$2,英雄装备!$1:$1,0)-1),装备属性!$A:$C,3,0),VLOOKUP(INDEX(英雄装备!$F:$BZ,MATCH($H28,英雄装备!$F:$F,0),MATCH(P$2,英雄装备!$1:$1,0)),装备属性!$A:$C,3,0))</f>
        <v>73</v>
      </c>
      <c r="Q28" s="51">
        <f>MAX(VLOOKUP(INDEX(英雄装备!$F:$BZ,MATCH($H28,英雄装备!$F:$F,0),MATCH(Q$2,英雄装备!$1:$1,0)-5),装备属性!$A:$C,3,0),VLOOKUP(INDEX(英雄装备!$F:$BZ,MATCH($H28,英雄装备!$F:$F,0),MATCH(Q$2,英雄装备!$1:$1,0)-4),装备属性!$A:$C,3,0),VLOOKUP(INDEX(英雄装备!$F:$BZ,MATCH($H28,英雄装备!$F:$F,0),MATCH(Q$2,英雄装备!$1:$1,0)-3),装备属性!$A:$C,3,0),VLOOKUP(INDEX(英雄装备!$F:$BZ,MATCH($H28,英雄装备!$F:$F,0),MATCH(Q$2,英雄装备!$1:$1,0)-2),装备属性!$A:$C,3,0),VLOOKUP(INDEX(英雄装备!$F:$BZ,MATCH($H28,英雄装备!$F:$F,0),MATCH(Q$2,英雄装备!$1:$1,0)-1),装备属性!$A:$C,3,0),VLOOKUP(INDEX(英雄装备!$F:$BZ,MATCH($H28,英雄装备!$F:$F,0),MATCH(Q$2,英雄装备!$1:$1,0)),装备属性!$A:$C,3,0))</f>
        <v>80</v>
      </c>
      <c r="R28" s="51">
        <f>MAX(VLOOKUP(INDEX(英雄装备!$F:$BZ,MATCH($H28,英雄装备!$F:$F,0),MATCH(R$2,英雄装备!$1:$1,0)-5),装备属性!$A:$C,3,0),VLOOKUP(INDEX(英雄装备!$F:$BZ,MATCH($H28,英雄装备!$F:$F,0),MATCH(R$2,英雄装备!$1:$1,0)-4),装备属性!$A:$C,3,0),VLOOKUP(INDEX(英雄装备!$F:$BZ,MATCH($H28,英雄装备!$F:$F,0),MATCH(R$2,英雄装备!$1:$1,0)-3),装备属性!$A:$C,3,0),VLOOKUP(INDEX(英雄装备!$F:$BZ,MATCH($H28,英雄装备!$F:$F,0),MATCH(R$2,英雄装备!$1:$1,0)-2),装备属性!$A:$C,3,0),VLOOKUP(INDEX(英雄装备!$F:$BZ,MATCH($H28,英雄装备!$F:$F,0),MATCH(R$2,英雄装备!$1:$1,0)-1),装备属性!$A:$C,3,0),VLOOKUP(INDEX(英雄装备!$F:$BZ,MATCH($H28,英雄装备!$F:$F,0),MATCH(R$2,英雄装备!$1:$1,0)),装备属性!$A:$C,3,0))</f>
        <v>79</v>
      </c>
      <c r="S28" s="51">
        <f>MAX(VLOOKUP(INDEX(英雄装备!$F:$BZ,MATCH($H28,英雄装备!$F:$F,0),MATCH(S$2,英雄装备!$1:$1,0)-5),装备属性!$A:$C,3,0),VLOOKUP(INDEX(英雄装备!$F:$BZ,MATCH($H28,英雄装备!$F:$F,0),MATCH(S$2,英雄装备!$1:$1,0)-4),装备属性!$A:$C,3,0),VLOOKUP(INDEX(英雄装备!$F:$BZ,MATCH($H28,英雄装备!$F:$F,0),MATCH(S$2,英雄装备!$1:$1,0)-3),装备属性!$A:$C,3,0),VLOOKUP(INDEX(英雄装备!$F:$BZ,MATCH($H28,英雄装备!$F:$F,0),MATCH(S$2,英雄装备!$1:$1,0)-2),装备属性!$A:$C,3,0),VLOOKUP(INDEX(英雄装备!$F:$BZ,MATCH($H28,英雄装备!$F:$F,0),MATCH(S$2,英雄装备!$1:$1,0)-1),装备属性!$A:$C,3,0),VLOOKUP(INDEX(英雄装备!$F:$BZ,MATCH($H28,英雄装备!$F:$F,0),MATCH(S$2,英雄装备!$1:$1,0)),装备属性!$A:$C,3,0))</f>
        <v>84</v>
      </c>
      <c r="T28" s="51">
        <f>MAX(VLOOKUP(INDEX(英雄装备!$F:$BZ,MATCH($H28,英雄装备!$F:$F,0),MATCH(T$2,英雄装备!$1:$1,0)-5),装备属性!$A:$C,3,0),VLOOKUP(INDEX(英雄装备!$F:$BZ,MATCH($H28,英雄装备!$F:$F,0),MATCH(T$2,英雄装备!$1:$1,0)-4),装备属性!$A:$C,3,0),VLOOKUP(INDEX(英雄装备!$F:$BZ,MATCH($H28,英雄装备!$F:$F,0),MATCH(T$2,英雄装备!$1:$1,0)-3),装备属性!$A:$C,3,0),VLOOKUP(INDEX(英雄装备!$F:$BZ,MATCH($H28,英雄装备!$F:$F,0),MATCH(T$2,英雄装备!$1:$1,0)-2),装备属性!$A:$C,3,0),VLOOKUP(INDEX(英雄装备!$F:$BZ,MATCH($H28,英雄装备!$F:$F,0),MATCH(T$2,英雄装备!$1:$1,0)-1),装备属性!$A:$C,3,0))</f>
        <v>89</v>
      </c>
      <c r="X28" s="151" t="b">
        <f t="shared" si="4"/>
        <v>1</v>
      </c>
      <c r="Y28" s="151" t="b">
        <f t="shared" si="4"/>
        <v>1</v>
      </c>
      <c r="Z28" s="151" t="b">
        <f t="shared" si="4"/>
        <v>1</v>
      </c>
      <c r="AA28" s="151" t="b">
        <f t="shared" si="4"/>
        <v>1</v>
      </c>
      <c r="AB28" s="151" t="b">
        <f t="shared" si="4"/>
        <v>1</v>
      </c>
      <c r="AC28" s="151" t="b">
        <f t="shared" si="4"/>
        <v>1</v>
      </c>
      <c r="AF28" s="151">
        <v>1</v>
      </c>
      <c r="AG28" s="151" t="str">
        <f>AC1</f>
        <v>小圆盾</v>
      </c>
      <c r="AH28" s="151">
        <f>VLOOKUP($AG28,装备属性!$A:$Y,5,0)</f>
        <v>0</v>
      </c>
      <c r="AI28" s="151">
        <f>VLOOKUP($AG28,装备属性!$A:$Y,6,0)</f>
        <v>0</v>
      </c>
      <c r="AJ28" s="151">
        <f>VLOOKUP($AG28,装备属性!$A:$Y,7,0)</f>
        <v>0</v>
      </c>
      <c r="AK28" s="151">
        <f>VLOOKUP($AG28,装备属性!$A:$Y,8,0)</f>
        <v>0</v>
      </c>
      <c r="AL28" s="151">
        <f>VLOOKUP($AG28,装备属性!$A:$Y,9,0)</f>
        <v>0</v>
      </c>
      <c r="AM28" s="151">
        <f>VLOOKUP($AG28,装备属性!$A:$Y,10,0)</f>
        <v>0</v>
      </c>
      <c r="AN28" s="151">
        <f>VLOOKUP($AG28,装备属性!$A:$Y,11,0)</f>
        <v>2</v>
      </c>
      <c r="AO28" s="151">
        <f>VLOOKUP($AG28,装备属性!$A:$Y,12,0)</f>
        <v>0</v>
      </c>
      <c r="AP28" s="151">
        <f>VLOOKUP($AG28,装备属性!$A:$Y,13,0)</f>
        <v>0</v>
      </c>
      <c r="AQ28" s="151">
        <f>VLOOKUP($AG28,装备属性!$A:$Y,14,0)</f>
        <v>0</v>
      </c>
      <c r="AR28" s="151">
        <f>VLOOKUP($AG28,装备属性!$A:$Y,15,0)</f>
        <v>0</v>
      </c>
      <c r="AS28" s="151">
        <f>VLOOKUP($AG28,装备属性!$A:$Y,16,0)</f>
        <v>0</v>
      </c>
      <c r="AT28" s="151">
        <f>VLOOKUP($AG28,装备属性!$A:$Y,17,0)</f>
        <v>0</v>
      </c>
      <c r="AU28" s="151">
        <f>VLOOKUP($AG28,装备属性!$A:$Y,18,0)</f>
        <v>0</v>
      </c>
      <c r="AV28" s="151">
        <f>VLOOKUP($AG28,装备属性!$A:$Y,19,0)</f>
        <v>0</v>
      </c>
      <c r="AW28" s="151">
        <f>VLOOKUP($AG28,装备属性!$A:$Y,20,0)</f>
        <v>0</v>
      </c>
      <c r="AX28" s="151">
        <f>VLOOKUP($AG28,装备属性!$A:$Y,21,0)</f>
        <v>0</v>
      </c>
      <c r="AY28" s="151">
        <f>VLOOKUP($AG28,装备属性!$A:$Y,22,0)</f>
        <v>0</v>
      </c>
      <c r="AZ28" s="151">
        <f>VLOOKUP($AG28,装备属性!$A:$Y,23,0)</f>
        <v>0</v>
      </c>
      <c r="BA28" s="151">
        <f>VLOOKUP($AG28,装备属性!$A:$Y,24,0)</f>
        <v>0</v>
      </c>
      <c r="BB28" s="151">
        <f>VLOOKUP($AG28,装备属性!$A:$Y,25,0)</f>
        <v>0</v>
      </c>
    </row>
    <row r="29" spans="2:54">
      <c r="B29" s="151" t="str">
        <f>英雄初始!A30</f>
        <v>冰女</v>
      </c>
      <c r="E29" s="233"/>
      <c r="H29" s="54" t="s">
        <v>182</v>
      </c>
      <c r="I29" s="51">
        <f>MAX(VLOOKUP(INDEX(英雄装备!$F:$BZ,MATCH($H29,英雄装备!$F:$F,0),MATCH(I$2,英雄装备!$1:$1,0)-5),装备属性!$A:$C,3,0),VLOOKUP(INDEX(英雄装备!$F:$BZ,MATCH($H29,英雄装备!$F:$F,0),MATCH(I$2,英雄装备!$1:$1,0)-4),装备属性!$A:$C,3,0),VLOOKUP(INDEX(英雄装备!$F:$BZ,MATCH($H29,英雄装备!$F:$F,0),MATCH(I$2,英雄装备!$1:$1,0)-3),装备属性!$A:$C,3,0),VLOOKUP(INDEX(英雄装备!$F:$BZ,MATCH($H29,英雄装备!$F:$F,0),MATCH(I$2,英雄装备!$1:$1,0)-2),装备属性!$A:$C,3,0),VLOOKUP(INDEX(英雄装备!$F:$BZ,MATCH($H29,英雄装备!$F:$F,0),MATCH(I$2,英雄装备!$1:$1,0)-1),装备属性!$A:$C,3,0),VLOOKUP(INDEX(英雄装备!$F:$BZ,MATCH($H29,英雄装备!$F:$F,0),MATCH(I$2,英雄装备!$1:$1,0)),装备属性!$A:$C,3,0))</f>
        <v>2</v>
      </c>
      <c r="J29" s="51">
        <f>MAX(VLOOKUP(INDEX(英雄装备!$F:$BZ,MATCH($H29,英雄装备!$F:$F,0),MATCH(J$2,英雄装备!$1:$1,0)-5),装备属性!$A:$C,3,0),VLOOKUP(INDEX(英雄装备!$F:$BZ,MATCH($H29,英雄装备!$F:$F,0),MATCH(J$2,英雄装备!$1:$1,0)-4),装备属性!$A:$C,3,0),VLOOKUP(INDEX(英雄装备!$F:$BZ,MATCH($H29,英雄装备!$F:$F,0),MATCH(J$2,英雄装备!$1:$1,0)-3),装备属性!$A:$C,3,0),VLOOKUP(INDEX(英雄装备!$F:$BZ,MATCH($H29,英雄装备!$F:$F,0),MATCH(J$2,英雄装备!$1:$1,0)-2),装备属性!$A:$C,3,0),VLOOKUP(INDEX(英雄装备!$F:$BZ,MATCH($H29,英雄装备!$F:$F,0),MATCH(J$2,英雄装备!$1:$1,0)-1),装备属性!$A:$C,3,0),VLOOKUP(INDEX(英雄装备!$F:$BZ,MATCH($H29,英雄装备!$F:$F,0),MATCH(J$2,英雄装备!$1:$1,0)),装备属性!$A:$C,3,0))</f>
        <v>10</v>
      </c>
      <c r="K29" s="51">
        <f>MAX(VLOOKUP(INDEX(英雄装备!$F:$BZ,MATCH($H29,英雄装备!$F:$F,0),MATCH(K$2,英雄装备!$1:$1,0)-5),装备属性!$A:$C,3,0),VLOOKUP(INDEX(英雄装备!$F:$BZ,MATCH($H29,英雄装备!$F:$F,0),MATCH(K$2,英雄装备!$1:$1,0)-4),装备属性!$A:$C,3,0),VLOOKUP(INDEX(英雄装备!$F:$BZ,MATCH($H29,英雄装备!$F:$F,0),MATCH(K$2,英雄装备!$1:$1,0)-3),装备属性!$A:$C,3,0),VLOOKUP(INDEX(英雄装备!$F:$BZ,MATCH($H29,英雄装备!$F:$F,0),MATCH(K$2,英雄装备!$1:$1,0)-2),装备属性!$A:$C,3,0),VLOOKUP(INDEX(英雄装备!$F:$BZ,MATCH($H29,英雄装备!$F:$F,0),MATCH(K$2,英雄装备!$1:$1,0)-1),装备属性!$A:$C,3,0),VLOOKUP(INDEX(英雄装备!$F:$BZ,MATCH($H29,英雄装备!$F:$F,0),MATCH(K$2,英雄装备!$1:$1,0)),装备属性!$A:$C,3,0))</f>
        <v>24</v>
      </c>
      <c r="L29" s="51">
        <f>MAX(VLOOKUP(INDEX(英雄装备!$F:$BZ,MATCH($H29,英雄装备!$F:$F,0),MATCH(L$2,英雄装备!$1:$1,0)-5),装备属性!$A:$C,3,0),VLOOKUP(INDEX(英雄装备!$F:$BZ,MATCH($H29,英雄装备!$F:$F,0),MATCH(L$2,英雄装备!$1:$1,0)-4),装备属性!$A:$C,3,0),VLOOKUP(INDEX(英雄装备!$F:$BZ,MATCH($H29,英雄装备!$F:$F,0),MATCH(L$2,英雄装备!$1:$1,0)-3),装备属性!$A:$C,3,0),VLOOKUP(INDEX(英雄装备!$F:$BZ,MATCH($H29,英雄装备!$F:$F,0),MATCH(L$2,英雄装备!$1:$1,0)-2),装备属性!$A:$C,3,0),VLOOKUP(INDEX(英雄装备!$F:$BZ,MATCH($H29,英雄装备!$F:$F,0),MATCH(L$2,英雄装备!$1:$1,0)-1),装备属性!$A:$C,3,0),VLOOKUP(INDEX(英雄装备!$F:$BZ,MATCH($H29,英雄装备!$F:$F,0),MATCH(L$2,英雄装备!$1:$1,0)),装备属性!$A:$C,3,0))</f>
        <v>35</v>
      </c>
      <c r="M29" s="51">
        <f>MAX(VLOOKUP(INDEX(英雄装备!$F:$BZ,MATCH($H29,英雄装备!$F:$F,0),MATCH(M$2,英雄装备!$1:$1,0)-5),装备属性!$A:$C,3,0),VLOOKUP(INDEX(英雄装备!$F:$BZ,MATCH($H29,英雄装备!$F:$F,0),MATCH(M$2,英雄装备!$1:$1,0)-4),装备属性!$A:$C,3,0),VLOOKUP(INDEX(英雄装备!$F:$BZ,MATCH($H29,英雄装备!$F:$F,0),MATCH(M$2,英雄装备!$1:$1,0)-3),装备属性!$A:$C,3,0),VLOOKUP(INDEX(英雄装备!$F:$BZ,MATCH($H29,英雄装备!$F:$F,0),MATCH(M$2,英雄装备!$1:$1,0)-2),装备属性!$A:$C,3,0),VLOOKUP(INDEX(英雄装备!$F:$BZ,MATCH($H29,英雄装备!$F:$F,0),MATCH(M$2,英雄装备!$1:$1,0)-1),装备属性!$A:$C,3,0),VLOOKUP(INDEX(英雄装备!$F:$BZ,MATCH($H29,英雄装备!$F:$F,0),MATCH(M$2,英雄装备!$1:$1,0)),装备属性!$A:$C,3,0))</f>
        <v>42</v>
      </c>
      <c r="N29" s="51">
        <f>MAX(VLOOKUP(INDEX(英雄装备!$F:$BZ,MATCH($H29,英雄装备!$F:$F,0),MATCH(N$2,英雄装备!$1:$1,0)-5),装备属性!$A:$C,3,0),VLOOKUP(INDEX(英雄装备!$F:$BZ,MATCH($H29,英雄装备!$F:$F,0),MATCH(N$2,英雄装备!$1:$1,0)-4),装备属性!$A:$C,3,0),VLOOKUP(INDEX(英雄装备!$F:$BZ,MATCH($H29,英雄装备!$F:$F,0),MATCH(N$2,英雄装备!$1:$1,0)-3),装备属性!$A:$C,3,0),VLOOKUP(INDEX(英雄装备!$F:$BZ,MATCH($H29,英雄装备!$F:$F,0),MATCH(N$2,英雄装备!$1:$1,0)-2),装备属性!$A:$C,3,0),VLOOKUP(INDEX(英雄装备!$F:$BZ,MATCH($H29,英雄装备!$F:$F,0),MATCH(N$2,英雄装备!$1:$1,0)-1),装备属性!$A:$C,3,0),VLOOKUP(INDEX(英雄装备!$F:$BZ,MATCH($H29,英雄装备!$F:$F,0),MATCH(N$2,英雄装备!$1:$1,0)),装备属性!$A:$C,3,0))</f>
        <v>51</v>
      </c>
      <c r="O29" s="51">
        <f>MAX(VLOOKUP(INDEX(英雄装备!$F:$BZ,MATCH($H29,英雄装备!$F:$F,0),MATCH(O$2,英雄装备!$1:$1,0)-5),装备属性!$A:$C,3,0),VLOOKUP(INDEX(英雄装备!$F:$BZ,MATCH($H29,英雄装备!$F:$F,0),MATCH(O$2,英雄装备!$1:$1,0)-4),装备属性!$A:$C,3,0),VLOOKUP(INDEX(英雄装备!$F:$BZ,MATCH($H29,英雄装备!$F:$F,0),MATCH(O$2,英雄装备!$1:$1,0)-3),装备属性!$A:$C,3,0),VLOOKUP(INDEX(英雄装备!$F:$BZ,MATCH($H29,英雄装备!$F:$F,0),MATCH(O$2,英雄装备!$1:$1,0)-2),装备属性!$A:$C,3,0),VLOOKUP(INDEX(英雄装备!$F:$BZ,MATCH($H29,英雄装备!$F:$F,0),MATCH(O$2,英雄装备!$1:$1,0)-1),装备属性!$A:$C,3,0),VLOOKUP(INDEX(英雄装备!$F:$BZ,MATCH($H29,英雄装备!$F:$F,0),MATCH(O$2,英雄装备!$1:$1,0)),装备属性!$A:$C,3,0))</f>
        <v>64</v>
      </c>
      <c r="P29" s="51">
        <f>MAX(VLOOKUP(INDEX(英雄装备!$F:$BZ,MATCH($H29,英雄装备!$F:$F,0),MATCH(P$2,英雄装备!$1:$1,0)-5),装备属性!$A:$C,3,0),VLOOKUP(INDEX(英雄装备!$F:$BZ,MATCH($H29,英雄装备!$F:$F,0),MATCH(P$2,英雄装备!$1:$1,0)-4),装备属性!$A:$C,3,0),VLOOKUP(INDEX(英雄装备!$F:$BZ,MATCH($H29,英雄装备!$F:$F,0),MATCH(P$2,英雄装备!$1:$1,0)-3),装备属性!$A:$C,3,0),VLOOKUP(INDEX(英雄装备!$F:$BZ,MATCH($H29,英雄装备!$F:$F,0),MATCH(P$2,英雄装备!$1:$1,0)-2),装备属性!$A:$C,3,0),VLOOKUP(INDEX(英雄装备!$F:$BZ,MATCH($H29,英雄装备!$F:$F,0),MATCH(P$2,英雄装备!$1:$1,0)-1),装备属性!$A:$C,3,0),VLOOKUP(INDEX(英雄装备!$F:$BZ,MATCH($H29,英雄装备!$F:$F,0),MATCH(P$2,英雄装备!$1:$1,0)),装备属性!$A:$C,3,0))</f>
        <v>73</v>
      </c>
      <c r="Q29" s="51">
        <f>MAX(VLOOKUP(INDEX(英雄装备!$F:$BZ,MATCH($H29,英雄装备!$F:$F,0),MATCH(Q$2,英雄装备!$1:$1,0)-5),装备属性!$A:$C,3,0),VLOOKUP(INDEX(英雄装备!$F:$BZ,MATCH($H29,英雄装备!$F:$F,0),MATCH(Q$2,英雄装备!$1:$1,0)-4),装备属性!$A:$C,3,0),VLOOKUP(INDEX(英雄装备!$F:$BZ,MATCH($H29,英雄装备!$F:$F,0),MATCH(Q$2,英雄装备!$1:$1,0)-3),装备属性!$A:$C,3,0),VLOOKUP(INDEX(英雄装备!$F:$BZ,MATCH($H29,英雄装备!$F:$F,0),MATCH(Q$2,英雄装备!$1:$1,0)-2),装备属性!$A:$C,3,0),VLOOKUP(INDEX(英雄装备!$F:$BZ,MATCH($H29,英雄装备!$F:$F,0),MATCH(Q$2,英雄装备!$1:$1,0)-1),装备属性!$A:$C,3,0),VLOOKUP(INDEX(英雄装备!$F:$BZ,MATCH($H29,英雄装备!$F:$F,0),MATCH(Q$2,英雄装备!$1:$1,0)),装备属性!$A:$C,3,0))</f>
        <v>80</v>
      </c>
      <c r="R29" s="51">
        <f>MAX(VLOOKUP(INDEX(英雄装备!$F:$BZ,MATCH($H29,英雄装备!$F:$F,0),MATCH(R$2,英雄装备!$1:$1,0)-5),装备属性!$A:$C,3,0),VLOOKUP(INDEX(英雄装备!$F:$BZ,MATCH($H29,英雄装备!$F:$F,0),MATCH(R$2,英雄装备!$1:$1,0)-4),装备属性!$A:$C,3,0),VLOOKUP(INDEX(英雄装备!$F:$BZ,MATCH($H29,英雄装备!$F:$F,0),MATCH(R$2,英雄装备!$1:$1,0)-3),装备属性!$A:$C,3,0),VLOOKUP(INDEX(英雄装备!$F:$BZ,MATCH($H29,英雄装备!$F:$F,0),MATCH(R$2,英雄装备!$1:$1,0)-2),装备属性!$A:$C,3,0),VLOOKUP(INDEX(英雄装备!$F:$BZ,MATCH($H29,英雄装备!$F:$F,0),MATCH(R$2,英雄装备!$1:$1,0)-1),装备属性!$A:$C,3,0),VLOOKUP(INDEX(英雄装备!$F:$BZ,MATCH($H29,英雄装备!$F:$F,0),MATCH(R$2,英雄装备!$1:$1,0)),装备属性!$A:$C,3,0))</f>
        <v>80</v>
      </c>
      <c r="S29" s="51">
        <f>MAX(VLOOKUP(INDEX(英雄装备!$F:$BZ,MATCH($H29,英雄装备!$F:$F,0),MATCH(S$2,英雄装备!$1:$1,0)-5),装备属性!$A:$C,3,0),VLOOKUP(INDEX(英雄装备!$F:$BZ,MATCH($H29,英雄装备!$F:$F,0),MATCH(S$2,英雄装备!$1:$1,0)-4),装备属性!$A:$C,3,0),VLOOKUP(INDEX(英雄装备!$F:$BZ,MATCH($H29,英雄装备!$F:$F,0),MATCH(S$2,英雄装备!$1:$1,0)-3),装备属性!$A:$C,3,0),VLOOKUP(INDEX(英雄装备!$F:$BZ,MATCH($H29,英雄装备!$F:$F,0),MATCH(S$2,英雄装备!$1:$1,0)-2),装备属性!$A:$C,3,0),VLOOKUP(INDEX(英雄装备!$F:$BZ,MATCH($H29,英雄装备!$F:$F,0),MATCH(S$2,英雄装备!$1:$1,0)-1),装备属性!$A:$C,3,0),VLOOKUP(INDEX(英雄装备!$F:$BZ,MATCH($H29,英雄装备!$F:$F,0),MATCH(S$2,英雄装备!$1:$1,0)),装备属性!$A:$C,3,0))</f>
        <v>84</v>
      </c>
      <c r="T29" s="51">
        <f>MAX(VLOOKUP(INDEX(英雄装备!$F:$BZ,MATCH($H29,英雄装备!$F:$F,0),MATCH(T$2,英雄装备!$1:$1,0)-5),装备属性!$A:$C,3,0),VLOOKUP(INDEX(英雄装备!$F:$BZ,MATCH($H29,英雄装备!$F:$F,0),MATCH(T$2,英雄装备!$1:$1,0)-4),装备属性!$A:$C,3,0),VLOOKUP(INDEX(英雄装备!$F:$BZ,MATCH($H29,英雄装备!$F:$F,0),MATCH(T$2,英雄装备!$1:$1,0)-3),装备属性!$A:$C,3,0),VLOOKUP(INDEX(英雄装备!$F:$BZ,MATCH($H29,英雄装备!$F:$F,0),MATCH(T$2,英雄装备!$1:$1,0)-2),装备属性!$A:$C,3,0),VLOOKUP(INDEX(英雄装备!$F:$BZ,MATCH($H29,英雄装备!$F:$F,0),MATCH(T$2,英雄装备!$1:$1,0)-1),装备属性!$A:$C,3,0))</f>
        <v>89</v>
      </c>
      <c r="X29" s="151" t="b">
        <f t="shared" si="4"/>
        <v>1</v>
      </c>
      <c r="Y29" s="151" t="b">
        <f t="shared" si="4"/>
        <v>1</v>
      </c>
      <c r="Z29" s="151" t="b">
        <f t="shared" si="4"/>
        <v>1</v>
      </c>
      <c r="AA29" s="151" t="b">
        <f t="shared" si="4"/>
        <v>1</v>
      </c>
      <c r="AB29" s="151" t="b">
        <f t="shared" si="4"/>
        <v>1</v>
      </c>
      <c r="AC29" s="151" t="b">
        <f t="shared" si="4"/>
        <v>1</v>
      </c>
      <c r="AF29" s="151">
        <v>2</v>
      </c>
      <c r="AG29" s="151" t="str">
        <f>X2</f>
        <v>吸血面具</v>
      </c>
      <c r="AH29" s="151">
        <f>VLOOKUP($AG29,装备属性!$A:$Y,5,0)</f>
        <v>0</v>
      </c>
      <c r="AI29" s="151">
        <f>VLOOKUP($AG29,装备属性!$A:$Y,6,0)</f>
        <v>0</v>
      </c>
      <c r="AJ29" s="151">
        <f>VLOOKUP($AG29,装备属性!$A:$Y,7,0)</f>
        <v>0</v>
      </c>
      <c r="AK29" s="151">
        <f>VLOOKUP($AG29,装备属性!$A:$Y,8,0)</f>
        <v>0</v>
      </c>
      <c r="AL29" s="151">
        <f>VLOOKUP($AG29,装备属性!$A:$Y,9,0)</f>
        <v>0</v>
      </c>
      <c r="AM29" s="151">
        <f>VLOOKUP($AG29,装备属性!$A:$Y,10,0)</f>
        <v>0</v>
      </c>
      <c r="AN29" s="151">
        <f>VLOOKUP($AG29,装备属性!$A:$Y,11,0)</f>
        <v>0</v>
      </c>
      <c r="AO29" s="151">
        <f>VLOOKUP($AG29,装备属性!$A:$Y,12,0)</f>
        <v>0</v>
      </c>
      <c r="AP29" s="151">
        <f>VLOOKUP($AG29,装备属性!$A:$Y,13,0)</f>
        <v>0</v>
      </c>
      <c r="AQ29" s="151">
        <f>VLOOKUP($AG29,装备属性!$A:$Y,14,0)</f>
        <v>0</v>
      </c>
      <c r="AR29" s="151">
        <f>VLOOKUP($AG29,装备属性!$A:$Y,15,0)</f>
        <v>0</v>
      </c>
      <c r="AS29" s="151">
        <f>VLOOKUP($AG29,装备属性!$A:$Y,16,0)</f>
        <v>0</v>
      </c>
      <c r="AT29" s="151">
        <f>VLOOKUP($AG29,装备属性!$A:$Y,17,0)</f>
        <v>15</v>
      </c>
      <c r="AU29" s="151">
        <f>VLOOKUP($AG29,装备属性!$A:$Y,18,0)</f>
        <v>0</v>
      </c>
      <c r="AV29" s="151">
        <f>VLOOKUP($AG29,装备属性!$A:$Y,19,0)</f>
        <v>0</v>
      </c>
      <c r="AW29" s="151">
        <f>VLOOKUP($AG29,装备属性!$A:$Y,20,0)</f>
        <v>0</v>
      </c>
      <c r="AX29" s="151">
        <f>VLOOKUP($AG29,装备属性!$A:$Y,21,0)</f>
        <v>0</v>
      </c>
      <c r="AY29" s="151">
        <f>VLOOKUP($AG29,装备属性!$A:$Y,22,0)</f>
        <v>0</v>
      </c>
      <c r="AZ29" s="151">
        <f>VLOOKUP($AG29,装备属性!$A:$Y,23,0)</f>
        <v>0</v>
      </c>
      <c r="BA29" s="151">
        <f>VLOOKUP($AG29,装备属性!$A:$Y,24,0)</f>
        <v>0</v>
      </c>
      <c r="BB29" s="151">
        <f>VLOOKUP($AG29,装备属性!$A:$Y,25,0)</f>
        <v>0</v>
      </c>
    </row>
    <row r="30" spans="2:54">
      <c r="B30" s="151" t="str">
        <f>英雄初始!A31</f>
        <v>沉默</v>
      </c>
      <c r="H30" s="54" t="s">
        <v>183</v>
      </c>
      <c r="I30" s="51">
        <f>MAX(VLOOKUP(INDEX(英雄装备!$F:$BZ,MATCH($H30,英雄装备!$F:$F,0),MATCH(I$2,英雄装备!$1:$1,0)-5),装备属性!$A:$C,3,0),VLOOKUP(INDEX(英雄装备!$F:$BZ,MATCH($H30,英雄装备!$F:$F,0),MATCH(I$2,英雄装备!$1:$1,0)-4),装备属性!$A:$C,3,0),VLOOKUP(INDEX(英雄装备!$F:$BZ,MATCH($H30,英雄装备!$F:$F,0),MATCH(I$2,英雄装备!$1:$1,0)-3),装备属性!$A:$C,3,0),VLOOKUP(INDEX(英雄装备!$F:$BZ,MATCH($H30,英雄装备!$F:$F,0),MATCH(I$2,英雄装备!$1:$1,0)-2),装备属性!$A:$C,3,0),VLOOKUP(INDEX(英雄装备!$F:$BZ,MATCH($H30,英雄装备!$F:$F,0),MATCH(I$2,英雄装备!$1:$1,0)-1),装备属性!$A:$C,3,0),VLOOKUP(INDEX(英雄装备!$F:$BZ,MATCH($H30,英雄装备!$F:$F,0),MATCH(I$2,英雄装备!$1:$1,0)),装备属性!$A:$C,3,0))</f>
        <v>2</v>
      </c>
      <c r="J30" s="51">
        <f>MAX(VLOOKUP(INDEX(英雄装备!$F:$BZ,MATCH($H30,英雄装备!$F:$F,0),MATCH(J$2,英雄装备!$1:$1,0)-5),装备属性!$A:$C,3,0),VLOOKUP(INDEX(英雄装备!$F:$BZ,MATCH($H30,英雄装备!$F:$F,0),MATCH(J$2,英雄装备!$1:$1,0)-4),装备属性!$A:$C,3,0),VLOOKUP(INDEX(英雄装备!$F:$BZ,MATCH($H30,英雄装备!$F:$F,0),MATCH(J$2,英雄装备!$1:$1,0)-3),装备属性!$A:$C,3,0),VLOOKUP(INDEX(英雄装备!$F:$BZ,MATCH($H30,英雄装备!$F:$F,0),MATCH(J$2,英雄装备!$1:$1,0)-2),装备属性!$A:$C,3,0),VLOOKUP(INDEX(英雄装备!$F:$BZ,MATCH($H30,英雄装备!$F:$F,0),MATCH(J$2,英雄装备!$1:$1,0)-1),装备属性!$A:$C,3,0),VLOOKUP(INDEX(英雄装备!$F:$BZ,MATCH($H30,英雄装备!$F:$F,0),MATCH(J$2,英雄装备!$1:$1,0)),装备属性!$A:$C,3,0))</f>
        <v>11</v>
      </c>
      <c r="K30" s="51">
        <f>MAX(VLOOKUP(INDEX(英雄装备!$F:$BZ,MATCH($H30,英雄装备!$F:$F,0),MATCH(K$2,英雄装备!$1:$1,0)-5),装备属性!$A:$C,3,0),VLOOKUP(INDEX(英雄装备!$F:$BZ,MATCH($H30,英雄装备!$F:$F,0),MATCH(K$2,英雄装备!$1:$1,0)-4),装备属性!$A:$C,3,0),VLOOKUP(INDEX(英雄装备!$F:$BZ,MATCH($H30,英雄装备!$F:$F,0),MATCH(K$2,英雄装备!$1:$1,0)-3),装备属性!$A:$C,3,0),VLOOKUP(INDEX(英雄装备!$F:$BZ,MATCH($H30,英雄装备!$F:$F,0),MATCH(K$2,英雄装备!$1:$1,0)-2),装备属性!$A:$C,3,0),VLOOKUP(INDEX(英雄装备!$F:$BZ,MATCH($H30,英雄装备!$F:$F,0),MATCH(K$2,英雄装备!$1:$1,0)-1),装备属性!$A:$C,3,0),VLOOKUP(INDEX(英雄装备!$F:$BZ,MATCH($H30,英雄装备!$F:$F,0),MATCH(K$2,英雄装备!$1:$1,0)),装备属性!$A:$C,3,0))</f>
        <v>21</v>
      </c>
      <c r="L30" s="51">
        <f>MAX(VLOOKUP(INDEX(英雄装备!$F:$BZ,MATCH($H30,英雄装备!$F:$F,0),MATCH(L$2,英雄装备!$1:$1,0)-5),装备属性!$A:$C,3,0),VLOOKUP(INDEX(英雄装备!$F:$BZ,MATCH($H30,英雄装备!$F:$F,0),MATCH(L$2,英雄装备!$1:$1,0)-4),装备属性!$A:$C,3,0),VLOOKUP(INDEX(英雄装备!$F:$BZ,MATCH($H30,英雄装备!$F:$F,0),MATCH(L$2,英雄装备!$1:$1,0)-3),装备属性!$A:$C,3,0),VLOOKUP(INDEX(英雄装备!$F:$BZ,MATCH($H30,英雄装备!$F:$F,0),MATCH(L$2,英雄装备!$1:$1,0)-2),装备属性!$A:$C,3,0),VLOOKUP(INDEX(英雄装备!$F:$BZ,MATCH($H30,英雄装备!$F:$F,0),MATCH(L$2,英雄装备!$1:$1,0)-1),装备属性!$A:$C,3,0),VLOOKUP(INDEX(英雄装备!$F:$BZ,MATCH($H30,英雄装备!$F:$F,0),MATCH(L$2,英雄装备!$1:$1,0)),装备属性!$A:$C,3,0))</f>
        <v>34</v>
      </c>
      <c r="M30" s="51">
        <f>MAX(VLOOKUP(INDEX(英雄装备!$F:$BZ,MATCH($H30,英雄装备!$F:$F,0),MATCH(M$2,英雄装备!$1:$1,0)-5),装备属性!$A:$C,3,0),VLOOKUP(INDEX(英雄装备!$F:$BZ,MATCH($H30,英雄装备!$F:$F,0),MATCH(M$2,英雄装备!$1:$1,0)-4),装备属性!$A:$C,3,0),VLOOKUP(INDEX(英雄装备!$F:$BZ,MATCH($H30,英雄装备!$F:$F,0),MATCH(M$2,英雄装备!$1:$1,0)-3),装备属性!$A:$C,3,0),VLOOKUP(INDEX(英雄装备!$F:$BZ,MATCH($H30,英雄装备!$F:$F,0),MATCH(M$2,英雄装备!$1:$1,0)-2),装备属性!$A:$C,3,0),VLOOKUP(INDEX(英雄装备!$F:$BZ,MATCH($H30,英雄装备!$F:$F,0),MATCH(M$2,英雄装备!$1:$1,0)-1),装备属性!$A:$C,3,0),VLOOKUP(INDEX(英雄装备!$F:$BZ,MATCH($H30,英雄装备!$F:$F,0),MATCH(M$2,英雄装备!$1:$1,0)),装备属性!$A:$C,3,0))</f>
        <v>41</v>
      </c>
      <c r="N30" s="51">
        <f>MAX(VLOOKUP(INDEX(英雄装备!$F:$BZ,MATCH($H30,英雄装备!$F:$F,0),MATCH(N$2,英雄装备!$1:$1,0)-5),装备属性!$A:$C,3,0),VLOOKUP(INDEX(英雄装备!$F:$BZ,MATCH($H30,英雄装备!$F:$F,0),MATCH(N$2,英雄装备!$1:$1,0)-4),装备属性!$A:$C,3,0),VLOOKUP(INDEX(英雄装备!$F:$BZ,MATCH($H30,英雄装备!$F:$F,0),MATCH(N$2,英雄装备!$1:$1,0)-3),装备属性!$A:$C,3,0),VLOOKUP(INDEX(英雄装备!$F:$BZ,MATCH($H30,英雄装备!$F:$F,0),MATCH(N$2,英雄装备!$1:$1,0)-2),装备属性!$A:$C,3,0),VLOOKUP(INDEX(英雄装备!$F:$BZ,MATCH($H30,英雄装备!$F:$F,0),MATCH(N$2,英雄装备!$1:$1,0)-1),装备属性!$A:$C,3,0),VLOOKUP(INDEX(英雄装备!$F:$BZ,MATCH($H30,英雄装备!$F:$F,0),MATCH(N$2,英雄装备!$1:$1,0)),装备属性!$A:$C,3,0))</f>
        <v>53</v>
      </c>
      <c r="O30" s="51">
        <f>MAX(VLOOKUP(INDEX(英雄装备!$F:$BZ,MATCH($H30,英雄装备!$F:$F,0),MATCH(O$2,英雄装备!$1:$1,0)-5),装备属性!$A:$C,3,0),VLOOKUP(INDEX(英雄装备!$F:$BZ,MATCH($H30,英雄装备!$F:$F,0),MATCH(O$2,英雄装备!$1:$1,0)-4),装备属性!$A:$C,3,0),VLOOKUP(INDEX(英雄装备!$F:$BZ,MATCH($H30,英雄装备!$F:$F,0),MATCH(O$2,英雄装备!$1:$1,0)-3),装备属性!$A:$C,3,0),VLOOKUP(INDEX(英雄装备!$F:$BZ,MATCH($H30,英雄装备!$F:$F,0),MATCH(O$2,英雄装备!$1:$1,0)-2),装备属性!$A:$C,3,0),VLOOKUP(INDEX(英雄装备!$F:$BZ,MATCH($H30,英雄装备!$F:$F,0),MATCH(O$2,英雄装备!$1:$1,0)-1),装备属性!$A:$C,3,0),VLOOKUP(INDEX(英雄装备!$F:$BZ,MATCH($H30,英雄装备!$F:$F,0),MATCH(O$2,英雄装备!$1:$1,0)),装备属性!$A:$C,3,0))</f>
        <v>63</v>
      </c>
      <c r="P30" s="51">
        <f>MAX(VLOOKUP(INDEX(英雄装备!$F:$BZ,MATCH($H30,英雄装备!$F:$F,0),MATCH(P$2,英雄装备!$1:$1,0)-5),装备属性!$A:$C,3,0),VLOOKUP(INDEX(英雄装备!$F:$BZ,MATCH($H30,英雄装备!$F:$F,0),MATCH(P$2,英雄装备!$1:$1,0)-4),装备属性!$A:$C,3,0),VLOOKUP(INDEX(英雄装备!$F:$BZ,MATCH($H30,英雄装备!$F:$F,0),MATCH(P$2,英雄装备!$1:$1,0)-3),装备属性!$A:$C,3,0),VLOOKUP(INDEX(英雄装备!$F:$BZ,MATCH($H30,英雄装备!$F:$F,0),MATCH(P$2,英雄装备!$1:$1,0)-2),装备属性!$A:$C,3,0),VLOOKUP(INDEX(英雄装备!$F:$BZ,MATCH($H30,英雄装备!$F:$F,0),MATCH(P$2,英雄装备!$1:$1,0)-1),装备属性!$A:$C,3,0),VLOOKUP(INDEX(英雄装备!$F:$BZ,MATCH($H30,英雄装备!$F:$F,0),MATCH(P$2,英雄装备!$1:$1,0)),装备属性!$A:$C,3,0))</f>
        <v>70</v>
      </c>
      <c r="Q30" s="51">
        <f>MAX(VLOOKUP(INDEX(英雄装备!$F:$BZ,MATCH($H30,英雄装备!$F:$F,0),MATCH(Q$2,英雄装备!$1:$1,0)-5),装备属性!$A:$C,3,0),VLOOKUP(INDEX(英雄装备!$F:$BZ,MATCH($H30,英雄装备!$F:$F,0),MATCH(Q$2,英雄装备!$1:$1,0)-4),装备属性!$A:$C,3,0),VLOOKUP(INDEX(英雄装备!$F:$BZ,MATCH($H30,英雄装备!$F:$F,0),MATCH(Q$2,英雄装备!$1:$1,0)-3),装备属性!$A:$C,3,0),VLOOKUP(INDEX(英雄装备!$F:$BZ,MATCH($H30,英雄装备!$F:$F,0),MATCH(Q$2,英雄装备!$1:$1,0)-2),装备属性!$A:$C,3,0),VLOOKUP(INDEX(英雄装备!$F:$BZ,MATCH($H30,英雄装备!$F:$F,0),MATCH(Q$2,英雄装备!$1:$1,0)-1),装备属性!$A:$C,3,0),VLOOKUP(INDEX(英雄装备!$F:$BZ,MATCH($H30,英雄装备!$F:$F,0),MATCH(Q$2,英雄装备!$1:$1,0)),装备属性!$A:$C,3,0))</f>
        <v>80</v>
      </c>
      <c r="R30" s="51">
        <f>MAX(VLOOKUP(INDEX(英雄装备!$F:$BZ,MATCH($H30,英雄装备!$F:$F,0),MATCH(R$2,英雄装备!$1:$1,0)-5),装备属性!$A:$C,3,0),VLOOKUP(INDEX(英雄装备!$F:$BZ,MATCH($H30,英雄装备!$F:$F,0),MATCH(R$2,英雄装备!$1:$1,0)-4),装备属性!$A:$C,3,0),VLOOKUP(INDEX(英雄装备!$F:$BZ,MATCH($H30,英雄装备!$F:$F,0),MATCH(R$2,英雄装备!$1:$1,0)-3),装备属性!$A:$C,3,0),VLOOKUP(INDEX(英雄装备!$F:$BZ,MATCH($H30,英雄装备!$F:$F,0),MATCH(R$2,英雄装备!$1:$1,0)-2),装备属性!$A:$C,3,0),VLOOKUP(INDEX(英雄装备!$F:$BZ,MATCH($H30,英雄装备!$F:$F,0),MATCH(R$2,英雄装备!$1:$1,0)-1),装备属性!$A:$C,3,0),VLOOKUP(INDEX(英雄装备!$F:$BZ,MATCH($H30,英雄装备!$F:$F,0),MATCH(R$2,英雄装备!$1:$1,0)),装备属性!$A:$C,3,0))</f>
        <v>77</v>
      </c>
      <c r="S30" s="51">
        <f>MAX(VLOOKUP(INDEX(英雄装备!$F:$BZ,MATCH($H30,英雄装备!$F:$F,0),MATCH(S$2,英雄装备!$1:$1,0)-5),装备属性!$A:$C,3,0),VLOOKUP(INDEX(英雄装备!$F:$BZ,MATCH($H30,英雄装备!$F:$F,0),MATCH(S$2,英雄装备!$1:$1,0)-4),装备属性!$A:$C,3,0),VLOOKUP(INDEX(英雄装备!$F:$BZ,MATCH($H30,英雄装备!$F:$F,0),MATCH(S$2,英雄装备!$1:$1,0)-3),装备属性!$A:$C,3,0),VLOOKUP(INDEX(英雄装备!$F:$BZ,MATCH($H30,英雄装备!$F:$F,0),MATCH(S$2,英雄装备!$1:$1,0)-2),装备属性!$A:$C,3,0),VLOOKUP(INDEX(英雄装备!$F:$BZ,MATCH($H30,英雄装备!$F:$F,0),MATCH(S$2,英雄装备!$1:$1,0)-1),装备属性!$A:$C,3,0),VLOOKUP(INDEX(英雄装备!$F:$BZ,MATCH($H30,英雄装备!$F:$F,0),MATCH(S$2,英雄装备!$1:$1,0)),装备属性!$A:$C,3,0))</f>
        <v>84</v>
      </c>
      <c r="T30" s="51">
        <f>MAX(VLOOKUP(INDEX(英雄装备!$F:$BZ,MATCH($H30,英雄装备!$F:$F,0),MATCH(T$2,英雄装备!$1:$1,0)-5),装备属性!$A:$C,3,0),VLOOKUP(INDEX(英雄装备!$F:$BZ,MATCH($H30,英雄装备!$F:$F,0),MATCH(T$2,英雄装备!$1:$1,0)-4),装备属性!$A:$C,3,0),VLOOKUP(INDEX(英雄装备!$F:$BZ,MATCH($H30,英雄装备!$F:$F,0),MATCH(T$2,英雄装备!$1:$1,0)-3),装备属性!$A:$C,3,0),VLOOKUP(INDEX(英雄装备!$F:$BZ,MATCH($H30,英雄装备!$F:$F,0),MATCH(T$2,英雄装备!$1:$1,0)-2),装备属性!$A:$C,3,0),VLOOKUP(INDEX(英雄装备!$F:$BZ,MATCH($H30,英雄装备!$F:$F,0),MATCH(T$2,英雄装备!$1:$1,0)-1),装备属性!$A:$C,3,0))</f>
        <v>88</v>
      </c>
      <c r="X30" s="151" t="b">
        <f t="shared" si="4"/>
        <v>1</v>
      </c>
      <c r="Y30" s="151" t="b">
        <f t="shared" si="4"/>
        <v>1</v>
      </c>
      <c r="Z30" s="151" t="b">
        <f t="shared" si="4"/>
        <v>1</v>
      </c>
      <c r="AA30" s="151" t="b">
        <f t="shared" si="4"/>
        <v>1</v>
      </c>
      <c r="AB30" s="151" t="b">
        <f t="shared" si="4"/>
        <v>1</v>
      </c>
      <c r="AC30" s="151" t="b">
        <f t="shared" si="4"/>
        <v>1</v>
      </c>
      <c r="AF30" s="151">
        <v>2</v>
      </c>
      <c r="AG30" s="151" t="str">
        <f>Y2</f>
        <v>圣殿指环</v>
      </c>
      <c r="AH30" s="151">
        <f>VLOOKUP($AG30,装备属性!$A:$Y,5,0)</f>
        <v>0</v>
      </c>
      <c r="AI30" s="151">
        <f>VLOOKUP($AG30,装备属性!$A:$Y,6,0)</f>
        <v>0</v>
      </c>
      <c r="AJ30" s="151">
        <f>VLOOKUP($AG30,装备属性!$A:$Y,7,0)</f>
        <v>0</v>
      </c>
      <c r="AK30" s="151">
        <f>VLOOKUP($AG30,装备属性!$A:$Y,8,0)</f>
        <v>0</v>
      </c>
      <c r="AL30" s="151">
        <f>VLOOKUP($AG30,装备属性!$A:$Y,9,0)</f>
        <v>0</v>
      </c>
      <c r="AM30" s="151">
        <f>VLOOKUP($AG30,装备属性!$A:$Y,10,0)</f>
        <v>0</v>
      </c>
      <c r="AN30" s="151">
        <f>VLOOKUP($AG30,装备属性!$A:$Y,11,0)</f>
        <v>2</v>
      </c>
      <c r="AO30" s="151">
        <f>VLOOKUP($AG30,装备属性!$A:$Y,12,0)</f>
        <v>0</v>
      </c>
      <c r="AP30" s="151">
        <f>VLOOKUP($AG30,装备属性!$A:$Y,13,0)</f>
        <v>0</v>
      </c>
      <c r="AQ30" s="151">
        <f>VLOOKUP($AG30,装备属性!$A:$Y,14,0)</f>
        <v>0</v>
      </c>
      <c r="AR30" s="151">
        <f>VLOOKUP($AG30,装备属性!$A:$Y,15,0)</f>
        <v>0</v>
      </c>
      <c r="AS30" s="151">
        <f>VLOOKUP($AG30,装备属性!$A:$Y,16,0)</f>
        <v>0</v>
      </c>
      <c r="AT30" s="151">
        <f>VLOOKUP($AG30,装备属性!$A:$Y,17,0)</f>
        <v>0</v>
      </c>
      <c r="AU30" s="151">
        <f>VLOOKUP($AG30,装备属性!$A:$Y,18,0)</f>
        <v>0</v>
      </c>
      <c r="AV30" s="151">
        <f>VLOOKUP($AG30,装备属性!$A:$Y,19,0)</f>
        <v>0</v>
      </c>
      <c r="AW30" s="151">
        <f>VLOOKUP($AG30,装备属性!$A:$Y,20,0)</f>
        <v>0</v>
      </c>
      <c r="AX30" s="151">
        <f>VLOOKUP($AG30,装备属性!$A:$Y,21,0)</f>
        <v>30</v>
      </c>
      <c r="AY30" s="151">
        <f>VLOOKUP($AG30,装备属性!$A:$Y,22,0)</f>
        <v>0</v>
      </c>
      <c r="AZ30" s="151">
        <f>VLOOKUP($AG30,装备属性!$A:$Y,23,0)</f>
        <v>0</v>
      </c>
      <c r="BA30" s="151">
        <f>VLOOKUP($AG30,装备属性!$A:$Y,24,0)</f>
        <v>0</v>
      </c>
      <c r="BB30" s="151">
        <f>VLOOKUP($AG30,装备属性!$A:$Y,25,0)</f>
        <v>0</v>
      </c>
    </row>
    <row r="31" spans="2:54">
      <c r="B31" s="151" t="str">
        <f>英雄初始!A32</f>
        <v>恶魔巫师</v>
      </c>
      <c r="D31" s="48" t="s">
        <v>2116</v>
      </c>
      <c r="H31" s="54" t="s">
        <v>184</v>
      </c>
      <c r="I31" s="51">
        <f>MAX(VLOOKUP(INDEX(英雄装备!$F:$BZ,MATCH($H31,英雄装备!$F:$F,0),MATCH(I$2,英雄装备!$1:$1,0)-5),装备属性!$A:$C,3,0),VLOOKUP(INDEX(英雄装备!$F:$BZ,MATCH($H31,英雄装备!$F:$F,0),MATCH(I$2,英雄装备!$1:$1,0)-4),装备属性!$A:$C,3,0),VLOOKUP(INDEX(英雄装备!$F:$BZ,MATCH($H31,英雄装备!$F:$F,0),MATCH(I$2,英雄装备!$1:$1,0)-3),装备属性!$A:$C,3,0),VLOOKUP(INDEX(英雄装备!$F:$BZ,MATCH($H31,英雄装备!$F:$F,0),MATCH(I$2,英雄装备!$1:$1,0)-2),装备属性!$A:$C,3,0),VLOOKUP(INDEX(英雄装备!$F:$BZ,MATCH($H31,英雄装备!$F:$F,0),MATCH(I$2,英雄装备!$1:$1,0)-1),装备属性!$A:$C,3,0),VLOOKUP(INDEX(英雄装备!$F:$BZ,MATCH($H31,英雄装备!$F:$F,0),MATCH(I$2,英雄装备!$1:$1,0)),装备属性!$A:$C,3,0))</f>
        <v>2</v>
      </c>
      <c r="J31" s="51">
        <f>MAX(VLOOKUP(INDEX(英雄装备!$F:$BZ,MATCH($H31,英雄装备!$F:$F,0),MATCH(J$2,英雄装备!$1:$1,0)-5),装备属性!$A:$C,3,0),VLOOKUP(INDEX(英雄装备!$F:$BZ,MATCH($H31,英雄装备!$F:$F,0),MATCH(J$2,英雄装备!$1:$1,0)-4),装备属性!$A:$C,3,0),VLOOKUP(INDEX(英雄装备!$F:$BZ,MATCH($H31,英雄装备!$F:$F,0),MATCH(J$2,英雄装备!$1:$1,0)-3),装备属性!$A:$C,3,0),VLOOKUP(INDEX(英雄装备!$F:$BZ,MATCH($H31,英雄装备!$F:$F,0),MATCH(J$2,英雄装备!$1:$1,0)-2),装备属性!$A:$C,3,0),VLOOKUP(INDEX(英雄装备!$F:$BZ,MATCH($H31,英雄装备!$F:$F,0),MATCH(J$2,英雄装备!$1:$1,0)-1),装备属性!$A:$C,3,0),VLOOKUP(INDEX(英雄装备!$F:$BZ,MATCH($H31,英雄装备!$F:$F,0),MATCH(J$2,英雄装备!$1:$1,0)),装备属性!$A:$C,3,0))</f>
        <v>10</v>
      </c>
      <c r="K31" s="51">
        <f>MAX(VLOOKUP(INDEX(英雄装备!$F:$BZ,MATCH($H31,英雄装备!$F:$F,0),MATCH(K$2,英雄装备!$1:$1,0)-5),装备属性!$A:$C,3,0),VLOOKUP(INDEX(英雄装备!$F:$BZ,MATCH($H31,英雄装备!$F:$F,0),MATCH(K$2,英雄装备!$1:$1,0)-4),装备属性!$A:$C,3,0),VLOOKUP(INDEX(英雄装备!$F:$BZ,MATCH($H31,英雄装备!$F:$F,0),MATCH(K$2,英雄装备!$1:$1,0)-3),装备属性!$A:$C,3,0),VLOOKUP(INDEX(英雄装备!$F:$BZ,MATCH($H31,英雄装备!$F:$F,0),MATCH(K$2,英雄装备!$1:$1,0)-2),装备属性!$A:$C,3,0),VLOOKUP(INDEX(英雄装备!$F:$BZ,MATCH($H31,英雄装备!$F:$F,0),MATCH(K$2,英雄装备!$1:$1,0)-1),装备属性!$A:$C,3,0),VLOOKUP(INDEX(英雄装备!$F:$BZ,MATCH($H31,英雄装备!$F:$F,0),MATCH(K$2,英雄装备!$1:$1,0)),装备属性!$A:$C,3,0))</f>
        <v>20</v>
      </c>
      <c r="L31" s="51">
        <f>MAX(VLOOKUP(INDEX(英雄装备!$F:$BZ,MATCH($H31,英雄装备!$F:$F,0),MATCH(L$2,英雄装备!$1:$1,0)-5),装备属性!$A:$C,3,0),VLOOKUP(INDEX(英雄装备!$F:$BZ,MATCH($H31,英雄装备!$F:$F,0),MATCH(L$2,英雄装备!$1:$1,0)-4),装备属性!$A:$C,3,0),VLOOKUP(INDEX(英雄装备!$F:$BZ,MATCH($H31,英雄装备!$F:$F,0),MATCH(L$2,英雄装备!$1:$1,0)-3),装备属性!$A:$C,3,0),VLOOKUP(INDEX(英雄装备!$F:$BZ,MATCH($H31,英雄装备!$F:$F,0),MATCH(L$2,英雄装备!$1:$1,0)-2),装备属性!$A:$C,3,0),VLOOKUP(INDEX(英雄装备!$F:$BZ,MATCH($H31,英雄装备!$F:$F,0),MATCH(L$2,英雄装备!$1:$1,0)-1),装备属性!$A:$C,3,0),VLOOKUP(INDEX(英雄装备!$F:$BZ,MATCH($H31,英雄装备!$F:$F,0),MATCH(L$2,英雄装备!$1:$1,0)),装备属性!$A:$C,3,0))</f>
        <v>35</v>
      </c>
      <c r="M31" s="51">
        <f>MAX(VLOOKUP(INDEX(英雄装备!$F:$BZ,MATCH($H31,英雄装备!$F:$F,0),MATCH(M$2,英雄装备!$1:$1,0)-5),装备属性!$A:$C,3,0),VLOOKUP(INDEX(英雄装备!$F:$BZ,MATCH($H31,英雄装备!$F:$F,0),MATCH(M$2,英雄装备!$1:$1,0)-4),装备属性!$A:$C,3,0),VLOOKUP(INDEX(英雄装备!$F:$BZ,MATCH($H31,英雄装备!$F:$F,0),MATCH(M$2,英雄装备!$1:$1,0)-3),装备属性!$A:$C,3,0),VLOOKUP(INDEX(英雄装备!$F:$BZ,MATCH($H31,英雄装备!$F:$F,0),MATCH(M$2,英雄装备!$1:$1,0)-2),装备属性!$A:$C,3,0),VLOOKUP(INDEX(英雄装备!$F:$BZ,MATCH($H31,英雄装备!$F:$F,0),MATCH(M$2,英雄装备!$1:$1,0)-1),装备属性!$A:$C,3,0),VLOOKUP(INDEX(英雄装备!$F:$BZ,MATCH($H31,英雄装备!$F:$F,0),MATCH(M$2,英雄装备!$1:$1,0)),装备属性!$A:$C,3,0))</f>
        <v>43</v>
      </c>
      <c r="N31" s="51">
        <f>MAX(VLOOKUP(INDEX(英雄装备!$F:$BZ,MATCH($H31,英雄装备!$F:$F,0),MATCH(N$2,英雄装备!$1:$1,0)-5),装备属性!$A:$C,3,0),VLOOKUP(INDEX(英雄装备!$F:$BZ,MATCH($H31,英雄装备!$F:$F,0),MATCH(N$2,英雄装备!$1:$1,0)-4),装备属性!$A:$C,3,0),VLOOKUP(INDEX(英雄装备!$F:$BZ,MATCH($H31,英雄装备!$F:$F,0),MATCH(N$2,英雄装备!$1:$1,0)-3),装备属性!$A:$C,3,0),VLOOKUP(INDEX(英雄装备!$F:$BZ,MATCH($H31,英雄装备!$F:$F,0),MATCH(N$2,英雄装备!$1:$1,0)-2),装备属性!$A:$C,3,0),VLOOKUP(INDEX(英雄装备!$F:$BZ,MATCH($H31,英雄装备!$F:$F,0),MATCH(N$2,英雄装备!$1:$1,0)-1),装备属性!$A:$C,3,0),VLOOKUP(INDEX(英雄装备!$F:$BZ,MATCH($H31,英雄装备!$F:$F,0),MATCH(N$2,英雄装备!$1:$1,0)),装备属性!$A:$C,3,0))</f>
        <v>53</v>
      </c>
      <c r="O31" s="51">
        <f>MAX(VLOOKUP(INDEX(英雄装备!$F:$BZ,MATCH($H31,英雄装备!$F:$F,0),MATCH(O$2,英雄装备!$1:$1,0)-5),装备属性!$A:$C,3,0),VLOOKUP(INDEX(英雄装备!$F:$BZ,MATCH($H31,英雄装备!$F:$F,0),MATCH(O$2,英雄装备!$1:$1,0)-4),装备属性!$A:$C,3,0),VLOOKUP(INDEX(英雄装备!$F:$BZ,MATCH($H31,英雄装备!$F:$F,0),MATCH(O$2,英雄装备!$1:$1,0)-3),装备属性!$A:$C,3,0),VLOOKUP(INDEX(英雄装备!$F:$BZ,MATCH($H31,英雄装备!$F:$F,0),MATCH(O$2,英雄装备!$1:$1,0)-2),装备属性!$A:$C,3,0),VLOOKUP(INDEX(英雄装备!$F:$BZ,MATCH($H31,英雄装备!$F:$F,0),MATCH(O$2,英雄装备!$1:$1,0)-1),装备属性!$A:$C,3,0),VLOOKUP(INDEX(英雄装备!$F:$BZ,MATCH($H31,英雄装备!$F:$F,0),MATCH(O$2,英雄装备!$1:$1,0)),装备属性!$A:$C,3,0))</f>
        <v>59</v>
      </c>
      <c r="P31" s="51">
        <f>MAX(VLOOKUP(INDEX(英雄装备!$F:$BZ,MATCH($H31,英雄装备!$F:$F,0),MATCH(P$2,英雄装备!$1:$1,0)-5),装备属性!$A:$C,3,0),VLOOKUP(INDEX(英雄装备!$F:$BZ,MATCH($H31,英雄装备!$F:$F,0),MATCH(P$2,英雄装备!$1:$1,0)-4),装备属性!$A:$C,3,0),VLOOKUP(INDEX(英雄装备!$F:$BZ,MATCH($H31,英雄装备!$F:$F,0),MATCH(P$2,英雄装备!$1:$1,0)-3),装备属性!$A:$C,3,0),VLOOKUP(INDEX(英雄装备!$F:$BZ,MATCH($H31,英雄装备!$F:$F,0),MATCH(P$2,英雄装备!$1:$1,0)-2),装备属性!$A:$C,3,0),VLOOKUP(INDEX(英雄装备!$F:$BZ,MATCH($H31,英雄装备!$F:$F,0),MATCH(P$2,英雄装备!$1:$1,0)-1),装备属性!$A:$C,3,0),VLOOKUP(INDEX(英雄装备!$F:$BZ,MATCH($H31,英雄装备!$F:$F,0),MATCH(P$2,英雄装备!$1:$1,0)),装备属性!$A:$C,3,0))</f>
        <v>70</v>
      </c>
      <c r="Q31" s="51">
        <f>MAX(VLOOKUP(INDEX(英雄装备!$F:$BZ,MATCH($H31,英雄装备!$F:$F,0),MATCH(Q$2,英雄装备!$1:$1,0)-5),装备属性!$A:$C,3,0),VLOOKUP(INDEX(英雄装备!$F:$BZ,MATCH($H31,英雄装备!$F:$F,0),MATCH(Q$2,英雄装备!$1:$1,0)-4),装备属性!$A:$C,3,0),VLOOKUP(INDEX(英雄装备!$F:$BZ,MATCH($H31,英雄装备!$F:$F,0),MATCH(Q$2,英雄装备!$1:$1,0)-3),装备属性!$A:$C,3,0),VLOOKUP(INDEX(英雄装备!$F:$BZ,MATCH($H31,英雄装备!$F:$F,0),MATCH(Q$2,英雄装备!$1:$1,0)-2),装备属性!$A:$C,3,0),VLOOKUP(INDEX(英雄装备!$F:$BZ,MATCH($H31,英雄装备!$F:$F,0),MATCH(Q$2,英雄装备!$1:$1,0)-1),装备属性!$A:$C,3,0),VLOOKUP(INDEX(英雄装备!$F:$BZ,MATCH($H31,英雄装备!$F:$F,0),MATCH(Q$2,英雄装备!$1:$1,0)),装备属性!$A:$C,3,0))</f>
        <v>78</v>
      </c>
      <c r="R31" s="51">
        <f>MAX(VLOOKUP(INDEX(英雄装备!$F:$BZ,MATCH($H31,英雄装备!$F:$F,0),MATCH(R$2,英雄装备!$1:$1,0)-5),装备属性!$A:$C,3,0),VLOOKUP(INDEX(英雄装备!$F:$BZ,MATCH($H31,英雄装备!$F:$F,0),MATCH(R$2,英雄装备!$1:$1,0)-4),装备属性!$A:$C,3,0),VLOOKUP(INDEX(英雄装备!$F:$BZ,MATCH($H31,英雄装备!$F:$F,0),MATCH(R$2,英雄装备!$1:$1,0)-3),装备属性!$A:$C,3,0),VLOOKUP(INDEX(英雄装备!$F:$BZ,MATCH($H31,英雄装备!$F:$F,0),MATCH(R$2,英雄装备!$1:$1,0)-2),装备属性!$A:$C,3,0),VLOOKUP(INDEX(英雄装备!$F:$BZ,MATCH($H31,英雄装备!$F:$F,0),MATCH(R$2,英雄装备!$1:$1,0)-1),装备属性!$A:$C,3,0),VLOOKUP(INDEX(英雄装备!$F:$BZ,MATCH($H31,英雄装备!$F:$F,0),MATCH(R$2,英雄装备!$1:$1,0)),装备属性!$A:$C,3,0))</f>
        <v>80</v>
      </c>
      <c r="S31" s="51">
        <f>MAX(VLOOKUP(INDEX(英雄装备!$F:$BZ,MATCH($H31,英雄装备!$F:$F,0),MATCH(S$2,英雄装备!$1:$1,0)-5),装备属性!$A:$C,3,0),VLOOKUP(INDEX(英雄装备!$F:$BZ,MATCH($H31,英雄装备!$F:$F,0),MATCH(S$2,英雄装备!$1:$1,0)-4),装备属性!$A:$C,3,0),VLOOKUP(INDEX(英雄装备!$F:$BZ,MATCH($H31,英雄装备!$F:$F,0),MATCH(S$2,英雄装备!$1:$1,0)-3),装备属性!$A:$C,3,0),VLOOKUP(INDEX(英雄装备!$F:$BZ,MATCH($H31,英雄装备!$F:$F,0),MATCH(S$2,英雄装备!$1:$1,0)-2),装备属性!$A:$C,3,0),VLOOKUP(INDEX(英雄装备!$F:$BZ,MATCH($H31,英雄装备!$F:$F,0),MATCH(S$2,英雄装备!$1:$1,0)-1),装备属性!$A:$C,3,0),VLOOKUP(INDEX(英雄装备!$F:$BZ,MATCH($H31,英雄装备!$F:$F,0),MATCH(S$2,英雄装备!$1:$1,0)),装备属性!$A:$C,3,0))</f>
        <v>85</v>
      </c>
      <c r="T31" s="51">
        <f>MAX(VLOOKUP(INDEX(英雄装备!$F:$BZ,MATCH($H31,英雄装备!$F:$F,0),MATCH(T$2,英雄装备!$1:$1,0)-5),装备属性!$A:$C,3,0),VLOOKUP(INDEX(英雄装备!$F:$BZ,MATCH($H31,英雄装备!$F:$F,0),MATCH(T$2,英雄装备!$1:$1,0)-4),装备属性!$A:$C,3,0),VLOOKUP(INDEX(英雄装备!$F:$BZ,MATCH($H31,英雄装备!$F:$F,0),MATCH(T$2,英雄装备!$1:$1,0)-3),装备属性!$A:$C,3,0),VLOOKUP(INDEX(英雄装备!$F:$BZ,MATCH($H31,英雄装备!$F:$F,0),MATCH(T$2,英雄装备!$1:$1,0)-2),装备属性!$A:$C,3,0),VLOOKUP(INDEX(英雄装备!$F:$BZ,MATCH($H31,英雄装备!$F:$F,0),MATCH(T$2,英雄装备!$1:$1,0)-1),装备属性!$A:$C,3,0))</f>
        <v>87</v>
      </c>
      <c r="X31" s="151" t="b">
        <f t="shared" si="4"/>
        <v>1</v>
      </c>
      <c r="Y31" s="151" t="b">
        <f t="shared" si="4"/>
        <v>1</v>
      </c>
      <c r="Z31" s="151" t="b">
        <f t="shared" si="4"/>
        <v>1</v>
      </c>
      <c r="AA31" s="151" t="b">
        <f t="shared" si="4"/>
        <v>1</v>
      </c>
      <c r="AB31" s="151" t="b">
        <f t="shared" si="4"/>
        <v>1</v>
      </c>
      <c r="AC31" s="151" t="b">
        <f t="shared" si="4"/>
        <v>1</v>
      </c>
      <c r="AF31" s="151">
        <v>2</v>
      </c>
      <c r="AG31" s="151" t="str">
        <f>Z2</f>
        <v>敏捷系带</v>
      </c>
      <c r="AH31" s="151">
        <f>VLOOKUP($AG31,装备属性!$A:$Y,5,0)</f>
        <v>3</v>
      </c>
      <c r="AI31" s="151">
        <f>VLOOKUP($AG31,装备属性!$A:$Y,6,0)</f>
        <v>6</v>
      </c>
      <c r="AJ31" s="151">
        <f>VLOOKUP($AG31,装备属性!$A:$Y,7,0)</f>
        <v>3</v>
      </c>
      <c r="AK31" s="151">
        <f>VLOOKUP($AG31,装备属性!$A:$Y,8,0)</f>
        <v>0</v>
      </c>
      <c r="AL31" s="151">
        <f>VLOOKUP($AG31,装备属性!$A:$Y,9,0)</f>
        <v>3</v>
      </c>
      <c r="AM31" s="151">
        <f>VLOOKUP($AG31,装备属性!$A:$Y,10,0)</f>
        <v>0</v>
      </c>
      <c r="AN31" s="151">
        <f>VLOOKUP($AG31,装备属性!$A:$Y,11,0)</f>
        <v>0</v>
      </c>
      <c r="AO31" s="151">
        <f>VLOOKUP($AG31,装备属性!$A:$Y,12,0)</f>
        <v>0</v>
      </c>
      <c r="AP31" s="151">
        <f>VLOOKUP($AG31,装备属性!$A:$Y,13,0)</f>
        <v>0</v>
      </c>
      <c r="AQ31" s="151">
        <f>VLOOKUP($AG31,装备属性!$A:$Y,14,0)</f>
        <v>0</v>
      </c>
      <c r="AR31" s="151">
        <f>VLOOKUP($AG31,装备属性!$A:$Y,15,0)</f>
        <v>0</v>
      </c>
      <c r="AS31" s="151">
        <f>VLOOKUP($AG31,装备属性!$A:$Y,16,0)</f>
        <v>0</v>
      </c>
      <c r="AT31" s="151">
        <f>VLOOKUP($AG31,装备属性!$A:$Y,17,0)</f>
        <v>0</v>
      </c>
      <c r="AU31" s="151">
        <f>VLOOKUP($AG31,装备属性!$A:$Y,18,0)</f>
        <v>0</v>
      </c>
      <c r="AV31" s="151">
        <f>VLOOKUP($AG31,装备属性!$A:$Y,19,0)</f>
        <v>0</v>
      </c>
      <c r="AW31" s="151">
        <f>VLOOKUP($AG31,装备属性!$A:$Y,20,0)</f>
        <v>0</v>
      </c>
      <c r="AX31" s="151">
        <f>VLOOKUP($AG31,装备属性!$A:$Y,21,0)</f>
        <v>0</v>
      </c>
      <c r="AY31" s="151">
        <f>VLOOKUP($AG31,装备属性!$A:$Y,22,0)</f>
        <v>0</v>
      </c>
      <c r="AZ31" s="151">
        <f>VLOOKUP($AG31,装备属性!$A:$Y,23,0)</f>
        <v>0</v>
      </c>
      <c r="BA31" s="151">
        <f>VLOOKUP($AG31,装备属性!$A:$Y,24,0)</f>
        <v>0</v>
      </c>
      <c r="BB31" s="151">
        <f>VLOOKUP($AG31,装备属性!$A:$Y,25,0)</f>
        <v>0</v>
      </c>
    </row>
    <row r="32" spans="2:54">
      <c r="B32" s="151" t="str">
        <f>英雄初始!A33</f>
        <v>风行</v>
      </c>
      <c r="D32" s="153" t="s">
        <v>2124</v>
      </c>
      <c r="H32" s="54" t="s">
        <v>185</v>
      </c>
      <c r="I32" s="51">
        <f>MAX(VLOOKUP(INDEX(英雄装备!$F:$BZ,MATCH($H32,英雄装备!$F:$F,0),MATCH(I$2,英雄装备!$1:$1,0)-5),装备属性!$A:$C,3,0),VLOOKUP(INDEX(英雄装备!$F:$BZ,MATCH($H32,英雄装备!$F:$F,0),MATCH(I$2,英雄装备!$1:$1,0)-4),装备属性!$A:$C,3,0),VLOOKUP(INDEX(英雄装备!$F:$BZ,MATCH($H32,英雄装备!$F:$F,0),MATCH(I$2,英雄装备!$1:$1,0)-3),装备属性!$A:$C,3,0),VLOOKUP(INDEX(英雄装备!$F:$BZ,MATCH($H32,英雄装备!$F:$F,0),MATCH(I$2,英雄装备!$1:$1,0)-2),装备属性!$A:$C,3,0),VLOOKUP(INDEX(英雄装备!$F:$BZ,MATCH($H32,英雄装备!$F:$F,0),MATCH(I$2,英雄装备!$1:$1,0)-1),装备属性!$A:$C,3,0),VLOOKUP(INDEX(英雄装备!$F:$BZ,MATCH($H32,英雄装备!$F:$F,0),MATCH(I$2,英雄装备!$1:$1,0)),装备属性!$A:$C,3,0))</f>
        <v>2</v>
      </c>
      <c r="J32" s="51">
        <f>MAX(VLOOKUP(INDEX(英雄装备!$F:$BZ,MATCH($H32,英雄装备!$F:$F,0),MATCH(J$2,英雄装备!$1:$1,0)-5),装备属性!$A:$C,3,0),VLOOKUP(INDEX(英雄装备!$F:$BZ,MATCH($H32,英雄装备!$F:$F,0),MATCH(J$2,英雄装备!$1:$1,0)-4),装备属性!$A:$C,3,0),VLOOKUP(INDEX(英雄装备!$F:$BZ,MATCH($H32,英雄装备!$F:$F,0),MATCH(J$2,英雄装备!$1:$1,0)-3),装备属性!$A:$C,3,0),VLOOKUP(INDEX(英雄装备!$F:$BZ,MATCH($H32,英雄装备!$F:$F,0),MATCH(J$2,英雄装备!$1:$1,0)-2),装备属性!$A:$C,3,0),VLOOKUP(INDEX(英雄装备!$F:$BZ,MATCH($H32,英雄装备!$F:$F,0),MATCH(J$2,英雄装备!$1:$1,0)-1),装备属性!$A:$C,3,0),VLOOKUP(INDEX(英雄装备!$F:$BZ,MATCH($H32,英雄装备!$F:$F,0),MATCH(J$2,英雄装备!$1:$1,0)),装备属性!$A:$C,3,0))</f>
        <v>10</v>
      </c>
      <c r="K32" s="51">
        <f>MAX(VLOOKUP(INDEX(英雄装备!$F:$BZ,MATCH($H32,英雄装备!$F:$F,0),MATCH(K$2,英雄装备!$1:$1,0)-5),装备属性!$A:$C,3,0),VLOOKUP(INDEX(英雄装备!$F:$BZ,MATCH($H32,英雄装备!$F:$F,0),MATCH(K$2,英雄装备!$1:$1,0)-4),装备属性!$A:$C,3,0),VLOOKUP(INDEX(英雄装备!$F:$BZ,MATCH($H32,英雄装备!$F:$F,0),MATCH(K$2,英雄装备!$1:$1,0)-3),装备属性!$A:$C,3,0),VLOOKUP(INDEX(英雄装备!$F:$BZ,MATCH($H32,英雄装备!$F:$F,0),MATCH(K$2,英雄装备!$1:$1,0)-2),装备属性!$A:$C,3,0),VLOOKUP(INDEX(英雄装备!$F:$BZ,MATCH($H32,英雄装备!$F:$F,0),MATCH(K$2,英雄装备!$1:$1,0)-1),装备属性!$A:$C,3,0),VLOOKUP(INDEX(英雄装备!$F:$BZ,MATCH($H32,英雄装备!$F:$F,0),MATCH(K$2,英雄装备!$1:$1,0)),装备属性!$A:$C,3,0))</f>
        <v>20</v>
      </c>
      <c r="L32" s="51">
        <f>MAX(VLOOKUP(INDEX(英雄装备!$F:$BZ,MATCH($H32,英雄装备!$F:$F,0),MATCH(L$2,英雄装备!$1:$1,0)-5),装备属性!$A:$C,3,0),VLOOKUP(INDEX(英雄装备!$F:$BZ,MATCH($H32,英雄装备!$F:$F,0),MATCH(L$2,英雄装备!$1:$1,0)-4),装备属性!$A:$C,3,0),VLOOKUP(INDEX(英雄装备!$F:$BZ,MATCH($H32,英雄装备!$F:$F,0),MATCH(L$2,英雄装备!$1:$1,0)-3),装备属性!$A:$C,3,0),VLOOKUP(INDEX(英雄装备!$F:$BZ,MATCH($H32,英雄装备!$F:$F,0),MATCH(L$2,英雄装备!$1:$1,0)-2),装备属性!$A:$C,3,0),VLOOKUP(INDEX(英雄装备!$F:$BZ,MATCH($H32,英雄装备!$F:$F,0),MATCH(L$2,英雄装备!$1:$1,0)-1),装备属性!$A:$C,3,0),VLOOKUP(INDEX(英雄装备!$F:$BZ,MATCH($H32,英雄装备!$F:$F,0),MATCH(L$2,英雄装备!$1:$1,0)),装备属性!$A:$C,3,0))</f>
        <v>33</v>
      </c>
      <c r="M32" s="51">
        <f>MAX(VLOOKUP(INDEX(英雄装备!$F:$BZ,MATCH($H32,英雄装备!$F:$F,0),MATCH(M$2,英雄装备!$1:$1,0)-5),装备属性!$A:$C,3,0),VLOOKUP(INDEX(英雄装备!$F:$BZ,MATCH($H32,英雄装备!$F:$F,0),MATCH(M$2,英雄装备!$1:$1,0)-4),装备属性!$A:$C,3,0),VLOOKUP(INDEX(英雄装备!$F:$BZ,MATCH($H32,英雄装备!$F:$F,0),MATCH(M$2,英雄装备!$1:$1,0)-3),装备属性!$A:$C,3,0),VLOOKUP(INDEX(英雄装备!$F:$BZ,MATCH($H32,英雄装备!$F:$F,0),MATCH(M$2,英雄装备!$1:$1,0)-2),装备属性!$A:$C,3,0),VLOOKUP(INDEX(英雄装备!$F:$BZ,MATCH($H32,英雄装备!$F:$F,0),MATCH(M$2,英雄装备!$1:$1,0)-1),装备属性!$A:$C,3,0),VLOOKUP(INDEX(英雄装备!$F:$BZ,MATCH($H32,英雄装备!$F:$F,0),MATCH(M$2,英雄装备!$1:$1,0)),装备属性!$A:$C,3,0))</f>
        <v>42</v>
      </c>
      <c r="N32" s="51">
        <f>MAX(VLOOKUP(INDEX(英雄装备!$F:$BZ,MATCH($H32,英雄装备!$F:$F,0),MATCH(N$2,英雄装备!$1:$1,0)-5),装备属性!$A:$C,3,0),VLOOKUP(INDEX(英雄装备!$F:$BZ,MATCH($H32,英雄装备!$F:$F,0),MATCH(N$2,英雄装备!$1:$1,0)-4),装备属性!$A:$C,3,0),VLOOKUP(INDEX(英雄装备!$F:$BZ,MATCH($H32,英雄装备!$F:$F,0),MATCH(N$2,英雄装备!$1:$1,0)-3),装备属性!$A:$C,3,0),VLOOKUP(INDEX(英雄装备!$F:$BZ,MATCH($H32,英雄装备!$F:$F,0),MATCH(N$2,英雄装备!$1:$1,0)-2),装备属性!$A:$C,3,0),VLOOKUP(INDEX(英雄装备!$F:$BZ,MATCH($H32,英雄装备!$F:$F,0),MATCH(N$2,英雄装备!$1:$1,0)-1),装备属性!$A:$C,3,0),VLOOKUP(INDEX(英雄装备!$F:$BZ,MATCH($H32,英雄装备!$F:$F,0),MATCH(N$2,英雄装备!$1:$1,0)),装备属性!$A:$C,3,0))</f>
        <v>51</v>
      </c>
      <c r="O32" s="51">
        <f>MAX(VLOOKUP(INDEX(英雄装备!$F:$BZ,MATCH($H32,英雄装备!$F:$F,0),MATCH(O$2,英雄装备!$1:$1,0)-5),装备属性!$A:$C,3,0),VLOOKUP(INDEX(英雄装备!$F:$BZ,MATCH($H32,英雄装备!$F:$F,0),MATCH(O$2,英雄装备!$1:$1,0)-4),装备属性!$A:$C,3,0),VLOOKUP(INDEX(英雄装备!$F:$BZ,MATCH($H32,英雄装备!$F:$F,0),MATCH(O$2,英雄装备!$1:$1,0)-3),装备属性!$A:$C,3,0),VLOOKUP(INDEX(英雄装备!$F:$BZ,MATCH($H32,英雄装备!$F:$F,0),MATCH(O$2,英雄装备!$1:$1,0)-2),装备属性!$A:$C,3,0),VLOOKUP(INDEX(英雄装备!$F:$BZ,MATCH($H32,英雄装备!$F:$F,0),MATCH(O$2,英雄装备!$1:$1,0)-1),装备属性!$A:$C,3,0),VLOOKUP(INDEX(英雄装备!$F:$BZ,MATCH($H32,英雄装备!$F:$F,0),MATCH(O$2,英雄装备!$1:$1,0)),装备属性!$A:$C,3,0))</f>
        <v>60</v>
      </c>
      <c r="P32" s="51">
        <f>MAX(VLOOKUP(INDEX(英雄装备!$F:$BZ,MATCH($H32,英雄装备!$F:$F,0),MATCH(P$2,英雄装备!$1:$1,0)-5),装备属性!$A:$C,3,0),VLOOKUP(INDEX(英雄装备!$F:$BZ,MATCH($H32,英雄装备!$F:$F,0),MATCH(P$2,英雄装备!$1:$1,0)-4),装备属性!$A:$C,3,0),VLOOKUP(INDEX(英雄装备!$F:$BZ,MATCH($H32,英雄装备!$F:$F,0),MATCH(P$2,英雄装备!$1:$1,0)-3),装备属性!$A:$C,3,0),VLOOKUP(INDEX(英雄装备!$F:$BZ,MATCH($H32,英雄装备!$F:$F,0),MATCH(P$2,英雄装备!$1:$1,0)-2),装备属性!$A:$C,3,0),VLOOKUP(INDEX(英雄装备!$F:$BZ,MATCH($H32,英雄装备!$F:$F,0),MATCH(P$2,英雄装备!$1:$1,0)-1),装备属性!$A:$C,3,0),VLOOKUP(INDEX(英雄装备!$F:$BZ,MATCH($H32,英雄装备!$F:$F,0),MATCH(P$2,英雄装备!$1:$1,0)),装备属性!$A:$C,3,0))</f>
        <v>70</v>
      </c>
      <c r="Q32" s="51">
        <f>MAX(VLOOKUP(INDEX(英雄装备!$F:$BZ,MATCH($H32,英雄装备!$F:$F,0),MATCH(Q$2,英雄装备!$1:$1,0)-5),装备属性!$A:$C,3,0),VLOOKUP(INDEX(英雄装备!$F:$BZ,MATCH($H32,英雄装备!$F:$F,0),MATCH(Q$2,英雄装备!$1:$1,0)-4),装备属性!$A:$C,3,0),VLOOKUP(INDEX(英雄装备!$F:$BZ,MATCH($H32,英雄装备!$F:$F,0),MATCH(Q$2,英雄装备!$1:$1,0)-3),装备属性!$A:$C,3,0),VLOOKUP(INDEX(英雄装备!$F:$BZ,MATCH($H32,英雄装备!$F:$F,0),MATCH(Q$2,英雄装备!$1:$1,0)-2),装备属性!$A:$C,3,0),VLOOKUP(INDEX(英雄装备!$F:$BZ,MATCH($H32,英雄装备!$F:$F,0),MATCH(Q$2,英雄装备!$1:$1,0)-1),装备属性!$A:$C,3,0),VLOOKUP(INDEX(英雄装备!$F:$BZ,MATCH($H32,英雄装备!$F:$F,0),MATCH(Q$2,英雄装备!$1:$1,0)),装备属性!$A:$C,3,0))</f>
        <v>78</v>
      </c>
      <c r="R32" s="51">
        <f>MAX(VLOOKUP(INDEX(英雄装备!$F:$BZ,MATCH($H32,英雄装备!$F:$F,0),MATCH(R$2,英雄装备!$1:$1,0)-5),装备属性!$A:$C,3,0),VLOOKUP(INDEX(英雄装备!$F:$BZ,MATCH($H32,英雄装备!$F:$F,0),MATCH(R$2,英雄装备!$1:$1,0)-4),装备属性!$A:$C,3,0),VLOOKUP(INDEX(英雄装备!$F:$BZ,MATCH($H32,英雄装备!$F:$F,0),MATCH(R$2,英雄装备!$1:$1,0)-3),装备属性!$A:$C,3,0),VLOOKUP(INDEX(英雄装备!$F:$BZ,MATCH($H32,英雄装备!$F:$F,0),MATCH(R$2,英雄装备!$1:$1,0)-2),装备属性!$A:$C,3,0),VLOOKUP(INDEX(英雄装备!$F:$BZ,MATCH($H32,英雄装备!$F:$F,0),MATCH(R$2,英雄装备!$1:$1,0)-1),装备属性!$A:$C,3,0),VLOOKUP(INDEX(英雄装备!$F:$BZ,MATCH($H32,英雄装备!$F:$F,0),MATCH(R$2,英雄装备!$1:$1,0)),装备属性!$A:$C,3,0))</f>
        <v>80</v>
      </c>
      <c r="S32" s="51">
        <f>MAX(VLOOKUP(INDEX(英雄装备!$F:$BZ,MATCH($H32,英雄装备!$F:$F,0),MATCH(S$2,英雄装备!$1:$1,0)-5),装备属性!$A:$C,3,0),VLOOKUP(INDEX(英雄装备!$F:$BZ,MATCH($H32,英雄装备!$F:$F,0),MATCH(S$2,英雄装备!$1:$1,0)-4),装备属性!$A:$C,3,0),VLOOKUP(INDEX(英雄装备!$F:$BZ,MATCH($H32,英雄装备!$F:$F,0),MATCH(S$2,英雄装备!$1:$1,0)-3),装备属性!$A:$C,3,0),VLOOKUP(INDEX(英雄装备!$F:$BZ,MATCH($H32,英雄装备!$F:$F,0),MATCH(S$2,英雄装备!$1:$1,0)-2),装备属性!$A:$C,3,0),VLOOKUP(INDEX(英雄装备!$F:$BZ,MATCH($H32,英雄装备!$F:$F,0),MATCH(S$2,英雄装备!$1:$1,0)-1),装备属性!$A:$C,3,0),VLOOKUP(INDEX(英雄装备!$F:$BZ,MATCH($H32,英雄装备!$F:$F,0),MATCH(S$2,英雄装备!$1:$1,0)),装备属性!$A:$C,3,0))</f>
        <v>85</v>
      </c>
      <c r="T32" s="51">
        <f>MAX(VLOOKUP(INDEX(英雄装备!$F:$BZ,MATCH($H32,英雄装备!$F:$F,0),MATCH(T$2,英雄装备!$1:$1,0)-5),装备属性!$A:$C,3,0),VLOOKUP(INDEX(英雄装备!$F:$BZ,MATCH($H32,英雄装备!$F:$F,0),MATCH(T$2,英雄装备!$1:$1,0)-4),装备属性!$A:$C,3,0),VLOOKUP(INDEX(英雄装备!$F:$BZ,MATCH($H32,英雄装备!$F:$F,0),MATCH(T$2,英雄装备!$1:$1,0)-3),装备属性!$A:$C,3,0),VLOOKUP(INDEX(英雄装备!$F:$BZ,MATCH($H32,英雄装备!$F:$F,0),MATCH(T$2,英雄装备!$1:$1,0)-2),装备属性!$A:$C,3,0),VLOOKUP(INDEX(英雄装备!$F:$BZ,MATCH($H32,英雄装备!$F:$F,0),MATCH(T$2,英雄装备!$1:$1,0)-1),装备属性!$A:$C,3,0))</f>
        <v>88</v>
      </c>
      <c r="X32" s="151" t="b">
        <f t="shared" si="4"/>
        <v>1</v>
      </c>
      <c r="Y32" s="151" t="b">
        <f t="shared" si="4"/>
        <v>1</v>
      </c>
      <c r="Z32" s="151" t="b">
        <f t="shared" si="4"/>
        <v>1</v>
      </c>
      <c r="AA32" s="151" t="b">
        <f t="shared" si="4"/>
        <v>1</v>
      </c>
      <c r="AB32" s="151" t="b">
        <f t="shared" si="4"/>
        <v>1</v>
      </c>
      <c r="AC32" s="151" t="b">
        <f t="shared" si="4"/>
        <v>1</v>
      </c>
      <c r="AF32" s="151">
        <v>2</v>
      </c>
      <c r="AG32" s="151" t="str">
        <f>AA2</f>
        <v>敏捷系带</v>
      </c>
      <c r="AH32" s="151">
        <f>VLOOKUP($AG32,装备属性!$A:$Y,5,0)</f>
        <v>3</v>
      </c>
      <c r="AI32" s="151">
        <f>VLOOKUP($AG32,装备属性!$A:$Y,6,0)</f>
        <v>6</v>
      </c>
      <c r="AJ32" s="151">
        <f>VLOOKUP($AG32,装备属性!$A:$Y,7,0)</f>
        <v>3</v>
      </c>
      <c r="AK32" s="151">
        <f>VLOOKUP($AG32,装备属性!$A:$Y,8,0)</f>
        <v>0</v>
      </c>
      <c r="AL32" s="151">
        <f>VLOOKUP($AG32,装备属性!$A:$Y,9,0)</f>
        <v>3</v>
      </c>
      <c r="AM32" s="151">
        <f>VLOOKUP($AG32,装备属性!$A:$Y,10,0)</f>
        <v>0</v>
      </c>
      <c r="AN32" s="151">
        <f>VLOOKUP($AG32,装备属性!$A:$Y,11,0)</f>
        <v>0</v>
      </c>
      <c r="AO32" s="151">
        <f>VLOOKUP($AG32,装备属性!$A:$Y,12,0)</f>
        <v>0</v>
      </c>
      <c r="AP32" s="151">
        <f>VLOOKUP($AG32,装备属性!$A:$Y,13,0)</f>
        <v>0</v>
      </c>
      <c r="AQ32" s="151">
        <f>VLOOKUP($AG32,装备属性!$A:$Y,14,0)</f>
        <v>0</v>
      </c>
      <c r="AR32" s="151">
        <f>VLOOKUP($AG32,装备属性!$A:$Y,15,0)</f>
        <v>0</v>
      </c>
      <c r="AS32" s="151">
        <f>VLOOKUP($AG32,装备属性!$A:$Y,16,0)</f>
        <v>0</v>
      </c>
      <c r="AT32" s="151">
        <f>VLOOKUP($AG32,装备属性!$A:$Y,17,0)</f>
        <v>0</v>
      </c>
      <c r="AU32" s="151">
        <f>VLOOKUP($AG32,装备属性!$A:$Y,18,0)</f>
        <v>0</v>
      </c>
      <c r="AV32" s="151">
        <f>VLOOKUP($AG32,装备属性!$A:$Y,19,0)</f>
        <v>0</v>
      </c>
      <c r="AW32" s="151">
        <f>VLOOKUP($AG32,装备属性!$A:$Y,20,0)</f>
        <v>0</v>
      </c>
      <c r="AX32" s="151">
        <f>VLOOKUP($AG32,装备属性!$A:$Y,21,0)</f>
        <v>0</v>
      </c>
      <c r="AY32" s="151">
        <f>VLOOKUP($AG32,装备属性!$A:$Y,22,0)</f>
        <v>0</v>
      </c>
      <c r="AZ32" s="151">
        <f>VLOOKUP($AG32,装备属性!$A:$Y,23,0)</f>
        <v>0</v>
      </c>
      <c r="BA32" s="151">
        <f>VLOOKUP($AG32,装备属性!$A:$Y,24,0)</f>
        <v>0</v>
      </c>
      <c r="BB32" s="151">
        <f>VLOOKUP($AG32,装备属性!$A:$Y,25,0)</f>
        <v>0</v>
      </c>
    </row>
    <row r="33" spans="2:54">
      <c r="B33" s="151" t="str">
        <f>英雄初始!A34</f>
        <v>骨法</v>
      </c>
      <c r="D33" s="153" t="s">
        <v>2117</v>
      </c>
      <c r="H33" s="54" t="s">
        <v>186</v>
      </c>
      <c r="I33" s="51">
        <f>MAX(VLOOKUP(INDEX(英雄装备!$F:$BZ,MATCH($H33,英雄装备!$F:$F,0),MATCH(I$2,英雄装备!$1:$1,0)-5),装备属性!$A:$C,3,0),VLOOKUP(INDEX(英雄装备!$F:$BZ,MATCH($H33,英雄装备!$F:$F,0),MATCH(I$2,英雄装备!$1:$1,0)-4),装备属性!$A:$C,3,0),VLOOKUP(INDEX(英雄装备!$F:$BZ,MATCH($H33,英雄装备!$F:$F,0),MATCH(I$2,英雄装备!$1:$1,0)-3),装备属性!$A:$C,3,0),VLOOKUP(INDEX(英雄装备!$F:$BZ,MATCH($H33,英雄装备!$F:$F,0),MATCH(I$2,英雄装备!$1:$1,0)-2),装备属性!$A:$C,3,0),VLOOKUP(INDEX(英雄装备!$F:$BZ,MATCH($H33,英雄装备!$F:$F,0),MATCH(I$2,英雄装备!$1:$1,0)-1),装备属性!$A:$C,3,0),VLOOKUP(INDEX(英雄装备!$F:$BZ,MATCH($H33,英雄装备!$F:$F,0),MATCH(I$2,英雄装备!$1:$1,0)),装备属性!$A:$C,3,0))</f>
        <v>2</v>
      </c>
      <c r="J33" s="51">
        <f>MAX(VLOOKUP(INDEX(英雄装备!$F:$BZ,MATCH($H33,英雄装备!$F:$F,0),MATCH(J$2,英雄装备!$1:$1,0)-5),装备属性!$A:$C,3,0),VLOOKUP(INDEX(英雄装备!$F:$BZ,MATCH($H33,英雄装备!$F:$F,0),MATCH(J$2,英雄装备!$1:$1,0)-4),装备属性!$A:$C,3,0),VLOOKUP(INDEX(英雄装备!$F:$BZ,MATCH($H33,英雄装备!$F:$F,0),MATCH(J$2,英雄装备!$1:$1,0)-3),装备属性!$A:$C,3,0),VLOOKUP(INDEX(英雄装备!$F:$BZ,MATCH($H33,英雄装备!$F:$F,0),MATCH(J$2,英雄装备!$1:$1,0)-2),装备属性!$A:$C,3,0),VLOOKUP(INDEX(英雄装备!$F:$BZ,MATCH($H33,英雄装备!$F:$F,0),MATCH(J$2,英雄装备!$1:$1,0)-1),装备属性!$A:$C,3,0),VLOOKUP(INDEX(英雄装备!$F:$BZ,MATCH($H33,英雄装备!$F:$F,0),MATCH(J$2,英雄装备!$1:$1,0)),装备属性!$A:$C,3,0))</f>
        <v>10</v>
      </c>
      <c r="K33" s="51">
        <f>MAX(VLOOKUP(INDEX(英雄装备!$F:$BZ,MATCH($H33,英雄装备!$F:$F,0),MATCH(K$2,英雄装备!$1:$1,0)-5),装备属性!$A:$C,3,0),VLOOKUP(INDEX(英雄装备!$F:$BZ,MATCH($H33,英雄装备!$F:$F,0),MATCH(K$2,英雄装备!$1:$1,0)-4),装备属性!$A:$C,3,0),VLOOKUP(INDEX(英雄装备!$F:$BZ,MATCH($H33,英雄装备!$F:$F,0),MATCH(K$2,英雄装备!$1:$1,0)-3),装备属性!$A:$C,3,0),VLOOKUP(INDEX(英雄装备!$F:$BZ,MATCH($H33,英雄装备!$F:$F,0),MATCH(K$2,英雄装备!$1:$1,0)-2),装备属性!$A:$C,3,0),VLOOKUP(INDEX(英雄装备!$F:$BZ,MATCH($H33,英雄装备!$F:$F,0),MATCH(K$2,英雄装备!$1:$1,0)-1),装备属性!$A:$C,3,0),VLOOKUP(INDEX(英雄装备!$F:$BZ,MATCH($H33,英雄装备!$F:$F,0),MATCH(K$2,英雄装备!$1:$1,0)),装备属性!$A:$C,3,0))</f>
        <v>20</v>
      </c>
      <c r="L33" s="51">
        <f>MAX(VLOOKUP(INDEX(英雄装备!$F:$BZ,MATCH($H33,英雄装备!$F:$F,0),MATCH(L$2,英雄装备!$1:$1,0)-5),装备属性!$A:$C,3,0),VLOOKUP(INDEX(英雄装备!$F:$BZ,MATCH($H33,英雄装备!$F:$F,0),MATCH(L$2,英雄装备!$1:$1,0)-4),装备属性!$A:$C,3,0),VLOOKUP(INDEX(英雄装备!$F:$BZ,MATCH($H33,英雄装备!$F:$F,0),MATCH(L$2,英雄装备!$1:$1,0)-3),装备属性!$A:$C,3,0),VLOOKUP(INDEX(英雄装备!$F:$BZ,MATCH($H33,英雄装备!$F:$F,0),MATCH(L$2,英雄装备!$1:$1,0)-2),装备属性!$A:$C,3,0),VLOOKUP(INDEX(英雄装备!$F:$BZ,MATCH($H33,英雄装备!$F:$F,0),MATCH(L$2,英雄装备!$1:$1,0)-1),装备属性!$A:$C,3,0),VLOOKUP(INDEX(英雄装备!$F:$BZ,MATCH($H33,英雄装备!$F:$F,0),MATCH(L$2,英雄装备!$1:$1,0)),装备属性!$A:$C,3,0))</f>
        <v>33</v>
      </c>
      <c r="M33" s="51">
        <f>MAX(VLOOKUP(INDEX(英雄装备!$F:$BZ,MATCH($H33,英雄装备!$F:$F,0),MATCH(M$2,英雄装备!$1:$1,0)-5),装备属性!$A:$C,3,0),VLOOKUP(INDEX(英雄装备!$F:$BZ,MATCH($H33,英雄装备!$F:$F,0),MATCH(M$2,英雄装备!$1:$1,0)-4),装备属性!$A:$C,3,0),VLOOKUP(INDEX(英雄装备!$F:$BZ,MATCH($H33,英雄装备!$F:$F,0),MATCH(M$2,英雄装备!$1:$1,0)-3),装备属性!$A:$C,3,0),VLOOKUP(INDEX(英雄装备!$F:$BZ,MATCH($H33,英雄装备!$F:$F,0),MATCH(M$2,英雄装备!$1:$1,0)-2),装备属性!$A:$C,3,0),VLOOKUP(INDEX(英雄装备!$F:$BZ,MATCH($H33,英雄装备!$F:$F,0),MATCH(M$2,英雄装备!$1:$1,0)-1),装备属性!$A:$C,3,0),VLOOKUP(INDEX(英雄装备!$F:$BZ,MATCH($H33,英雄装备!$F:$F,0),MATCH(M$2,英雄装备!$1:$1,0)),装备属性!$A:$C,3,0))</f>
        <v>42</v>
      </c>
      <c r="N33" s="51">
        <f>MAX(VLOOKUP(INDEX(英雄装备!$F:$BZ,MATCH($H33,英雄装备!$F:$F,0),MATCH(N$2,英雄装备!$1:$1,0)-5),装备属性!$A:$C,3,0),VLOOKUP(INDEX(英雄装备!$F:$BZ,MATCH($H33,英雄装备!$F:$F,0),MATCH(N$2,英雄装备!$1:$1,0)-4),装备属性!$A:$C,3,0),VLOOKUP(INDEX(英雄装备!$F:$BZ,MATCH($H33,英雄装备!$F:$F,0),MATCH(N$2,英雄装备!$1:$1,0)-3),装备属性!$A:$C,3,0),VLOOKUP(INDEX(英雄装备!$F:$BZ,MATCH($H33,英雄装备!$F:$F,0),MATCH(N$2,英雄装备!$1:$1,0)-2),装备属性!$A:$C,3,0),VLOOKUP(INDEX(英雄装备!$F:$BZ,MATCH($H33,英雄装备!$F:$F,0),MATCH(N$2,英雄装备!$1:$1,0)-1),装备属性!$A:$C,3,0),VLOOKUP(INDEX(英雄装备!$F:$BZ,MATCH($H33,英雄装备!$F:$F,0),MATCH(N$2,英雄装备!$1:$1,0)),装备属性!$A:$C,3,0))</f>
        <v>51</v>
      </c>
      <c r="O33" s="51">
        <f>MAX(VLOOKUP(INDEX(英雄装备!$F:$BZ,MATCH($H33,英雄装备!$F:$F,0),MATCH(O$2,英雄装备!$1:$1,0)-5),装备属性!$A:$C,3,0),VLOOKUP(INDEX(英雄装备!$F:$BZ,MATCH($H33,英雄装备!$F:$F,0),MATCH(O$2,英雄装备!$1:$1,0)-4),装备属性!$A:$C,3,0),VLOOKUP(INDEX(英雄装备!$F:$BZ,MATCH($H33,英雄装备!$F:$F,0),MATCH(O$2,英雄装备!$1:$1,0)-3),装备属性!$A:$C,3,0),VLOOKUP(INDEX(英雄装备!$F:$BZ,MATCH($H33,英雄装备!$F:$F,0),MATCH(O$2,英雄装备!$1:$1,0)-2),装备属性!$A:$C,3,0),VLOOKUP(INDEX(英雄装备!$F:$BZ,MATCH($H33,英雄装备!$F:$F,0),MATCH(O$2,英雄装备!$1:$1,0)-1),装备属性!$A:$C,3,0),VLOOKUP(INDEX(英雄装备!$F:$BZ,MATCH($H33,英雄装备!$F:$F,0),MATCH(O$2,英雄装备!$1:$1,0)),装备属性!$A:$C,3,0))</f>
        <v>63</v>
      </c>
      <c r="P33" s="51">
        <f>MAX(VLOOKUP(INDEX(英雄装备!$F:$BZ,MATCH($H33,英雄装备!$F:$F,0),MATCH(P$2,英雄装备!$1:$1,0)-5),装备属性!$A:$C,3,0),VLOOKUP(INDEX(英雄装备!$F:$BZ,MATCH($H33,英雄装备!$F:$F,0),MATCH(P$2,英雄装备!$1:$1,0)-4),装备属性!$A:$C,3,0),VLOOKUP(INDEX(英雄装备!$F:$BZ,MATCH($H33,英雄装备!$F:$F,0),MATCH(P$2,英雄装备!$1:$1,0)-3),装备属性!$A:$C,3,0),VLOOKUP(INDEX(英雄装备!$F:$BZ,MATCH($H33,英雄装备!$F:$F,0),MATCH(P$2,英雄装备!$1:$1,0)-2),装备属性!$A:$C,3,0),VLOOKUP(INDEX(英雄装备!$F:$BZ,MATCH($H33,英雄装备!$F:$F,0),MATCH(P$2,英雄装备!$1:$1,0)-1),装备属性!$A:$C,3,0),VLOOKUP(INDEX(英雄装备!$F:$BZ,MATCH($H33,英雄装备!$F:$F,0),MATCH(P$2,英雄装备!$1:$1,0)),装备属性!$A:$C,3,0))</f>
        <v>70</v>
      </c>
      <c r="Q33" s="51">
        <f>MAX(VLOOKUP(INDEX(英雄装备!$F:$BZ,MATCH($H33,英雄装备!$F:$F,0),MATCH(Q$2,英雄装备!$1:$1,0)-5),装备属性!$A:$C,3,0),VLOOKUP(INDEX(英雄装备!$F:$BZ,MATCH($H33,英雄装备!$F:$F,0),MATCH(Q$2,英雄装备!$1:$1,0)-4),装备属性!$A:$C,3,0),VLOOKUP(INDEX(英雄装备!$F:$BZ,MATCH($H33,英雄装备!$F:$F,0),MATCH(Q$2,英雄装备!$1:$1,0)-3),装备属性!$A:$C,3,0),VLOOKUP(INDEX(英雄装备!$F:$BZ,MATCH($H33,英雄装备!$F:$F,0),MATCH(Q$2,英雄装备!$1:$1,0)-2),装备属性!$A:$C,3,0),VLOOKUP(INDEX(英雄装备!$F:$BZ,MATCH($H33,英雄装备!$F:$F,0),MATCH(Q$2,英雄装备!$1:$1,0)-1),装备属性!$A:$C,3,0),VLOOKUP(INDEX(英雄装备!$F:$BZ,MATCH($H33,英雄装备!$F:$F,0),MATCH(Q$2,英雄装备!$1:$1,0)),装备属性!$A:$C,3,0))</f>
        <v>80</v>
      </c>
      <c r="R33" s="51">
        <f>MAX(VLOOKUP(INDEX(英雄装备!$F:$BZ,MATCH($H33,英雄装备!$F:$F,0),MATCH(R$2,英雄装备!$1:$1,0)-5),装备属性!$A:$C,3,0),VLOOKUP(INDEX(英雄装备!$F:$BZ,MATCH($H33,英雄装备!$F:$F,0),MATCH(R$2,英雄装备!$1:$1,0)-4),装备属性!$A:$C,3,0),VLOOKUP(INDEX(英雄装备!$F:$BZ,MATCH($H33,英雄装备!$F:$F,0),MATCH(R$2,英雄装备!$1:$1,0)-3),装备属性!$A:$C,3,0),VLOOKUP(INDEX(英雄装备!$F:$BZ,MATCH($H33,英雄装备!$F:$F,0),MATCH(R$2,英雄装备!$1:$1,0)-2),装备属性!$A:$C,3,0),VLOOKUP(INDEX(英雄装备!$F:$BZ,MATCH($H33,英雄装备!$F:$F,0),MATCH(R$2,英雄装备!$1:$1,0)-1),装备属性!$A:$C,3,0),VLOOKUP(INDEX(英雄装备!$F:$BZ,MATCH($H33,英雄装备!$F:$F,0),MATCH(R$2,英雄装备!$1:$1,0)),装备属性!$A:$C,3,0))</f>
        <v>80</v>
      </c>
      <c r="S33" s="51">
        <f>MAX(VLOOKUP(INDEX(英雄装备!$F:$BZ,MATCH($H33,英雄装备!$F:$F,0),MATCH(S$2,英雄装备!$1:$1,0)-5),装备属性!$A:$C,3,0),VLOOKUP(INDEX(英雄装备!$F:$BZ,MATCH($H33,英雄装备!$F:$F,0),MATCH(S$2,英雄装备!$1:$1,0)-4),装备属性!$A:$C,3,0),VLOOKUP(INDEX(英雄装备!$F:$BZ,MATCH($H33,英雄装备!$F:$F,0),MATCH(S$2,英雄装备!$1:$1,0)-3),装备属性!$A:$C,3,0),VLOOKUP(INDEX(英雄装备!$F:$BZ,MATCH($H33,英雄装备!$F:$F,0),MATCH(S$2,英雄装备!$1:$1,0)-2),装备属性!$A:$C,3,0),VLOOKUP(INDEX(英雄装备!$F:$BZ,MATCH($H33,英雄装备!$F:$F,0),MATCH(S$2,英雄装备!$1:$1,0)-1),装备属性!$A:$C,3,0),VLOOKUP(INDEX(英雄装备!$F:$BZ,MATCH($H33,英雄装备!$F:$F,0),MATCH(S$2,英雄装备!$1:$1,0)),装备属性!$A:$C,3,0))</f>
        <v>85</v>
      </c>
      <c r="T33" s="51">
        <f>MAX(VLOOKUP(INDEX(英雄装备!$F:$BZ,MATCH($H33,英雄装备!$F:$F,0),MATCH(T$2,英雄装备!$1:$1,0)-5),装备属性!$A:$C,3,0),VLOOKUP(INDEX(英雄装备!$F:$BZ,MATCH($H33,英雄装备!$F:$F,0),MATCH(T$2,英雄装备!$1:$1,0)-4),装备属性!$A:$C,3,0),VLOOKUP(INDEX(英雄装备!$F:$BZ,MATCH($H33,英雄装备!$F:$F,0),MATCH(T$2,英雄装备!$1:$1,0)-3),装备属性!$A:$C,3,0),VLOOKUP(INDEX(英雄装备!$F:$BZ,MATCH($H33,英雄装备!$F:$F,0),MATCH(T$2,英雄装备!$1:$1,0)-2),装备属性!$A:$C,3,0),VLOOKUP(INDEX(英雄装备!$F:$BZ,MATCH($H33,英雄装备!$F:$F,0),MATCH(T$2,英雄装备!$1:$1,0)-1),装备属性!$A:$C,3,0))</f>
        <v>87</v>
      </c>
      <c r="X33" s="151" t="b">
        <f t="shared" si="4"/>
        <v>1</v>
      </c>
      <c r="Y33" s="151" t="b">
        <f t="shared" si="4"/>
        <v>1</v>
      </c>
      <c r="Z33" s="151" t="b">
        <f t="shared" si="4"/>
        <v>1</v>
      </c>
      <c r="AA33" s="151" t="b">
        <f t="shared" si="4"/>
        <v>1</v>
      </c>
      <c r="AB33" s="151" t="b">
        <f t="shared" si="4"/>
        <v>1</v>
      </c>
      <c r="AC33" s="151" t="b">
        <f t="shared" si="4"/>
        <v>1</v>
      </c>
      <c r="AF33" s="151">
        <v>2</v>
      </c>
      <c r="AG33" s="151" t="str">
        <f>AB2</f>
        <v>补刀斧</v>
      </c>
      <c r="AH33" s="151">
        <f>VLOOKUP($AG33,装备属性!$A:$Y,5,0)</f>
        <v>0</v>
      </c>
      <c r="AI33" s="151">
        <f>VLOOKUP($AG33,装备属性!$A:$Y,6,0)</f>
        <v>0</v>
      </c>
      <c r="AJ33" s="151">
        <f>VLOOKUP($AG33,装备属性!$A:$Y,7,0)</f>
        <v>0</v>
      </c>
      <c r="AK33" s="151">
        <f>VLOOKUP($AG33,装备属性!$A:$Y,8,0)</f>
        <v>0</v>
      </c>
      <c r="AL33" s="151">
        <f>VLOOKUP($AG33,装备属性!$A:$Y,9,0)</f>
        <v>6</v>
      </c>
      <c r="AM33" s="151">
        <f>VLOOKUP($AG33,装备属性!$A:$Y,10,0)</f>
        <v>0</v>
      </c>
      <c r="AN33" s="151">
        <f>VLOOKUP($AG33,装备属性!$A:$Y,11,0)</f>
        <v>0</v>
      </c>
      <c r="AO33" s="151">
        <f>VLOOKUP($AG33,装备属性!$A:$Y,12,0)</f>
        <v>0</v>
      </c>
      <c r="AP33" s="151">
        <f>VLOOKUP($AG33,装备属性!$A:$Y,13,0)</f>
        <v>0</v>
      </c>
      <c r="AQ33" s="151">
        <f>VLOOKUP($AG33,装备属性!$A:$Y,14,0)</f>
        <v>0</v>
      </c>
      <c r="AR33" s="151">
        <f>VLOOKUP($AG33,装备属性!$A:$Y,15,0)</f>
        <v>0</v>
      </c>
      <c r="AS33" s="151">
        <f>VLOOKUP($AG33,装备属性!$A:$Y,16,0)</f>
        <v>0</v>
      </c>
      <c r="AT33" s="151">
        <f>VLOOKUP($AG33,装备属性!$A:$Y,17,0)</f>
        <v>0</v>
      </c>
      <c r="AU33" s="151">
        <f>VLOOKUP($AG33,装备属性!$A:$Y,18,0)</f>
        <v>0</v>
      </c>
      <c r="AV33" s="151">
        <f>VLOOKUP($AG33,装备属性!$A:$Y,19,0)</f>
        <v>0</v>
      </c>
      <c r="AW33" s="151">
        <f>VLOOKUP($AG33,装备属性!$A:$Y,20,0)</f>
        <v>0</v>
      </c>
      <c r="AX33" s="151">
        <f>VLOOKUP($AG33,装备属性!$A:$Y,21,0)</f>
        <v>0</v>
      </c>
      <c r="AY33" s="151">
        <f>VLOOKUP($AG33,装备属性!$A:$Y,22,0)</f>
        <v>0</v>
      </c>
      <c r="AZ33" s="151">
        <f>VLOOKUP($AG33,装备属性!$A:$Y,23,0)</f>
        <v>0</v>
      </c>
      <c r="BA33" s="151">
        <f>VLOOKUP($AG33,装备属性!$A:$Y,24,0)</f>
        <v>0</v>
      </c>
      <c r="BB33" s="151">
        <f>VLOOKUP($AG33,装备属性!$A:$Y,25,0)</f>
        <v>0</v>
      </c>
    </row>
    <row r="34" spans="2:54">
      <c r="B34" s="151" t="str">
        <f>英雄初始!A35</f>
        <v>光法</v>
      </c>
      <c r="D34" s="153" t="s">
        <v>2125</v>
      </c>
      <c r="H34" s="54" t="s">
        <v>187</v>
      </c>
      <c r="I34" s="51">
        <f>MAX(VLOOKUP(INDEX(英雄装备!$F:$BZ,MATCH($H34,英雄装备!$F:$F,0),MATCH(I$2,英雄装备!$1:$1,0)-5),装备属性!$A:$C,3,0),VLOOKUP(INDEX(英雄装备!$F:$BZ,MATCH($H34,英雄装备!$F:$F,0),MATCH(I$2,英雄装备!$1:$1,0)-4),装备属性!$A:$C,3,0),VLOOKUP(INDEX(英雄装备!$F:$BZ,MATCH($H34,英雄装备!$F:$F,0),MATCH(I$2,英雄装备!$1:$1,0)-3),装备属性!$A:$C,3,0),VLOOKUP(INDEX(英雄装备!$F:$BZ,MATCH($H34,英雄装备!$F:$F,0),MATCH(I$2,英雄装备!$1:$1,0)-2),装备属性!$A:$C,3,0),VLOOKUP(INDEX(英雄装备!$F:$BZ,MATCH($H34,英雄装备!$F:$F,0),MATCH(I$2,英雄装备!$1:$1,0)-1),装备属性!$A:$C,3,0),VLOOKUP(INDEX(英雄装备!$F:$BZ,MATCH($H34,英雄装备!$F:$F,0),MATCH(I$2,英雄装备!$1:$1,0)),装备属性!$A:$C,3,0))</f>
        <v>2</v>
      </c>
      <c r="J34" s="51">
        <f>MAX(VLOOKUP(INDEX(英雄装备!$F:$BZ,MATCH($H34,英雄装备!$F:$F,0),MATCH(J$2,英雄装备!$1:$1,0)-5),装备属性!$A:$C,3,0),VLOOKUP(INDEX(英雄装备!$F:$BZ,MATCH($H34,英雄装备!$F:$F,0),MATCH(J$2,英雄装备!$1:$1,0)-4),装备属性!$A:$C,3,0),VLOOKUP(INDEX(英雄装备!$F:$BZ,MATCH($H34,英雄装备!$F:$F,0),MATCH(J$2,英雄装备!$1:$1,0)-3),装备属性!$A:$C,3,0),VLOOKUP(INDEX(英雄装备!$F:$BZ,MATCH($H34,英雄装备!$F:$F,0),MATCH(J$2,英雄装备!$1:$1,0)-2),装备属性!$A:$C,3,0),VLOOKUP(INDEX(英雄装备!$F:$BZ,MATCH($H34,英雄装备!$F:$F,0),MATCH(J$2,英雄装备!$1:$1,0)-1),装备属性!$A:$C,3,0),VLOOKUP(INDEX(英雄装备!$F:$BZ,MATCH($H34,英雄装备!$F:$F,0),MATCH(J$2,英雄装备!$1:$1,0)),装备属性!$A:$C,3,0))</f>
        <v>10</v>
      </c>
      <c r="K34" s="51">
        <f>MAX(VLOOKUP(INDEX(英雄装备!$F:$BZ,MATCH($H34,英雄装备!$F:$F,0),MATCH(K$2,英雄装备!$1:$1,0)-5),装备属性!$A:$C,3,0),VLOOKUP(INDEX(英雄装备!$F:$BZ,MATCH($H34,英雄装备!$F:$F,0),MATCH(K$2,英雄装备!$1:$1,0)-4),装备属性!$A:$C,3,0),VLOOKUP(INDEX(英雄装备!$F:$BZ,MATCH($H34,英雄装备!$F:$F,0),MATCH(K$2,英雄装备!$1:$1,0)-3),装备属性!$A:$C,3,0),VLOOKUP(INDEX(英雄装备!$F:$BZ,MATCH($H34,英雄装备!$F:$F,0),MATCH(K$2,英雄装备!$1:$1,0)-2),装备属性!$A:$C,3,0),VLOOKUP(INDEX(英雄装备!$F:$BZ,MATCH($H34,英雄装备!$F:$F,0),MATCH(K$2,英雄装备!$1:$1,0)-1),装备属性!$A:$C,3,0),VLOOKUP(INDEX(英雄装备!$F:$BZ,MATCH($H34,英雄装备!$F:$F,0),MATCH(K$2,英雄装备!$1:$1,0)),装备属性!$A:$C,3,0))</f>
        <v>24</v>
      </c>
      <c r="L34" s="51">
        <f>MAX(VLOOKUP(INDEX(英雄装备!$F:$BZ,MATCH($H34,英雄装备!$F:$F,0),MATCH(L$2,英雄装备!$1:$1,0)-5),装备属性!$A:$C,3,0),VLOOKUP(INDEX(英雄装备!$F:$BZ,MATCH($H34,英雄装备!$F:$F,0),MATCH(L$2,英雄装备!$1:$1,0)-4),装备属性!$A:$C,3,0),VLOOKUP(INDEX(英雄装备!$F:$BZ,MATCH($H34,英雄装备!$F:$F,0),MATCH(L$2,英雄装备!$1:$1,0)-3),装备属性!$A:$C,3,0),VLOOKUP(INDEX(英雄装备!$F:$BZ,MATCH($H34,英雄装备!$F:$F,0),MATCH(L$2,英雄装备!$1:$1,0)-2),装备属性!$A:$C,3,0),VLOOKUP(INDEX(英雄装备!$F:$BZ,MATCH($H34,英雄装备!$F:$F,0),MATCH(L$2,英雄装备!$1:$1,0)-1),装备属性!$A:$C,3,0),VLOOKUP(INDEX(英雄装备!$F:$BZ,MATCH($H34,英雄装备!$F:$F,0),MATCH(L$2,英雄装备!$1:$1,0)),装备属性!$A:$C,3,0))</f>
        <v>24</v>
      </c>
      <c r="M34" s="51">
        <f>MAX(VLOOKUP(INDEX(英雄装备!$F:$BZ,MATCH($H34,英雄装备!$F:$F,0),MATCH(M$2,英雄装备!$1:$1,0)-5),装备属性!$A:$C,3,0),VLOOKUP(INDEX(英雄装备!$F:$BZ,MATCH($H34,英雄装备!$F:$F,0),MATCH(M$2,英雄装备!$1:$1,0)-4),装备属性!$A:$C,3,0),VLOOKUP(INDEX(英雄装备!$F:$BZ,MATCH($H34,英雄装备!$F:$F,0),MATCH(M$2,英雄装备!$1:$1,0)-3),装备属性!$A:$C,3,0),VLOOKUP(INDEX(英雄装备!$F:$BZ,MATCH($H34,英雄装备!$F:$F,0),MATCH(M$2,英雄装备!$1:$1,0)-2),装备属性!$A:$C,3,0),VLOOKUP(INDEX(英雄装备!$F:$BZ,MATCH($H34,英雄装备!$F:$F,0),MATCH(M$2,英雄装备!$1:$1,0)-1),装备属性!$A:$C,3,0),VLOOKUP(INDEX(英雄装备!$F:$BZ,MATCH($H34,英雄装备!$F:$F,0),MATCH(M$2,英雄装备!$1:$1,0)),装备属性!$A:$C,3,0))</f>
        <v>42</v>
      </c>
      <c r="N34" s="51">
        <f>MAX(VLOOKUP(INDEX(英雄装备!$F:$BZ,MATCH($H34,英雄装备!$F:$F,0),MATCH(N$2,英雄装备!$1:$1,0)-5),装备属性!$A:$C,3,0),VLOOKUP(INDEX(英雄装备!$F:$BZ,MATCH($H34,英雄装备!$F:$F,0),MATCH(N$2,英雄装备!$1:$1,0)-4),装备属性!$A:$C,3,0),VLOOKUP(INDEX(英雄装备!$F:$BZ,MATCH($H34,英雄装备!$F:$F,0),MATCH(N$2,英雄装备!$1:$1,0)-3),装备属性!$A:$C,3,0),VLOOKUP(INDEX(英雄装备!$F:$BZ,MATCH($H34,英雄装备!$F:$F,0),MATCH(N$2,英雄装备!$1:$1,0)-2),装备属性!$A:$C,3,0),VLOOKUP(INDEX(英雄装备!$F:$BZ,MATCH($H34,英雄装备!$F:$F,0),MATCH(N$2,英雄装备!$1:$1,0)-1),装备属性!$A:$C,3,0),VLOOKUP(INDEX(英雄装备!$F:$BZ,MATCH($H34,英雄装备!$F:$F,0),MATCH(N$2,英雄装备!$1:$1,0)),装备属性!$A:$C,3,0))</f>
        <v>51</v>
      </c>
      <c r="O34" s="51">
        <f>MAX(VLOOKUP(INDEX(英雄装备!$F:$BZ,MATCH($H34,英雄装备!$F:$F,0),MATCH(O$2,英雄装备!$1:$1,0)-5),装备属性!$A:$C,3,0),VLOOKUP(INDEX(英雄装备!$F:$BZ,MATCH($H34,英雄装备!$F:$F,0),MATCH(O$2,英雄装备!$1:$1,0)-4),装备属性!$A:$C,3,0),VLOOKUP(INDEX(英雄装备!$F:$BZ,MATCH($H34,英雄装备!$F:$F,0),MATCH(O$2,英雄装备!$1:$1,0)-3),装备属性!$A:$C,3,0),VLOOKUP(INDEX(英雄装备!$F:$BZ,MATCH($H34,英雄装备!$F:$F,0),MATCH(O$2,英雄装备!$1:$1,0)-2),装备属性!$A:$C,3,0),VLOOKUP(INDEX(英雄装备!$F:$BZ,MATCH($H34,英雄装备!$F:$F,0),MATCH(O$2,英雄装备!$1:$1,0)-1),装备属性!$A:$C,3,0),VLOOKUP(INDEX(英雄装备!$F:$BZ,MATCH($H34,英雄装备!$F:$F,0),MATCH(O$2,英雄装备!$1:$1,0)),装备属性!$A:$C,3,0))</f>
        <v>59</v>
      </c>
      <c r="P34" s="51">
        <f>MAX(VLOOKUP(INDEX(英雄装备!$F:$BZ,MATCH($H34,英雄装备!$F:$F,0),MATCH(P$2,英雄装备!$1:$1,0)-5),装备属性!$A:$C,3,0),VLOOKUP(INDEX(英雄装备!$F:$BZ,MATCH($H34,英雄装备!$F:$F,0),MATCH(P$2,英雄装备!$1:$1,0)-4),装备属性!$A:$C,3,0),VLOOKUP(INDEX(英雄装备!$F:$BZ,MATCH($H34,英雄装备!$F:$F,0),MATCH(P$2,英雄装备!$1:$1,0)-3),装备属性!$A:$C,3,0),VLOOKUP(INDEX(英雄装备!$F:$BZ,MATCH($H34,英雄装备!$F:$F,0),MATCH(P$2,英雄装备!$1:$1,0)-2),装备属性!$A:$C,3,0),VLOOKUP(INDEX(英雄装备!$F:$BZ,MATCH($H34,英雄装备!$F:$F,0),MATCH(P$2,英雄装备!$1:$1,0)-1),装备属性!$A:$C,3,0),VLOOKUP(INDEX(英雄装备!$F:$BZ,MATCH($H34,英雄装备!$F:$F,0),MATCH(P$2,英雄装备!$1:$1,0)),装备属性!$A:$C,3,0))</f>
        <v>70</v>
      </c>
      <c r="Q34" s="51">
        <f>MAX(VLOOKUP(INDEX(英雄装备!$F:$BZ,MATCH($H34,英雄装备!$F:$F,0),MATCH(Q$2,英雄装备!$1:$1,0)-5),装备属性!$A:$C,3,0),VLOOKUP(INDEX(英雄装备!$F:$BZ,MATCH($H34,英雄装备!$F:$F,0),MATCH(Q$2,英雄装备!$1:$1,0)-4),装备属性!$A:$C,3,0),VLOOKUP(INDEX(英雄装备!$F:$BZ,MATCH($H34,英雄装备!$F:$F,0),MATCH(Q$2,英雄装备!$1:$1,0)-3),装备属性!$A:$C,3,0),VLOOKUP(INDEX(英雄装备!$F:$BZ,MATCH($H34,英雄装备!$F:$F,0),MATCH(Q$2,英雄装备!$1:$1,0)-2),装备属性!$A:$C,3,0),VLOOKUP(INDEX(英雄装备!$F:$BZ,MATCH($H34,英雄装备!$F:$F,0),MATCH(Q$2,英雄装备!$1:$1,0)-1),装备属性!$A:$C,3,0),VLOOKUP(INDEX(英雄装备!$F:$BZ,MATCH($H34,英雄装备!$F:$F,0),MATCH(Q$2,英雄装备!$1:$1,0)),装备属性!$A:$C,3,0))</f>
        <v>78</v>
      </c>
      <c r="R34" s="51">
        <f>MAX(VLOOKUP(INDEX(英雄装备!$F:$BZ,MATCH($H34,英雄装备!$F:$F,0),MATCH(R$2,英雄装备!$1:$1,0)-5),装备属性!$A:$C,3,0),VLOOKUP(INDEX(英雄装备!$F:$BZ,MATCH($H34,英雄装备!$F:$F,0),MATCH(R$2,英雄装备!$1:$1,0)-4),装备属性!$A:$C,3,0),VLOOKUP(INDEX(英雄装备!$F:$BZ,MATCH($H34,英雄装备!$F:$F,0),MATCH(R$2,英雄装备!$1:$1,0)-3),装备属性!$A:$C,3,0),VLOOKUP(INDEX(英雄装备!$F:$BZ,MATCH($H34,英雄装备!$F:$F,0),MATCH(R$2,英雄装备!$1:$1,0)-2),装备属性!$A:$C,3,0),VLOOKUP(INDEX(英雄装备!$F:$BZ,MATCH($H34,英雄装备!$F:$F,0),MATCH(R$2,英雄装备!$1:$1,0)-1),装备属性!$A:$C,3,0),VLOOKUP(INDEX(英雄装备!$F:$BZ,MATCH($H34,英雄装备!$F:$F,0),MATCH(R$2,英雄装备!$1:$1,0)),装备属性!$A:$C,3,0))</f>
        <v>79</v>
      </c>
      <c r="S34" s="51">
        <f>MAX(VLOOKUP(INDEX(英雄装备!$F:$BZ,MATCH($H34,英雄装备!$F:$F,0),MATCH(S$2,英雄装备!$1:$1,0)-5),装备属性!$A:$C,3,0),VLOOKUP(INDEX(英雄装备!$F:$BZ,MATCH($H34,英雄装备!$F:$F,0),MATCH(S$2,英雄装备!$1:$1,0)-4),装备属性!$A:$C,3,0),VLOOKUP(INDEX(英雄装备!$F:$BZ,MATCH($H34,英雄装备!$F:$F,0),MATCH(S$2,英雄装备!$1:$1,0)-3),装备属性!$A:$C,3,0),VLOOKUP(INDEX(英雄装备!$F:$BZ,MATCH($H34,英雄装备!$F:$F,0),MATCH(S$2,英雄装备!$1:$1,0)-2),装备属性!$A:$C,3,0),VLOOKUP(INDEX(英雄装备!$F:$BZ,MATCH($H34,英雄装备!$F:$F,0),MATCH(S$2,英雄装备!$1:$1,0)-1),装备属性!$A:$C,3,0),VLOOKUP(INDEX(英雄装备!$F:$BZ,MATCH($H34,英雄装备!$F:$F,0),MATCH(S$2,英雄装备!$1:$1,0)),装备属性!$A:$C,3,0))</f>
        <v>85</v>
      </c>
      <c r="T34" s="51">
        <f>MAX(VLOOKUP(INDEX(英雄装备!$F:$BZ,MATCH($H34,英雄装备!$F:$F,0),MATCH(T$2,英雄装备!$1:$1,0)-5),装备属性!$A:$C,3,0),VLOOKUP(INDEX(英雄装备!$F:$BZ,MATCH($H34,英雄装备!$F:$F,0),MATCH(T$2,英雄装备!$1:$1,0)-4),装备属性!$A:$C,3,0),VLOOKUP(INDEX(英雄装备!$F:$BZ,MATCH($H34,英雄装备!$F:$F,0),MATCH(T$2,英雄装备!$1:$1,0)-3),装备属性!$A:$C,3,0),VLOOKUP(INDEX(英雄装备!$F:$BZ,MATCH($H34,英雄装备!$F:$F,0),MATCH(T$2,英雄装备!$1:$1,0)-2),装备属性!$A:$C,3,0),VLOOKUP(INDEX(英雄装备!$F:$BZ,MATCH($H34,英雄装备!$F:$F,0),MATCH(T$2,英雄装备!$1:$1,0)-1),装备属性!$A:$C,3,0))</f>
        <v>89</v>
      </c>
      <c r="X34" s="151" t="b">
        <f t="shared" si="4"/>
        <v>1</v>
      </c>
      <c r="Y34" s="151" t="b">
        <f t="shared" si="4"/>
        <v>1</v>
      </c>
      <c r="Z34" s="151" t="b">
        <f t="shared" si="4"/>
        <v>1</v>
      </c>
      <c r="AA34" s="151" t="b">
        <f t="shared" si="4"/>
        <v>1</v>
      </c>
      <c r="AB34" s="151" t="b">
        <f t="shared" si="4"/>
        <v>1</v>
      </c>
      <c r="AC34" s="151" t="b">
        <f t="shared" si="4"/>
        <v>1</v>
      </c>
      <c r="AF34" s="151">
        <v>2</v>
      </c>
      <c r="AG34" s="151" t="str">
        <f>AC2</f>
        <v>鞋</v>
      </c>
      <c r="AH34" s="151">
        <f>VLOOKUP($AG34,装备属性!$A:$Y,5,0)</f>
        <v>5</v>
      </c>
      <c r="AI34" s="151">
        <f>VLOOKUP($AG34,装备属性!$A:$Y,6,0)</f>
        <v>5</v>
      </c>
      <c r="AJ34" s="151">
        <f>VLOOKUP($AG34,装备属性!$A:$Y,7,0)</f>
        <v>5</v>
      </c>
      <c r="AK34" s="151">
        <f>VLOOKUP($AG34,装备属性!$A:$Y,8,0)</f>
        <v>0</v>
      </c>
      <c r="AL34" s="151">
        <f>VLOOKUP($AG34,装备属性!$A:$Y,9,0)</f>
        <v>0</v>
      </c>
      <c r="AM34" s="151">
        <f>VLOOKUP($AG34,装备属性!$A:$Y,10,0)</f>
        <v>0</v>
      </c>
      <c r="AN34" s="151">
        <f>VLOOKUP($AG34,装备属性!$A:$Y,11,0)</f>
        <v>0</v>
      </c>
      <c r="AO34" s="151">
        <f>VLOOKUP($AG34,装备属性!$A:$Y,12,0)</f>
        <v>0</v>
      </c>
      <c r="AP34" s="151">
        <f>VLOOKUP($AG34,装备属性!$A:$Y,13,0)</f>
        <v>0</v>
      </c>
      <c r="AQ34" s="151">
        <f>VLOOKUP($AG34,装备属性!$A:$Y,14,0)</f>
        <v>0</v>
      </c>
      <c r="AR34" s="151">
        <f>VLOOKUP($AG34,装备属性!$A:$Y,15,0)</f>
        <v>0</v>
      </c>
      <c r="AS34" s="151">
        <f>VLOOKUP($AG34,装备属性!$A:$Y,16,0)</f>
        <v>0</v>
      </c>
      <c r="AT34" s="151">
        <f>VLOOKUP($AG34,装备属性!$A:$Y,17,0)</f>
        <v>0</v>
      </c>
      <c r="AU34" s="151">
        <f>VLOOKUP($AG34,装备属性!$A:$Y,18,0)</f>
        <v>0</v>
      </c>
      <c r="AV34" s="151">
        <f>VLOOKUP($AG34,装备属性!$A:$Y,19,0)</f>
        <v>0</v>
      </c>
      <c r="AW34" s="151">
        <f>VLOOKUP($AG34,装备属性!$A:$Y,20,0)</f>
        <v>0</v>
      </c>
      <c r="AX34" s="151">
        <f>VLOOKUP($AG34,装备属性!$A:$Y,21,0)</f>
        <v>0</v>
      </c>
      <c r="AY34" s="151">
        <f>VLOOKUP($AG34,装备属性!$A:$Y,22,0)</f>
        <v>0</v>
      </c>
      <c r="AZ34" s="151">
        <f>VLOOKUP($AG34,装备属性!$A:$Y,23,0)</f>
        <v>0</v>
      </c>
      <c r="BA34" s="151">
        <f>VLOOKUP($AG34,装备属性!$A:$Y,24,0)</f>
        <v>0</v>
      </c>
      <c r="BB34" s="151">
        <f>VLOOKUP($AG34,装备属性!$A:$Y,25,0)</f>
        <v>0</v>
      </c>
    </row>
    <row r="35" spans="2:54">
      <c r="B35" s="151" t="str">
        <f>英雄初始!A36</f>
        <v>黑鸟</v>
      </c>
      <c r="H35" s="54" t="s">
        <v>188</v>
      </c>
      <c r="I35" s="51">
        <f>MAX(VLOOKUP(INDEX(英雄装备!$F:$BZ,MATCH($H35,英雄装备!$F:$F,0),MATCH(I$2,英雄装备!$1:$1,0)-5),装备属性!$A:$C,3,0),VLOOKUP(INDEX(英雄装备!$F:$BZ,MATCH($H35,英雄装备!$F:$F,0),MATCH(I$2,英雄装备!$1:$1,0)-4),装备属性!$A:$C,3,0),VLOOKUP(INDEX(英雄装备!$F:$BZ,MATCH($H35,英雄装备!$F:$F,0),MATCH(I$2,英雄装备!$1:$1,0)-3),装备属性!$A:$C,3,0),VLOOKUP(INDEX(英雄装备!$F:$BZ,MATCH($H35,英雄装备!$F:$F,0),MATCH(I$2,英雄装备!$1:$1,0)-2),装备属性!$A:$C,3,0),VLOOKUP(INDEX(英雄装备!$F:$BZ,MATCH($H35,英雄装备!$F:$F,0),MATCH(I$2,英雄装备!$1:$1,0)-1),装备属性!$A:$C,3,0),VLOOKUP(INDEX(英雄装备!$F:$BZ,MATCH($H35,英雄装备!$F:$F,0),MATCH(I$2,英雄装备!$1:$1,0)),装备属性!$A:$C,3,0))</f>
        <v>2</v>
      </c>
      <c r="J35" s="51">
        <f>MAX(VLOOKUP(INDEX(英雄装备!$F:$BZ,MATCH($H35,英雄装备!$F:$F,0),MATCH(J$2,英雄装备!$1:$1,0)-5),装备属性!$A:$C,3,0),VLOOKUP(INDEX(英雄装备!$F:$BZ,MATCH($H35,英雄装备!$F:$F,0),MATCH(J$2,英雄装备!$1:$1,0)-4),装备属性!$A:$C,3,0),VLOOKUP(INDEX(英雄装备!$F:$BZ,MATCH($H35,英雄装备!$F:$F,0),MATCH(J$2,英雄装备!$1:$1,0)-3),装备属性!$A:$C,3,0),VLOOKUP(INDEX(英雄装备!$F:$BZ,MATCH($H35,英雄装备!$F:$F,0),MATCH(J$2,英雄装备!$1:$1,0)-2),装备属性!$A:$C,3,0),VLOOKUP(INDEX(英雄装备!$F:$BZ,MATCH($H35,英雄装备!$F:$F,0),MATCH(J$2,英雄装备!$1:$1,0)-1),装备属性!$A:$C,3,0),VLOOKUP(INDEX(英雄装备!$F:$BZ,MATCH($H35,英雄装备!$F:$F,0),MATCH(J$2,英雄装备!$1:$1,0)),装备属性!$A:$C,3,0))</f>
        <v>10</v>
      </c>
      <c r="K35" s="51">
        <f>MAX(VLOOKUP(INDEX(英雄装备!$F:$BZ,MATCH($H35,英雄装备!$F:$F,0),MATCH(K$2,英雄装备!$1:$1,0)-5),装备属性!$A:$C,3,0),VLOOKUP(INDEX(英雄装备!$F:$BZ,MATCH($H35,英雄装备!$F:$F,0),MATCH(K$2,英雄装备!$1:$1,0)-4),装备属性!$A:$C,3,0),VLOOKUP(INDEX(英雄装备!$F:$BZ,MATCH($H35,英雄装备!$F:$F,0),MATCH(K$2,英雄装备!$1:$1,0)-3),装备属性!$A:$C,3,0),VLOOKUP(INDEX(英雄装备!$F:$BZ,MATCH($H35,英雄装备!$F:$F,0),MATCH(K$2,英雄装备!$1:$1,0)-2),装备属性!$A:$C,3,0),VLOOKUP(INDEX(英雄装备!$F:$BZ,MATCH($H35,英雄装备!$F:$F,0),MATCH(K$2,英雄装备!$1:$1,0)-1),装备属性!$A:$C,3,0),VLOOKUP(INDEX(英雄装备!$F:$BZ,MATCH($H35,英雄装备!$F:$F,0),MATCH(K$2,英雄装备!$1:$1,0)),装备属性!$A:$C,3,0))</f>
        <v>24</v>
      </c>
      <c r="L35" s="51">
        <f>MAX(VLOOKUP(INDEX(英雄装备!$F:$BZ,MATCH($H35,英雄装备!$F:$F,0),MATCH(L$2,英雄装备!$1:$1,0)-5),装备属性!$A:$C,3,0),VLOOKUP(INDEX(英雄装备!$F:$BZ,MATCH($H35,英雄装备!$F:$F,0),MATCH(L$2,英雄装备!$1:$1,0)-4),装备属性!$A:$C,3,0),VLOOKUP(INDEX(英雄装备!$F:$BZ,MATCH($H35,英雄装备!$F:$F,0),MATCH(L$2,英雄装备!$1:$1,0)-3),装备属性!$A:$C,3,0),VLOOKUP(INDEX(英雄装备!$F:$BZ,MATCH($H35,英雄装备!$F:$F,0),MATCH(L$2,英雄装备!$1:$1,0)-2),装备属性!$A:$C,3,0),VLOOKUP(INDEX(英雄装备!$F:$BZ,MATCH($H35,英雄装备!$F:$F,0),MATCH(L$2,英雄装备!$1:$1,0)-1),装备属性!$A:$C,3,0),VLOOKUP(INDEX(英雄装备!$F:$BZ,MATCH($H35,英雄装备!$F:$F,0),MATCH(L$2,英雄装备!$1:$1,0)),装备属性!$A:$C,3,0))</f>
        <v>33</v>
      </c>
      <c r="M35" s="51">
        <f>MAX(VLOOKUP(INDEX(英雄装备!$F:$BZ,MATCH($H35,英雄装备!$F:$F,0),MATCH(M$2,英雄装备!$1:$1,0)-5),装备属性!$A:$C,3,0),VLOOKUP(INDEX(英雄装备!$F:$BZ,MATCH($H35,英雄装备!$F:$F,0),MATCH(M$2,英雄装备!$1:$1,0)-4),装备属性!$A:$C,3,0),VLOOKUP(INDEX(英雄装备!$F:$BZ,MATCH($H35,英雄装备!$F:$F,0),MATCH(M$2,英雄装备!$1:$1,0)-3),装备属性!$A:$C,3,0),VLOOKUP(INDEX(英雄装备!$F:$BZ,MATCH($H35,英雄装备!$F:$F,0),MATCH(M$2,英雄装备!$1:$1,0)-2),装备属性!$A:$C,3,0),VLOOKUP(INDEX(英雄装备!$F:$BZ,MATCH($H35,英雄装备!$F:$F,0),MATCH(M$2,英雄装备!$1:$1,0)-1),装备属性!$A:$C,3,0),VLOOKUP(INDEX(英雄装备!$F:$BZ,MATCH($H35,英雄装备!$F:$F,0),MATCH(M$2,英雄装备!$1:$1,0)),装备属性!$A:$C,3,0))</f>
        <v>43</v>
      </c>
      <c r="N35" s="51">
        <f>MAX(VLOOKUP(INDEX(英雄装备!$F:$BZ,MATCH($H35,英雄装备!$F:$F,0),MATCH(N$2,英雄装备!$1:$1,0)-5),装备属性!$A:$C,3,0),VLOOKUP(INDEX(英雄装备!$F:$BZ,MATCH($H35,英雄装备!$F:$F,0),MATCH(N$2,英雄装备!$1:$1,0)-4),装备属性!$A:$C,3,0),VLOOKUP(INDEX(英雄装备!$F:$BZ,MATCH($H35,英雄装备!$F:$F,0),MATCH(N$2,英雄装备!$1:$1,0)-3),装备属性!$A:$C,3,0),VLOOKUP(INDEX(英雄装备!$F:$BZ,MATCH($H35,英雄装备!$F:$F,0),MATCH(N$2,英雄装备!$1:$1,0)-2),装备属性!$A:$C,3,0),VLOOKUP(INDEX(英雄装备!$F:$BZ,MATCH($H35,英雄装备!$F:$F,0),MATCH(N$2,英雄装备!$1:$1,0)-1),装备属性!$A:$C,3,0),VLOOKUP(INDEX(英雄装备!$F:$BZ,MATCH($H35,英雄装备!$F:$F,0),MATCH(N$2,英雄装备!$1:$1,0)),装备属性!$A:$C,3,0))</f>
        <v>53</v>
      </c>
      <c r="O35" s="51">
        <f>MAX(VLOOKUP(INDEX(英雄装备!$F:$BZ,MATCH($H35,英雄装备!$F:$F,0),MATCH(O$2,英雄装备!$1:$1,0)-5),装备属性!$A:$C,3,0),VLOOKUP(INDEX(英雄装备!$F:$BZ,MATCH($H35,英雄装备!$F:$F,0),MATCH(O$2,英雄装备!$1:$1,0)-4),装备属性!$A:$C,3,0),VLOOKUP(INDEX(英雄装备!$F:$BZ,MATCH($H35,英雄装备!$F:$F,0),MATCH(O$2,英雄装备!$1:$1,0)-3),装备属性!$A:$C,3,0),VLOOKUP(INDEX(英雄装备!$F:$BZ,MATCH($H35,英雄装备!$F:$F,0),MATCH(O$2,英雄装备!$1:$1,0)-2),装备属性!$A:$C,3,0),VLOOKUP(INDEX(英雄装备!$F:$BZ,MATCH($H35,英雄装备!$F:$F,0),MATCH(O$2,英雄装备!$1:$1,0)-1),装备属性!$A:$C,3,0),VLOOKUP(INDEX(英雄装备!$F:$BZ,MATCH($H35,英雄装备!$F:$F,0),MATCH(O$2,英雄装备!$1:$1,0)),装备属性!$A:$C,3,0))</f>
        <v>63</v>
      </c>
      <c r="P35" s="51">
        <f>MAX(VLOOKUP(INDEX(英雄装备!$F:$BZ,MATCH($H35,英雄装备!$F:$F,0),MATCH(P$2,英雄装备!$1:$1,0)-5),装备属性!$A:$C,3,0),VLOOKUP(INDEX(英雄装备!$F:$BZ,MATCH($H35,英雄装备!$F:$F,0),MATCH(P$2,英雄装备!$1:$1,0)-4),装备属性!$A:$C,3,0),VLOOKUP(INDEX(英雄装备!$F:$BZ,MATCH($H35,英雄装备!$F:$F,0),MATCH(P$2,英雄装备!$1:$1,0)-3),装备属性!$A:$C,3,0),VLOOKUP(INDEX(英雄装备!$F:$BZ,MATCH($H35,英雄装备!$F:$F,0),MATCH(P$2,英雄装备!$1:$1,0)-2),装备属性!$A:$C,3,0),VLOOKUP(INDEX(英雄装备!$F:$BZ,MATCH($H35,英雄装备!$F:$F,0),MATCH(P$2,英雄装备!$1:$1,0)-1),装备属性!$A:$C,3,0),VLOOKUP(INDEX(英雄装备!$F:$BZ,MATCH($H35,英雄装备!$F:$F,0),MATCH(P$2,英雄装备!$1:$1,0)),装备属性!$A:$C,3,0))</f>
        <v>74</v>
      </c>
      <c r="Q35" s="51">
        <f>MAX(VLOOKUP(INDEX(英雄装备!$F:$BZ,MATCH($H35,英雄装备!$F:$F,0),MATCH(Q$2,英雄装备!$1:$1,0)-5),装备属性!$A:$C,3,0),VLOOKUP(INDEX(英雄装备!$F:$BZ,MATCH($H35,英雄装备!$F:$F,0),MATCH(Q$2,英雄装备!$1:$1,0)-4),装备属性!$A:$C,3,0),VLOOKUP(INDEX(英雄装备!$F:$BZ,MATCH($H35,英雄装备!$F:$F,0),MATCH(Q$2,英雄装备!$1:$1,0)-3),装备属性!$A:$C,3,0),VLOOKUP(INDEX(英雄装备!$F:$BZ,MATCH($H35,英雄装备!$F:$F,0),MATCH(Q$2,英雄装备!$1:$1,0)-2),装备属性!$A:$C,3,0),VLOOKUP(INDEX(英雄装备!$F:$BZ,MATCH($H35,英雄装备!$F:$F,0),MATCH(Q$2,英雄装备!$1:$1,0)-1),装备属性!$A:$C,3,0),VLOOKUP(INDEX(英雄装备!$F:$BZ,MATCH($H35,英雄装备!$F:$F,0),MATCH(Q$2,英雄装备!$1:$1,0)),装备属性!$A:$C,3,0))</f>
        <v>80</v>
      </c>
      <c r="R35" s="51">
        <f>MAX(VLOOKUP(INDEX(英雄装备!$F:$BZ,MATCH($H35,英雄装备!$F:$F,0),MATCH(R$2,英雄装备!$1:$1,0)-5),装备属性!$A:$C,3,0),VLOOKUP(INDEX(英雄装备!$F:$BZ,MATCH($H35,英雄装备!$F:$F,0),MATCH(R$2,英雄装备!$1:$1,0)-4),装备属性!$A:$C,3,0),VLOOKUP(INDEX(英雄装备!$F:$BZ,MATCH($H35,英雄装备!$F:$F,0),MATCH(R$2,英雄装备!$1:$1,0)-3),装备属性!$A:$C,3,0),VLOOKUP(INDEX(英雄装备!$F:$BZ,MATCH($H35,英雄装备!$F:$F,0),MATCH(R$2,英雄装备!$1:$1,0)-2),装备属性!$A:$C,3,0),VLOOKUP(INDEX(英雄装备!$F:$BZ,MATCH($H35,英雄装备!$F:$F,0),MATCH(R$2,英雄装备!$1:$1,0)-1),装备属性!$A:$C,3,0),VLOOKUP(INDEX(英雄装备!$F:$BZ,MATCH($H35,英雄装备!$F:$F,0),MATCH(R$2,英雄装备!$1:$1,0)),装备属性!$A:$C,3,0))</f>
        <v>80</v>
      </c>
      <c r="S35" s="51">
        <f>MAX(VLOOKUP(INDEX(英雄装备!$F:$BZ,MATCH($H35,英雄装备!$F:$F,0),MATCH(S$2,英雄装备!$1:$1,0)-5),装备属性!$A:$C,3,0),VLOOKUP(INDEX(英雄装备!$F:$BZ,MATCH($H35,英雄装备!$F:$F,0),MATCH(S$2,英雄装备!$1:$1,0)-4),装备属性!$A:$C,3,0),VLOOKUP(INDEX(英雄装备!$F:$BZ,MATCH($H35,英雄装备!$F:$F,0),MATCH(S$2,英雄装备!$1:$1,0)-3),装备属性!$A:$C,3,0),VLOOKUP(INDEX(英雄装备!$F:$BZ,MATCH($H35,英雄装备!$F:$F,0),MATCH(S$2,英雄装备!$1:$1,0)-2),装备属性!$A:$C,3,0),VLOOKUP(INDEX(英雄装备!$F:$BZ,MATCH($H35,英雄装备!$F:$F,0),MATCH(S$2,英雄装备!$1:$1,0)-1),装备属性!$A:$C,3,0),VLOOKUP(INDEX(英雄装备!$F:$BZ,MATCH($H35,英雄装备!$F:$F,0),MATCH(S$2,英雄装备!$1:$1,0)),装备属性!$A:$C,3,0))</f>
        <v>85</v>
      </c>
      <c r="T35" s="51">
        <f>MAX(VLOOKUP(INDEX(英雄装备!$F:$BZ,MATCH($H35,英雄装备!$F:$F,0),MATCH(T$2,英雄装备!$1:$1,0)-5),装备属性!$A:$C,3,0),VLOOKUP(INDEX(英雄装备!$F:$BZ,MATCH($H35,英雄装备!$F:$F,0),MATCH(T$2,英雄装备!$1:$1,0)-4),装备属性!$A:$C,3,0),VLOOKUP(INDEX(英雄装备!$F:$BZ,MATCH($H35,英雄装备!$F:$F,0),MATCH(T$2,英雄装备!$1:$1,0)-3),装备属性!$A:$C,3,0),VLOOKUP(INDEX(英雄装备!$F:$BZ,MATCH($H35,英雄装备!$F:$F,0),MATCH(T$2,英雄装备!$1:$1,0)-2),装备属性!$A:$C,3,0),VLOOKUP(INDEX(英雄装备!$F:$BZ,MATCH($H35,英雄装备!$F:$F,0),MATCH(T$2,英雄装备!$1:$1,0)-1),装备属性!$A:$C,3,0))</f>
        <v>88</v>
      </c>
      <c r="X35" s="151" t="b">
        <f t="shared" si="4"/>
        <v>1</v>
      </c>
      <c r="Y35" s="151" t="b">
        <f t="shared" si="4"/>
        <v>1</v>
      </c>
      <c r="Z35" s="151" t="b">
        <f t="shared" si="4"/>
        <v>1</v>
      </c>
      <c r="AA35" s="151" t="b">
        <f t="shared" si="4"/>
        <v>1</v>
      </c>
      <c r="AB35" s="151" t="b">
        <f t="shared" si="4"/>
        <v>1</v>
      </c>
      <c r="AC35" s="151" t="b">
        <f t="shared" si="4"/>
        <v>1</v>
      </c>
      <c r="AF35" s="151">
        <v>3</v>
      </c>
      <c r="AG35" s="151" t="str">
        <f>X3</f>
        <v>敏捷之刃</v>
      </c>
      <c r="AH35" s="151">
        <f>VLOOKUP($AG35,装备属性!$A:$Y,5,0)</f>
        <v>0</v>
      </c>
      <c r="AI35" s="151">
        <f>VLOOKUP($AG35,装备属性!$A:$Y,6,0)</f>
        <v>10</v>
      </c>
      <c r="AJ35" s="151">
        <f>VLOOKUP($AG35,装备属性!$A:$Y,7,0)</f>
        <v>0</v>
      </c>
      <c r="AK35" s="151">
        <f>VLOOKUP($AG35,装备属性!$A:$Y,8,0)</f>
        <v>0</v>
      </c>
      <c r="AL35" s="151">
        <f>VLOOKUP($AG35,装备属性!$A:$Y,9,0)</f>
        <v>0</v>
      </c>
      <c r="AM35" s="151">
        <f>VLOOKUP($AG35,装备属性!$A:$Y,10,0)</f>
        <v>0</v>
      </c>
      <c r="AN35" s="151">
        <f>VLOOKUP($AG35,装备属性!$A:$Y,11,0)</f>
        <v>0</v>
      </c>
      <c r="AO35" s="151">
        <f>VLOOKUP($AG35,装备属性!$A:$Y,12,0)</f>
        <v>0</v>
      </c>
      <c r="AP35" s="151">
        <f>VLOOKUP($AG35,装备属性!$A:$Y,13,0)</f>
        <v>0</v>
      </c>
      <c r="AQ35" s="151">
        <f>VLOOKUP($AG35,装备属性!$A:$Y,14,0)</f>
        <v>0</v>
      </c>
      <c r="AR35" s="151">
        <f>VLOOKUP($AG35,装备属性!$A:$Y,15,0)</f>
        <v>0</v>
      </c>
      <c r="AS35" s="151">
        <f>VLOOKUP($AG35,装备属性!$A:$Y,16,0)</f>
        <v>0</v>
      </c>
      <c r="AT35" s="151">
        <f>VLOOKUP($AG35,装备属性!$A:$Y,17,0)</f>
        <v>0</v>
      </c>
      <c r="AU35" s="151">
        <f>VLOOKUP($AG35,装备属性!$A:$Y,18,0)</f>
        <v>0</v>
      </c>
      <c r="AV35" s="151">
        <f>VLOOKUP($AG35,装备属性!$A:$Y,19,0)</f>
        <v>0</v>
      </c>
      <c r="AW35" s="151">
        <f>VLOOKUP($AG35,装备属性!$A:$Y,20,0)</f>
        <v>0</v>
      </c>
      <c r="AX35" s="151">
        <f>VLOOKUP($AG35,装备属性!$A:$Y,21,0)</f>
        <v>0</v>
      </c>
      <c r="AY35" s="151">
        <f>VLOOKUP($AG35,装备属性!$A:$Y,22,0)</f>
        <v>0</v>
      </c>
      <c r="AZ35" s="151">
        <f>VLOOKUP($AG35,装备属性!$A:$Y,23,0)</f>
        <v>0</v>
      </c>
      <c r="BA35" s="151">
        <f>VLOOKUP($AG35,装备属性!$A:$Y,24,0)</f>
        <v>0</v>
      </c>
      <c r="BB35" s="151">
        <f>VLOOKUP($AG35,装备属性!$A:$Y,25,0)</f>
        <v>0</v>
      </c>
    </row>
    <row r="36" spans="2:54">
      <c r="B36" s="151" t="str">
        <f>英雄初始!A37</f>
        <v>火女</v>
      </c>
      <c r="H36" s="54" t="s">
        <v>189</v>
      </c>
      <c r="I36" s="51">
        <f>MAX(VLOOKUP(INDEX(英雄装备!$F:$BZ,MATCH($H36,英雄装备!$F:$F,0),MATCH(I$2,英雄装备!$1:$1,0)-5),装备属性!$A:$C,3,0),VLOOKUP(INDEX(英雄装备!$F:$BZ,MATCH($H36,英雄装备!$F:$F,0),MATCH(I$2,英雄装备!$1:$1,0)-4),装备属性!$A:$C,3,0),VLOOKUP(INDEX(英雄装备!$F:$BZ,MATCH($H36,英雄装备!$F:$F,0),MATCH(I$2,英雄装备!$1:$1,0)-3),装备属性!$A:$C,3,0),VLOOKUP(INDEX(英雄装备!$F:$BZ,MATCH($H36,英雄装备!$F:$F,0),MATCH(I$2,英雄装备!$1:$1,0)-2),装备属性!$A:$C,3,0),VLOOKUP(INDEX(英雄装备!$F:$BZ,MATCH($H36,英雄装备!$F:$F,0),MATCH(I$2,英雄装备!$1:$1,0)-1),装备属性!$A:$C,3,0),VLOOKUP(INDEX(英雄装备!$F:$BZ,MATCH($H36,英雄装备!$F:$F,0),MATCH(I$2,英雄装备!$1:$1,0)),装备属性!$A:$C,3,0))</f>
        <v>2</v>
      </c>
      <c r="J36" s="51">
        <f>MAX(VLOOKUP(INDEX(英雄装备!$F:$BZ,MATCH($H36,英雄装备!$F:$F,0),MATCH(J$2,英雄装备!$1:$1,0)-5),装备属性!$A:$C,3,0),VLOOKUP(INDEX(英雄装备!$F:$BZ,MATCH($H36,英雄装备!$F:$F,0),MATCH(J$2,英雄装备!$1:$1,0)-4),装备属性!$A:$C,3,0),VLOOKUP(INDEX(英雄装备!$F:$BZ,MATCH($H36,英雄装备!$F:$F,0),MATCH(J$2,英雄装备!$1:$1,0)-3),装备属性!$A:$C,3,0),VLOOKUP(INDEX(英雄装备!$F:$BZ,MATCH($H36,英雄装备!$F:$F,0),MATCH(J$2,英雄装备!$1:$1,0)-2),装备属性!$A:$C,3,0),VLOOKUP(INDEX(英雄装备!$F:$BZ,MATCH($H36,英雄装备!$F:$F,0),MATCH(J$2,英雄装备!$1:$1,0)-1),装备属性!$A:$C,3,0),VLOOKUP(INDEX(英雄装备!$F:$BZ,MATCH($H36,英雄装备!$F:$F,0),MATCH(J$2,英雄装备!$1:$1,0)),装备属性!$A:$C,3,0))</f>
        <v>10</v>
      </c>
      <c r="K36" s="51">
        <f>MAX(VLOOKUP(INDEX(英雄装备!$F:$BZ,MATCH($H36,英雄装备!$F:$F,0),MATCH(K$2,英雄装备!$1:$1,0)-5),装备属性!$A:$C,3,0),VLOOKUP(INDEX(英雄装备!$F:$BZ,MATCH($H36,英雄装备!$F:$F,0),MATCH(K$2,英雄装备!$1:$1,0)-4),装备属性!$A:$C,3,0),VLOOKUP(INDEX(英雄装备!$F:$BZ,MATCH($H36,英雄装备!$F:$F,0),MATCH(K$2,英雄装备!$1:$1,0)-3),装备属性!$A:$C,3,0),VLOOKUP(INDEX(英雄装备!$F:$BZ,MATCH($H36,英雄装备!$F:$F,0),MATCH(K$2,英雄装备!$1:$1,0)-2),装备属性!$A:$C,3,0),VLOOKUP(INDEX(英雄装备!$F:$BZ,MATCH($H36,英雄装备!$F:$F,0),MATCH(K$2,英雄装备!$1:$1,0)-1),装备属性!$A:$C,3,0),VLOOKUP(INDEX(英雄装备!$F:$BZ,MATCH($H36,英雄装备!$F:$F,0),MATCH(K$2,英雄装备!$1:$1,0)),装备属性!$A:$C,3,0))</f>
        <v>20</v>
      </c>
      <c r="L36" s="51">
        <f>MAX(VLOOKUP(INDEX(英雄装备!$F:$BZ,MATCH($H36,英雄装备!$F:$F,0),MATCH(L$2,英雄装备!$1:$1,0)-5),装备属性!$A:$C,3,0),VLOOKUP(INDEX(英雄装备!$F:$BZ,MATCH($H36,英雄装备!$F:$F,0),MATCH(L$2,英雄装备!$1:$1,0)-4),装备属性!$A:$C,3,0),VLOOKUP(INDEX(英雄装备!$F:$BZ,MATCH($H36,英雄装备!$F:$F,0),MATCH(L$2,英雄装备!$1:$1,0)-3),装备属性!$A:$C,3,0),VLOOKUP(INDEX(英雄装备!$F:$BZ,MATCH($H36,英雄装备!$F:$F,0),MATCH(L$2,英雄装备!$1:$1,0)-2),装备属性!$A:$C,3,0),VLOOKUP(INDEX(英雄装备!$F:$BZ,MATCH($H36,英雄装备!$F:$F,0),MATCH(L$2,英雄装备!$1:$1,0)-1),装备属性!$A:$C,3,0),VLOOKUP(INDEX(英雄装备!$F:$BZ,MATCH($H36,英雄装备!$F:$F,0),MATCH(L$2,英雄装备!$1:$1,0)),装备属性!$A:$C,3,0))</f>
        <v>34</v>
      </c>
      <c r="M36" s="51">
        <f>MAX(VLOOKUP(INDEX(英雄装备!$F:$BZ,MATCH($H36,英雄装备!$F:$F,0),MATCH(M$2,英雄装备!$1:$1,0)-5),装备属性!$A:$C,3,0),VLOOKUP(INDEX(英雄装备!$F:$BZ,MATCH($H36,英雄装备!$F:$F,0),MATCH(M$2,英雄装备!$1:$1,0)-4),装备属性!$A:$C,3,0),VLOOKUP(INDEX(英雄装备!$F:$BZ,MATCH($H36,英雄装备!$F:$F,0),MATCH(M$2,英雄装备!$1:$1,0)-3),装备属性!$A:$C,3,0),VLOOKUP(INDEX(英雄装备!$F:$BZ,MATCH($H36,英雄装备!$F:$F,0),MATCH(M$2,英雄装备!$1:$1,0)-2),装备属性!$A:$C,3,0),VLOOKUP(INDEX(英雄装备!$F:$BZ,MATCH($H36,英雄装备!$F:$F,0),MATCH(M$2,英雄装备!$1:$1,0)-1),装备属性!$A:$C,3,0),VLOOKUP(INDEX(英雄装备!$F:$BZ,MATCH($H36,英雄装备!$F:$F,0),MATCH(M$2,英雄装备!$1:$1,0)),装备属性!$A:$C,3,0))</f>
        <v>43</v>
      </c>
      <c r="N36" s="51">
        <f>MAX(VLOOKUP(INDEX(英雄装备!$F:$BZ,MATCH($H36,英雄装备!$F:$F,0),MATCH(N$2,英雄装备!$1:$1,0)-5),装备属性!$A:$C,3,0),VLOOKUP(INDEX(英雄装备!$F:$BZ,MATCH($H36,英雄装备!$F:$F,0),MATCH(N$2,英雄装备!$1:$1,0)-4),装备属性!$A:$C,3,0),VLOOKUP(INDEX(英雄装备!$F:$BZ,MATCH($H36,英雄装备!$F:$F,0),MATCH(N$2,英雄装备!$1:$1,0)-3),装备属性!$A:$C,3,0),VLOOKUP(INDEX(英雄装备!$F:$BZ,MATCH($H36,英雄装备!$F:$F,0),MATCH(N$2,英雄装备!$1:$1,0)-2),装备属性!$A:$C,3,0),VLOOKUP(INDEX(英雄装备!$F:$BZ,MATCH($H36,英雄装备!$F:$F,0),MATCH(N$2,英雄装备!$1:$1,0)-1),装备属性!$A:$C,3,0),VLOOKUP(INDEX(英雄装备!$F:$BZ,MATCH($H36,英雄装备!$F:$F,0),MATCH(N$2,英雄装备!$1:$1,0)),装备属性!$A:$C,3,0))</f>
        <v>51</v>
      </c>
      <c r="O36" s="51">
        <f>MAX(VLOOKUP(INDEX(英雄装备!$F:$BZ,MATCH($H36,英雄装备!$F:$F,0),MATCH(O$2,英雄装备!$1:$1,0)-5),装备属性!$A:$C,3,0),VLOOKUP(INDEX(英雄装备!$F:$BZ,MATCH($H36,英雄装备!$F:$F,0),MATCH(O$2,英雄装备!$1:$1,0)-4),装备属性!$A:$C,3,0),VLOOKUP(INDEX(英雄装备!$F:$BZ,MATCH($H36,英雄装备!$F:$F,0),MATCH(O$2,英雄装备!$1:$1,0)-3),装备属性!$A:$C,3,0),VLOOKUP(INDEX(英雄装备!$F:$BZ,MATCH($H36,英雄装备!$F:$F,0),MATCH(O$2,英雄装备!$1:$1,0)-2),装备属性!$A:$C,3,0),VLOOKUP(INDEX(英雄装备!$F:$BZ,MATCH($H36,英雄装备!$F:$F,0),MATCH(O$2,英雄装备!$1:$1,0)-1),装备属性!$A:$C,3,0),VLOOKUP(INDEX(英雄装备!$F:$BZ,MATCH($H36,英雄装备!$F:$F,0),MATCH(O$2,英雄装备!$1:$1,0)),装备属性!$A:$C,3,0))</f>
        <v>65</v>
      </c>
      <c r="P36" s="51">
        <f>MAX(VLOOKUP(INDEX(英雄装备!$F:$BZ,MATCH($H36,英雄装备!$F:$F,0),MATCH(P$2,英雄装备!$1:$1,0)-5),装备属性!$A:$C,3,0),VLOOKUP(INDEX(英雄装备!$F:$BZ,MATCH($H36,英雄装备!$F:$F,0),MATCH(P$2,英雄装备!$1:$1,0)-4),装备属性!$A:$C,3,0),VLOOKUP(INDEX(英雄装备!$F:$BZ,MATCH($H36,英雄装备!$F:$F,0),MATCH(P$2,英雄装备!$1:$1,0)-3),装备属性!$A:$C,3,0),VLOOKUP(INDEX(英雄装备!$F:$BZ,MATCH($H36,英雄装备!$F:$F,0),MATCH(P$2,英雄装备!$1:$1,0)-2),装备属性!$A:$C,3,0),VLOOKUP(INDEX(英雄装备!$F:$BZ,MATCH($H36,英雄装备!$F:$F,0),MATCH(P$2,英雄装备!$1:$1,0)-1),装备属性!$A:$C,3,0),VLOOKUP(INDEX(英雄装备!$F:$BZ,MATCH($H36,英雄装备!$F:$F,0),MATCH(P$2,英雄装备!$1:$1,0)),装备属性!$A:$C,3,0))</f>
        <v>70</v>
      </c>
      <c r="Q36" s="51">
        <f>MAX(VLOOKUP(INDEX(英雄装备!$F:$BZ,MATCH($H36,英雄装备!$F:$F,0),MATCH(Q$2,英雄装备!$1:$1,0)-5),装备属性!$A:$C,3,0),VLOOKUP(INDEX(英雄装备!$F:$BZ,MATCH($H36,英雄装备!$F:$F,0),MATCH(Q$2,英雄装备!$1:$1,0)-4),装备属性!$A:$C,3,0),VLOOKUP(INDEX(英雄装备!$F:$BZ,MATCH($H36,英雄装备!$F:$F,0),MATCH(Q$2,英雄装备!$1:$1,0)-3),装备属性!$A:$C,3,0),VLOOKUP(INDEX(英雄装备!$F:$BZ,MATCH($H36,英雄装备!$F:$F,0),MATCH(Q$2,英雄装备!$1:$1,0)-2),装备属性!$A:$C,3,0),VLOOKUP(INDEX(英雄装备!$F:$BZ,MATCH($H36,英雄装备!$F:$F,0),MATCH(Q$2,英雄装备!$1:$1,0)-1),装备属性!$A:$C,3,0),VLOOKUP(INDEX(英雄装备!$F:$BZ,MATCH($H36,英雄装备!$F:$F,0),MATCH(Q$2,英雄装备!$1:$1,0)),装备属性!$A:$C,3,0))</f>
        <v>78</v>
      </c>
      <c r="R36" s="51">
        <f>MAX(VLOOKUP(INDEX(英雄装备!$F:$BZ,MATCH($H36,英雄装备!$F:$F,0),MATCH(R$2,英雄装备!$1:$1,0)-5),装备属性!$A:$C,3,0),VLOOKUP(INDEX(英雄装备!$F:$BZ,MATCH($H36,英雄装备!$F:$F,0),MATCH(R$2,英雄装备!$1:$1,0)-4),装备属性!$A:$C,3,0),VLOOKUP(INDEX(英雄装备!$F:$BZ,MATCH($H36,英雄装备!$F:$F,0),MATCH(R$2,英雄装备!$1:$1,0)-3),装备属性!$A:$C,3,0),VLOOKUP(INDEX(英雄装备!$F:$BZ,MATCH($H36,英雄装备!$F:$F,0),MATCH(R$2,英雄装备!$1:$1,0)-2),装备属性!$A:$C,3,0),VLOOKUP(INDEX(英雄装备!$F:$BZ,MATCH($H36,英雄装备!$F:$F,0),MATCH(R$2,英雄装备!$1:$1,0)-1),装备属性!$A:$C,3,0),VLOOKUP(INDEX(英雄装备!$F:$BZ,MATCH($H36,英雄装备!$F:$F,0),MATCH(R$2,英雄装备!$1:$1,0)),装备属性!$A:$C,3,0))</f>
        <v>80</v>
      </c>
      <c r="S36" s="51">
        <f>MAX(VLOOKUP(INDEX(英雄装备!$F:$BZ,MATCH($H36,英雄装备!$F:$F,0),MATCH(S$2,英雄装备!$1:$1,0)-5),装备属性!$A:$C,3,0),VLOOKUP(INDEX(英雄装备!$F:$BZ,MATCH($H36,英雄装备!$F:$F,0),MATCH(S$2,英雄装备!$1:$1,0)-4),装备属性!$A:$C,3,0),VLOOKUP(INDEX(英雄装备!$F:$BZ,MATCH($H36,英雄装备!$F:$F,0),MATCH(S$2,英雄装备!$1:$1,0)-3),装备属性!$A:$C,3,0),VLOOKUP(INDEX(英雄装备!$F:$BZ,MATCH($H36,英雄装备!$F:$F,0),MATCH(S$2,英雄装备!$1:$1,0)-2),装备属性!$A:$C,3,0),VLOOKUP(INDEX(英雄装备!$F:$BZ,MATCH($H36,英雄装备!$F:$F,0),MATCH(S$2,英雄装备!$1:$1,0)-1),装备属性!$A:$C,3,0),VLOOKUP(INDEX(英雄装备!$F:$BZ,MATCH($H36,英雄装备!$F:$F,0),MATCH(S$2,英雄装备!$1:$1,0)),装备属性!$A:$C,3,0))</f>
        <v>85</v>
      </c>
      <c r="T36" s="51">
        <f>MAX(VLOOKUP(INDEX(英雄装备!$F:$BZ,MATCH($H36,英雄装备!$F:$F,0),MATCH(T$2,英雄装备!$1:$1,0)-5),装备属性!$A:$C,3,0),VLOOKUP(INDEX(英雄装备!$F:$BZ,MATCH($H36,英雄装备!$F:$F,0),MATCH(T$2,英雄装备!$1:$1,0)-4),装备属性!$A:$C,3,0),VLOOKUP(INDEX(英雄装备!$F:$BZ,MATCH($H36,英雄装备!$F:$F,0),MATCH(T$2,英雄装备!$1:$1,0)-3),装备属性!$A:$C,3,0),VLOOKUP(INDEX(英雄装备!$F:$BZ,MATCH($H36,英雄装备!$F:$F,0),MATCH(T$2,英雄装备!$1:$1,0)-2),装备属性!$A:$C,3,0),VLOOKUP(INDEX(英雄装备!$F:$BZ,MATCH($H36,英雄装备!$F:$F,0),MATCH(T$2,英雄装备!$1:$1,0)-1),装备属性!$A:$C,3,0))</f>
        <v>87</v>
      </c>
      <c r="X36" s="151" t="b">
        <f t="shared" si="4"/>
        <v>1</v>
      </c>
      <c r="Y36" s="151" t="b">
        <f t="shared" si="4"/>
        <v>1</v>
      </c>
      <c r="Z36" s="151" t="b">
        <f t="shared" si="4"/>
        <v>1</v>
      </c>
      <c r="AA36" s="151" t="b">
        <f t="shared" si="4"/>
        <v>1</v>
      </c>
      <c r="AB36" s="151" t="b">
        <f t="shared" si="4"/>
        <v>1</v>
      </c>
      <c r="AC36" s="151" t="b">
        <f t="shared" si="4"/>
        <v>1</v>
      </c>
      <c r="AF36" s="151">
        <v>3</v>
      </c>
      <c r="AG36" s="151" t="str">
        <f>Y3</f>
        <v>祭品</v>
      </c>
      <c r="AH36" s="151">
        <f>VLOOKUP($AG36,装备属性!$A:$Y,5,0)</f>
        <v>0</v>
      </c>
      <c r="AI36" s="151">
        <f>VLOOKUP($AG36,装备属性!$A:$Y,6,0)</f>
        <v>0</v>
      </c>
      <c r="AJ36" s="151">
        <f>VLOOKUP($AG36,装备属性!$A:$Y,7,0)</f>
        <v>0</v>
      </c>
      <c r="AK36" s="151">
        <f>VLOOKUP($AG36,装备属性!$A:$Y,8,0)</f>
        <v>0</v>
      </c>
      <c r="AL36" s="151">
        <f>VLOOKUP($AG36,装备属性!$A:$Y,9,0)</f>
        <v>0</v>
      </c>
      <c r="AM36" s="151">
        <f>VLOOKUP($AG36,装备属性!$A:$Y,10,0)</f>
        <v>0</v>
      </c>
      <c r="AN36" s="151">
        <f>VLOOKUP($AG36,装备属性!$A:$Y,11,0)</f>
        <v>5</v>
      </c>
      <c r="AO36" s="151">
        <f>VLOOKUP($AG36,装备属性!$A:$Y,12,0)</f>
        <v>0</v>
      </c>
      <c r="AP36" s="151">
        <f>VLOOKUP($AG36,装备属性!$A:$Y,13,0)</f>
        <v>15</v>
      </c>
      <c r="AQ36" s="151">
        <f>VLOOKUP($AG36,装备属性!$A:$Y,14,0)</f>
        <v>0</v>
      </c>
      <c r="AR36" s="151">
        <f>VLOOKUP($AG36,装备属性!$A:$Y,15,0)</f>
        <v>0</v>
      </c>
      <c r="AS36" s="151">
        <f>VLOOKUP($AG36,装备属性!$A:$Y,16,0)</f>
        <v>0</v>
      </c>
      <c r="AT36" s="151">
        <f>VLOOKUP($AG36,装备属性!$A:$Y,17,0)</f>
        <v>16</v>
      </c>
      <c r="AU36" s="151">
        <f>VLOOKUP($AG36,装备属性!$A:$Y,18,0)</f>
        <v>0</v>
      </c>
      <c r="AV36" s="151">
        <f>VLOOKUP($AG36,装备属性!$A:$Y,19,0)</f>
        <v>0</v>
      </c>
      <c r="AW36" s="151">
        <f>VLOOKUP($AG36,装备属性!$A:$Y,20,0)</f>
        <v>0</v>
      </c>
      <c r="AX36" s="151">
        <f>VLOOKUP($AG36,装备属性!$A:$Y,21,0)</f>
        <v>40</v>
      </c>
      <c r="AY36" s="151">
        <f>VLOOKUP($AG36,装备属性!$A:$Y,22,0)</f>
        <v>0</v>
      </c>
      <c r="AZ36" s="151">
        <f>VLOOKUP($AG36,装备属性!$A:$Y,23,0)</f>
        <v>0</v>
      </c>
      <c r="BA36" s="151">
        <f>VLOOKUP($AG36,装备属性!$A:$Y,24,0)</f>
        <v>0</v>
      </c>
      <c r="BB36" s="151">
        <f>VLOOKUP($AG36,装备属性!$A:$Y,25,0)</f>
        <v>0</v>
      </c>
    </row>
    <row r="37" spans="2:54">
      <c r="B37" s="151" t="str">
        <f>英雄初始!A38</f>
        <v>蓝胖</v>
      </c>
      <c r="H37" s="54" t="s">
        <v>190</v>
      </c>
      <c r="I37" s="51">
        <f>MAX(VLOOKUP(INDEX(英雄装备!$F:$BZ,MATCH($H37,英雄装备!$F:$F,0),MATCH(I$2,英雄装备!$1:$1,0)-5),装备属性!$A:$C,3,0),VLOOKUP(INDEX(英雄装备!$F:$BZ,MATCH($H37,英雄装备!$F:$F,0),MATCH(I$2,英雄装备!$1:$1,0)-4),装备属性!$A:$C,3,0),VLOOKUP(INDEX(英雄装备!$F:$BZ,MATCH($H37,英雄装备!$F:$F,0),MATCH(I$2,英雄装备!$1:$1,0)-3),装备属性!$A:$C,3,0),VLOOKUP(INDEX(英雄装备!$F:$BZ,MATCH($H37,英雄装备!$F:$F,0),MATCH(I$2,英雄装备!$1:$1,0)-2),装备属性!$A:$C,3,0),VLOOKUP(INDEX(英雄装备!$F:$BZ,MATCH($H37,英雄装备!$F:$F,0),MATCH(I$2,英雄装备!$1:$1,0)-1),装备属性!$A:$C,3,0),VLOOKUP(INDEX(英雄装备!$F:$BZ,MATCH($H37,英雄装备!$F:$F,0),MATCH(I$2,英雄装备!$1:$1,0)),装备属性!$A:$C,3,0))</f>
        <v>2</v>
      </c>
      <c r="J37" s="51">
        <f>MAX(VLOOKUP(INDEX(英雄装备!$F:$BZ,MATCH($H37,英雄装备!$F:$F,0),MATCH(J$2,英雄装备!$1:$1,0)-5),装备属性!$A:$C,3,0),VLOOKUP(INDEX(英雄装备!$F:$BZ,MATCH($H37,英雄装备!$F:$F,0),MATCH(J$2,英雄装备!$1:$1,0)-4),装备属性!$A:$C,3,0),VLOOKUP(INDEX(英雄装备!$F:$BZ,MATCH($H37,英雄装备!$F:$F,0),MATCH(J$2,英雄装备!$1:$1,0)-3),装备属性!$A:$C,3,0),VLOOKUP(INDEX(英雄装备!$F:$BZ,MATCH($H37,英雄装备!$F:$F,0),MATCH(J$2,英雄装备!$1:$1,0)-2),装备属性!$A:$C,3,0),VLOOKUP(INDEX(英雄装备!$F:$BZ,MATCH($H37,英雄装备!$F:$F,0),MATCH(J$2,英雄装备!$1:$1,0)-1),装备属性!$A:$C,3,0),VLOOKUP(INDEX(英雄装备!$F:$BZ,MATCH($H37,英雄装备!$F:$F,0),MATCH(J$2,英雄装备!$1:$1,0)),装备属性!$A:$C,3,0))</f>
        <v>10</v>
      </c>
      <c r="K37" s="51">
        <f>MAX(VLOOKUP(INDEX(英雄装备!$F:$BZ,MATCH($H37,英雄装备!$F:$F,0),MATCH(K$2,英雄装备!$1:$1,0)-5),装备属性!$A:$C,3,0),VLOOKUP(INDEX(英雄装备!$F:$BZ,MATCH($H37,英雄装备!$F:$F,0),MATCH(K$2,英雄装备!$1:$1,0)-4),装备属性!$A:$C,3,0),VLOOKUP(INDEX(英雄装备!$F:$BZ,MATCH($H37,英雄装备!$F:$F,0),MATCH(K$2,英雄装备!$1:$1,0)-3),装备属性!$A:$C,3,0),VLOOKUP(INDEX(英雄装备!$F:$BZ,MATCH($H37,英雄装备!$F:$F,0),MATCH(K$2,英雄装备!$1:$1,0)-2),装备属性!$A:$C,3,0),VLOOKUP(INDEX(英雄装备!$F:$BZ,MATCH($H37,英雄装备!$F:$F,0),MATCH(K$2,英雄装备!$1:$1,0)-1),装备属性!$A:$C,3,0),VLOOKUP(INDEX(英雄装备!$F:$BZ,MATCH($H37,英雄装备!$F:$F,0),MATCH(K$2,英雄装备!$1:$1,0)),装备属性!$A:$C,3,0))</f>
        <v>21</v>
      </c>
      <c r="L37" s="51">
        <f>MAX(VLOOKUP(INDEX(英雄装备!$F:$BZ,MATCH($H37,英雄装备!$F:$F,0),MATCH(L$2,英雄装备!$1:$1,0)-5),装备属性!$A:$C,3,0),VLOOKUP(INDEX(英雄装备!$F:$BZ,MATCH($H37,英雄装备!$F:$F,0),MATCH(L$2,英雄装备!$1:$1,0)-4),装备属性!$A:$C,3,0),VLOOKUP(INDEX(英雄装备!$F:$BZ,MATCH($H37,英雄装备!$F:$F,0),MATCH(L$2,英雄装备!$1:$1,0)-3),装备属性!$A:$C,3,0),VLOOKUP(INDEX(英雄装备!$F:$BZ,MATCH($H37,英雄装备!$F:$F,0),MATCH(L$2,英雄装备!$1:$1,0)-2),装备属性!$A:$C,3,0),VLOOKUP(INDEX(英雄装备!$F:$BZ,MATCH($H37,英雄装备!$F:$F,0),MATCH(L$2,英雄装备!$1:$1,0)-1),装备属性!$A:$C,3,0),VLOOKUP(INDEX(英雄装备!$F:$BZ,MATCH($H37,英雄装备!$F:$F,0),MATCH(L$2,英雄装备!$1:$1,0)),装备属性!$A:$C,3,0))</f>
        <v>30</v>
      </c>
      <c r="M37" s="51">
        <f>MAX(VLOOKUP(INDEX(英雄装备!$F:$BZ,MATCH($H37,英雄装备!$F:$F,0),MATCH(M$2,英雄装备!$1:$1,0)-5),装备属性!$A:$C,3,0),VLOOKUP(INDEX(英雄装备!$F:$BZ,MATCH($H37,英雄装备!$F:$F,0),MATCH(M$2,英雄装备!$1:$1,0)-4),装备属性!$A:$C,3,0),VLOOKUP(INDEX(英雄装备!$F:$BZ,MATCH($H37,英雄装备!$F:$F,0),MATCH(M$2,英雄装备!$1:$1,0)-3),装备属性!$A:$C,3,0),VLOOKUP(INDEX(英雄装备!$F:$BZ,MATCH($H37,英雄装备!$F:$F,0),MATCH(M$2,英雄装备!$1:$1,0)-2),装备属性!$A:$C,3,0),VLOOKUP(INDEX(英雄装备!$F:$BZ,MATCH($H37,英雄装备!$F:$F,0),MATCH(M$2,英雄装备!$1:$1,0)-1),装备属性!$A:$C,3,0),VLOOKUP(INDEX(英雄装备!$F:$BZ,MATCH($H37,英雄装备!$F:$F,0),MATCH(M$2,英雄装备!$1:$1,0)),装备属性!$A:$C,3,0))</f>
        <v>42</v>
      </c>
      <c r="N37" s="51">
        <f>MAX(VLOOKUP(INDEX(英雄装备!$F:$BZ,MATCH($H37,英雄装备!$F:$F,0),MATCH(N$2,英雄装备!$1:$1,0)-5),装备属性!$A:$C,3,0),VLOOKUP(INDEX(英雄装备!$F:$BZ,MATCH($H37,英雄装备!$F:$F,0),MATCH(N$2,英雄装备!$1:$1,0)-4),装备属性!$A:$C,3,0),VLOOKUP(INDEX(英雄装备!$F:$BZ,MATCH($H37,英雄装备!$F:$F,0),MATCH(N$2,英雄装备!$1:$1,0)-3),装备属性!$A:$C,3,0),VLOOKUP(INDEX(英雄装备!$F:$BZ,MATCH($H37,英雄装备!$F:$F,0),MATCH(N$2,英雄装备!$1:$1,0)-2),装备属性!$A:$C,3,0),VLOOKUP(INDEX(英雄装备!$F:$BZ,MATCH($H37,英雄装备!$F:$F,0),MATCH(N$2,英雄装备!$1:$1,0)-1),装备属性!$A:$C,3,0),VLOOKUP(INDEX(英雄装备!$F:$BZ,MATCH($H37,英雄装备!$F:$F,0),MATCH(N$2,英雄装备!$1:$1,0)),装备属性!$A:$C,3,0))</f>
        <v>53</v>
      </c>
      <c r="O37" s="51">
        <f>MAX(VLOOKUP(INDEX(英雄装备!$F:$BZ,MATCH($H37,英雄装备!$F:$F,0),MATCH(O$2,英雄装备!$1:$1,0)-5),装备属性!$A:$C,3,0),VLOOKUP(INDEX(英雄装备!$F:$BZ,MATCH($H37,英雄装备!$F:$F,0),MATCH(O$2,英雄装备!$1:$1,0)-4),装备属性!$A:$C,3,0),VLOOKUP(INDEX(英雄装备!$F:$BZ,MATCH($H37,英雄装备!$F:$F,0),MATCH(O$2,英雄装备!$1:$1,0)-3),装备属性!$A:$C,3,0),VLOOKUP(INDEX(英雄装备!$F:$BZ,MATCH($H37,英雄装备!$F:$F,0),MATCH(O$2,英雄装备!$1:$1,0)-2),装备属性!$A:$C,3,0),VLOOKUP(INDEX(英雄装备!$F:$BZ,MATCH($H37,英雄装备!$F:$F,0),MATCH(O$2,英雄装备!$1:$1,0)-1),装备属性!$A:$C,3,0),VLOOKUP(INDEX(英雄装备!$F:$BZ,MATCH($H37,英雄装备!$F:$F,0),MATCH(O$2,英雄装备!$1:$1,0)),装备属性!$A:$C,3,0))</f>
        <v>59</v>
      </c>
      <c r="P37" s="51">
        <f>MAX(VLOOKUP(INDEX(英雄装备!$F:$BZ,MATCH($H37,英雄装备!$F:$F,0),MATCH(P$2,英雄装备!$1:$1,0)-5),装备属性!$A:$C,3,0),VLOOKUP(INDEX(英雄装备!$F:$BZ,MATCH($H37,英雄装备!$F:$F,0),MATCH(P$2,英雄装备!$1:$1,0)-4),装备属性!$A:$C,3,0),VLOOKUP(INDEX(英雄装备!$F:$BZ,MATCH($H37,英雄装备!$F:$F,0),MATCH(P$2,英雄装备!$1:$1,0)-3),装备属性!$A:$C,3,0),VLOOKUP(INDEX(英雄装备!$F:$BZ,MATCH($H37,英雄装备!$F:$F,0),MATCH(P$2,英雄装备!$1:$1,0)-2),装备属性!$A:$C,3,0),VLOOKUP(INDEX(英雄装备!$F:$BZ,MATCH($H37,英雄装备!$F:$F,0),MATCH(P$2,英雄装备!$1:$1,0)-1),装备属性!$A:$C,3,0),VLOOKUP(INDEX(英雄装备!$F:$BZ,MATCH($H37,英雄装备!$F:$F,0),MATCH(P$2,英雄装备!$1:$1,0)),装备属性!$A:$C,3,0))</f>
        <v>70</v>
      </c>
      <c r="Q37" s="51">
        <f>MAX(VLOOKUP(INDEX(英雄装备!$F:$BZ,MATCH($H37,英雄装备!$F:$F,0),MATCH(Q$2,英雄装备!$1:$1,0)-5),装备属性!$A:$C,3,0),VLOOKUP(INDEX(英雄装备!$F:$BZ,MATCH($H37,英雄装备!$F:$F,0),MATCH(Q$2,英雄装备!$1:$1,0)-4),装备属性!$A:$C,3,0),VLOOKUP(INDEX(英雄装备!$F:$BZ,MATCH($H37,英雄装备!$F:$F,0),MATCH(Q$2,英雄装备!$1:$1,0)-3),装备属性!$A:$C,3,0),VLOOKUP(INDEX(英雄装备!$F:$BZ,MATCH($H37,英雄装备!$F:$F,0),MATCH(Q$2,英雄装备!$1:$1,0)-2),装备属性!$A:$C,3,0),VLOOKUP(INDEX(英雄装备!$F:$BZ,MATCH($H37,英雄装备!$F:$F,0),MATCH(Q$2,英雄装备!$1:$1,0)-1),装备属性!$A:$C,3,0),VLOOKUP(INDEX(英雄装备!$F:$BZ,MATCH($H37,英雄装备!$F:$F,0),MATCH(Q$2,英雄装备!$1:$1,0)),装备属性!$A:$C,3,0))</f>
        <v>80</v>
      </c>
      <c r="R37" s="51">
        <f>MAX(VLOOKUP(INDEX(英雄装备!$F:$BZ,MATCH($H37,英雄装备!$F:$F,0),MATCH(R$2,英雄装备!$1:$1,0)-5),装备属性!$A:$C,3,0),VLOOKUP(INDEX(英雄装备!$F:$BZ,MATCH($H37,英雄装备!$F:$F,0),MATCH(R$2,英雄装备!$1:$1,0)-4),装备属性!$A:$C,3,0),VLOOKUP(INDEX(英雄装备!$F:$BZ,MATCH($H37,英雄装备!$F:$F,0),MATCH(R$2,英雄装备!$1:$1,0)-3),装备属性!$A:$C,3,0),VLOOKUP(INDEX(英雄装备!$F:$BZ,MATCH($H37,英雄装备!$F:$F,0),MATCH(R$2,英雄装备!$1:$1,0)-2),装备属性!$A:$C,3,0),VLOOKUP(INDEX(英雄装备!$F:$BZ,MATCH($H37,英雄装备!$F:$F,0),MATCH(R$2,英雄装备!$1:$1,0)-1),装备属性!$A:$C,3,0),VLOOKUP(INDEX(英雄装备!$F:$BZ,MATCH($H37,英雄装备!$F:$F,0),MATCH(R$2,英雄装备!$1:$1,0)),装备属性!$A:$C,3,0))</f>
        <v>72</v>
      </c>
      <c r="S37" s="51">
        <f>MAX(VLOOKUP(INDEX(英雄装备!$F:$BZ,MATCH($H37,英雄装备!$F:$F,0),MATCH(S$2,英雄装备!$1:$1,0)-5),装备属性!$A:$C,3,0),VLOOKUP(INDEX(英雄装备!$F:$BZ,MATCH($H37,英雄装备!$F:$F,0),MATCH(S$2,英雄装备!$1:$1,0)-4),装备属性!$A:$C,3,0),VLOOKUP(INDEX(英雄装备!$F:$BZ,MATCH($H37,英雄装备!$F:$F,0),MATCH(S$2,英雄装备!$1:$1,0)-3),装备属性!$A:$C,3,0),VLOOKUP(INDEX(英雄装备!$F:$BZ,MATCH($H37,英雄装备!$F:$F,0),MATCH(S$2,英雄装备!$1:$1,0)-2),装备属性!$A:$C,3,0),VLOOKUP(INDEX(英雄装备!$F:$BZ,MATCH($H37,英雄装备!$F:$F,0),MATCH(S$2,英雄装备!$1:$1,0)-1),装备属性!$A:$C,3,0),VLOOKUP(INDEX(英雄装备!$F:$BZ,MATCH($H37,英雄装备!$F:$F,0),MATCH(S$2,英雄装备!$1:$1,0)),装备属性!$A:$C,3,0))</f>
        <v>85</v>
      </c>
      <c r="T37" s="51">
        <f>MAX(VLOOKUP(INDEX(英雄装备!$F:$BZ,MATCH($H37,英雄装备!$F:$F,0),MATCH(T$2,英雄装备!$1:$1,0)-5),装备属性!$A:$C,3,0),VLOOKUP(INDEX(英雄装备!$F:$BZ,MATCH($H37,英雄装备!$F:$F,0),MATCH(T$2,英雄装备!$1:$1,0)-4),装备属性!$A:$C,3,0),VLOOKUP(INDEX(英雄装备!$F:$BZ,MATCH($H37,英雄装备!$F:$F,0),MATCH(T$2,英雄装备!$1:$1,0)-3),装备属性!$A:$C,3,0),VLOOKUP(INDEX(英雄装备!$F:$BZ,MATCH($H37,英雄装备!$F:$F,0),MATCH(T$2,英雄装备!$1:$1,0)-2),装备属性!$A:$C,3,0),VLOOKUP(INDEX(英雄装备!$F:$BZ,MATCH($H37,英雄装备!$F:$F,0),MATCH(T$2,英雄装备!$1:$1,0)-1),装备属性!$A:$C,3,0))</f>
        <v>88</v>
      </c>
      <c r="X37" s="151" t="b">
        <f t="shared" si="4"/>
        <v>1</v>
      </c>
      <c r="Y37" s="151" t="b">
        <f t="shared" si="4"/>
        <v>1</v>
      </c>
      <c r="Z37" s="151" t="b">
        <f t="shared" si="4"/>
        <v>1</v>
      </c>
      <c r="AA37" s="151" t="b">
        <f t="shared" si="4"/>
        <v>1</v>
      </c>
      <c r="AB37" s="151" t="b">
        <f t="shared" si="4"/>
        <v>1</v>
      </c>
      <c r="AC37" s="151" t="b">
        <f t="shared" si="4"/>
        <v>1</v>
      </c>
      <c r="AF37" s="151">
        <v>3</v>
      </c>
      <c r="AG37" s="151" t="str">
        <f>Z3</f>
        <v>大魔杖</v>
      </c>
      <c r="AH37" s="151">
        <f>VLOOKUP($AG37,装备属性!$A:$Y,5,0)</f>
        <v>3</v>
      </c>
      <c r="AI37" s="151">
        <f>VLOOKUP($AG37,装备属性!$A:$Y,6,0)</f>
        <v>3</v>
      </c>
      <c r="AJ37" s="151">
        <f>VLOOKUP($AG37,装备属性!$A:$Y,7,0)</f>
        <v>3</v>
      </c>
      <c r="AK37" s="151">
        <f>VLOOKUP($AG37,装备属性!$A:$Y,8,0)</f>
        <v>0</v>
      </c>
      <c r="AL37" s="151">
        <f>VLOOKUP($AG37,装备属性!$A:$Y,9,0)</f>
        <v>0</v>
      </c>
      <c r="AM37" s="151">
        <f>VLOOKUP($AG37,装备属性!$A:$Y,10,0)</f>
        <v>0</v>
      </c>
      <c r="AN37" s="151">
        <f>VLOOKUP($AG37,装备属性!$A:$Y,11,0)</f>
        <v>0</v>
      </c>
      <c r="AO37" s="151">
        <f>VLOOKUP($AG37,装备属性!$A:$Y,12,0)</f>
        <v>0</v>
      </c>
      <c r="AP37" s="151">
        <f>VLOOKUP($AG37,装备属性!$A:$Y,13,0)</f>
        <v>0</v>
      </c>
      <c r="AQ37" s="151">
        <f>VLOOKUP($AG37,装备属性!$A:$Y,14,0)</f>
        <v>0</v>
      </c>
      <c r="AR37" s="151">
        <f>VLOOKUP($AG37,装备属性!$A:$Y,15,0)</f>
        <v>0</v>
      </c>
      <c r="AS37" s="151">
        <f>VLOOKUP($AG37,装备属性!$A:$Y,16,0)</f>
        <v>0</v>
      </c>
      <c r="AT37" s="151">
        <f>VLOOKUP($AG37,装备属性!$A:$Y,17,0)</f>
        <v>0</v>
      </c>
      <c r="AU37" s="151">
        <f>VLOOKUP($AG37,装备属性!$A:$Y,18,0)</f>
        <v>0</v>
      </c>
      <c r="AV37" s="151">
        <f>VLOOKUP($AG37,装备属性!$A:$Y,19,0)</f>
        <v>0</v>
      </c>
      <c r="AW37" s="151">
        <f>VLOOKUP($AG37,装备属性!$A:$Y,20,0)</f>
        <v>15</v>
      </c>
      <c r="AX37" s="151">
        <f>VLOOKUP($AG37,装备属性!$A:$Y,21,0)</f>
        <v>15</v>
      </c>
      <c r="AY37" s="151">
        <f>VLOOKUP($AG37,装备属性!$A:$Y,22,0)</f>
        <v>0</v>
      </c>
      <c r="AZ37" s="151">
        <f>VLOOKUP($AG37,装备属性!$A:$Y,23,0)</f>
        <v>0</v>
      </c>
      <c r="BA37" s="151">
        <f>VLOOKUP($AG37,装备属性!$A:$Y,24,0)</f>
        <v>0</v>
      </c>
      <c r="BB37" s="151">
        <f>VLOOKUP($AG37,装备属性!$A:$Y,25,0)</f>
        <v>0</v>
      </c>
    </row>
    <row r="38" spans="2:54">
      <c r="B38" s="151" t="str">
        <f>英雄初始!A39</f>
        <v>双头龙</v>
      </c>
      <c r="H38" s="54" t="s">
        <v>191</v>
      </c>
      <c r="I38" s="51">
        <f>MAX(VLOOKUP(INDEX(英雄装备!$F:$BZ,MATCH($H38,英雄装备!$F:$F,0),MATCH(I$2,英雄装备!$1:$1,0)-5),装备属性!$A:$C,3,0),VLOOKUP(INDEX(英雄装备!$F:$BZ,MATCH($H38,英雄装备!$F:$F,0),MATCH(I$2,英雄装备!$1:$1,0)-4),装备属性!$A:$C,3,0),VLOOKUP(INDEX(英雄装备!$F:$BZ,MATCH($H38,英雄装备!$F:$F,0),MATCH(I$2,英雄装备!$1:$1,0)-3),装备属性!$A:$C,3,0),VLOOKUP(INDEX(英雄装备!$F:$BZ,MATCH($H38,英雄装备!$F:$F,0),MATCH(I$2,英雄装备!$1:$1,0)-2),装备属性!$A:$C,3,0),VLOOKUP(INDEX(英雄装备!$F:$BZ,MATCH($H38,英雄装备!$F:$F,0),MATCH(I$2,英雄装备!$1:$1,0)-1),装备属性!$A:$C,3,0),VLOOKUP(INDEX(英雄装备!$F:$BZ,MATCH($H38,英雄装备!$F:$F,0),MATCH(I$2,英雄装备!$1:$1,0)),装备属性!$A:$C,3,0))</f>
        <v>2</v>
      </c>
      <c r="J38" s="51">
        <f>MAX(VLOOKUP(INDEX(英雄装备!$F:$BZ,MATCH($H38,英雄装备!$F:$F,0),MATCH(J$2,英雄装备!$1:$1,0)-5),装备属性!$A:$C,3,0),VLOOKUP(INDEX(英雄装备!$F:$BZ,MATCH($H38,英雄装备!$F:$F,0),MATCH(J$2,英雄装备!$1:$1,0)-4),装备属性!$A:$C,3,0),VLOOKUP(INDEX(英雄装备!$F:$BZ,MATCH($H38,英雄装备!$F:$F,0),MATCH(J$2,英雄装备!$1:$1,0)-3),装备属性!$A:$C,3,0),VLOOKUP(INDEX(英雄装备!$F:$BZ,MATCH($H38,英雄装备!$F:$F,0),MATCH(J$2,英雄装备!$1:$1,0)-2),装备属性!$A:$C,3,0),VLOOKUP(INDEX(英雄装备!$F:$BZ,MATCH($H38,英雄装备!$F:$F,0),MATCH(J$2,英雄装备!$1:$1,0)-1),装备属性!$A:$C,3,0),VLOOKUP(INDEX(英雄装备!$F:$BZ,MATCH($H38,英雄装备!$F:$F,0),MATCH(J$2,英雄装备!$1:$1,0)),装备属性!$A:$C,3,0))</f>
        <v>11</v>
      </c>
      <c r="K38" s="51">
        <f>MAX(VLOOKUP(INDEX(英雄装备!$F:$BZ,MATCH($H38,英雄装备!$F:$F,0),MATCH(K$2,英雄装备!$1:$1,0)-5),装备属性!$A:$C,3,0),VLOOKUP(INDEX(英雄装备!$F:$BZ,MATCH($H38,英雄装备!$F:$F,0),MATCH(K$2,英雄装备!$1:$1,0)-4),装备属性!$A:$C,3,0),VLOOKUP(INDEX(英雄装备!$F:$BZ,MATCH($H38,英雄装备!$F:$F,0),MATCH(K$2,英雄装备!$1:$1,0)-3),装备属性!$A:$C,3,0),VLOOKUP(INDEX(英雄装备!$F:$BZ,MATCH($H38,英雄装备!$F:$F,0),MATCH(K$2,英雄装备!$1:$1,0)-2),装备属性!$A:$C,3,0),VLOOKUP(INDEX(英雄装备!$F:$BZ,MATCH($H38,英雄装备!$F:$F,0),MATCH(K$2,英雄装备!$1:$1,0)-1),装备属性!$A:$C,3,0),VLOOKUP(INDEX(英雄装备!$F:$BZ,MATCH($H38,英雄装备!$F:$F,0),MATCH(K$2,英雄装备!$1:$1,0)),装备属性!$A:$C,3,0))</f>
        <v>24</v>
      </c>
      <c r="L38" s="51">
        <f>MAX(VLOOKUP(INDEX(英雄装备!$F:$BZ,MATCH($H38,英雄装备!$F:$F,0),MATCH(L$2,英雄装备!$1:$1,0)-5),装备属性!$A:$C,3,0),VLOOKUP(INDEX(英雄装备!$F:$BZ,MATCH($H38,英雄装备!$F:$F,0),MATCH(L$2,英雄装备!$1:$1,0)-4),装备属性!$A:$C,3,0),VLOOKUP(INDEX(英雄装备!$F:$BZ,MATCH($H38,英雄装备!$F:$F,0),MATCH(L$2,英雄装备!$1:$1,0)-3),装备属性!$A:$C,3,0),VLOOKUP(INDEX(英雄装备!$F:$BZ,MATCH($H38,英雄装备!$F:$F,0),MATCH(L$2,英雄装备!$1:$1,0)-2),装备属性!$A:$C,3,0),VLOOKUP(INDEX(英雄装备!$F:$BZ,MATCH($H38,英雄装备!$F:$F,0),MATCH(L$2,英雄装备!$1:$1,0)-1),装备属性!$A:$C,3,0),VLOOKUP(INDEX(英雄装备!$F:$BZ,MATCH($H38,英雄装备!$F:$F,0),MATCH(L$2,英雄装备!$1:$1,0)),装备属性!$A:$C,3,0))</f>
        <v>35</v>
      </c>
      <c r="M38" s="51">
        <f>MAX(VLOOKUP(INDEX(英雄装备!$F:$BZ,MATCH($H38,英雄装备!$F:$F,0),MATCH(M$2,英雄装备!$1:$1,0)-5),装备属性!$A:$C,3,0),VLOOKUP(INDEX(英雄装备!$F:$BZ,MATCH($H38,英雄装备!$F:$F,0),MATCH(M$2,英雄装备!$1:$1,0)-4),装备属性!$A:$C,3,0),VLOOKUP(INDEX(英雄装备!$F:$BZ,MATCH($H38,英雄装备!$F:$F,0),MATCH(M$2,英雄装备!$1:$1,0)-3),装备属性!$A:$C,3,0),VLOOKUP(INDEX(英雄装备!$F:$BZ,MATCH($H38,英雄装备!$F:$F,0),MATCH(M$2,英雄装备!$1:$1,0)-2),装备属性!$A:$C,3,0),VLOOKUP(INDEX(英雄装备!$F:$BZ,MATCH($H38,英雄装备!$F:$F,0),MATCH(M$2,英雄装备!$1:$1,0)-1),装备属性!$A:$C,3,0),VLOOKUP(INDEX(英雄装备!$F:$BZ,MATCH($H38,英雄装备!$F:$F,0),MATCH(M$2,英雄装备!$1:$1,0)),装备属性!$A:$C,3,0))</f>
        <v>42</v>
      </c>
      <c r="N38" s="51">
        <f>MAX(VLOOKUP(INDEX(英雄装备!$F:$BZ,MATCH($H38,英雄装备!$F:$F,0),MATCH(N$2,英雄装备!$1:$1,0)-5),装备属性!$A:$C,3,0),VLOOKUP(INDEX(英雄装备!$F:$BZ,MATCH($H38,英雄装备!$F:$F,0),MATCH(N$2,英雄装备!$1:$1,0)-4),装备属性!$A:$C,3,0),VLOOKUP(INDEX(英雄装备!$F:$BZ,MATCH($H38,英雄装备!$F:$F,0),MATCH(N$2,英雄装备!$1:$1,0)-3),装备属性!$A:$C,3,0),VLOOKUP(INDEX(英雄装备!$F:$BZ,MATCH($H38,英雄装备!$F:$F,0),MATCH(N$2,英雄装备!$1:$1,0)-2),装备属性!$A:$C,3,0),VLOOKUP(INDEX(英雄装备!$F:$BZ,MATCH($H38,英雄装备!$F:$F,0),MATCH(N$2,英雄装备!$1:$1,0)-1),装备属性!$A:$C,3,0),VLOOKUP(INDEX(英雄装备!$F:$BZ,MATCH($H38,英雄装备!$F:$F,0),MATCH(N$2,英雄装备!$1:$1,0)),装备属性!$A:$C,3,0))</f>
        <v>51</v>
      </c>
      <c r="O38" s="51">
        <f>MAX(VLOOKUP(INDEX(英雄装备!$F:$BZ,MATCH($H38,英雄装备!$F:$F,0),MATCH(O$2,英雄装备!$1:$1,0)-5),装备属性!$A:$C,3,0),VLOOKUP(INDEX(英雄装备!$F:$BZ,MATCH($H38,英雄装备!$F:$F,0),MATCH(O$2,英雄装备!$1:$1,0)-4),装备属性!$A:$C,3,0),VLOOKUP(INDEX(英雄装备!$F:$BZ,MATCH($H38,英雄装备!$F:$F,0),MATCH(O$2,英雄装备!$1:$1,0)-3),装备属性!$A:$C,3,0),VLOOKUP(INDEX(英雄装备!$F:$BZ,MATCH($H38,英雄装备!$F:$F,0),MATCH(O$2,英雄装备!$1:$1,0)-2),装备属性!$A:$C,3,0),VLOOKUP(INDEX(英雄装备!$F:$BZ,MATCH($H38,英雄装备!$F:$F,0),MATCH(O$2,英雄装备!$1:$1,0)-1),装备属性!$A:$C,3,0),VLOOKUP(INDEX(英雄装备!$F:$BZ,MATCH($H38,英雄装备!$F:$F,0),MATCH(O$2,英雄装备!$1:$1,0)),装备属性!$A:$C,3,0))</f>
        <v>60</v>
      </c>
      <c r="P38" s="51">
        <f>MAX(VLOOKUP(INDEX(英雄装备!$F:$BZ,MATCH($H38,英雄装备!$F:$F,0),MATCH(P$2,英雄装备!$1:$1,0)-5),装备属性!$A:$C,3,0),VLOOKUP(INDEX(英雄装备!$F:$BZ,MATCH($H38,英雄装备!$F:$F,0),MATCH(P$2,英雄装备!$1:$1,0)-4),装备属性!$A:$C,3,0),VLOOKUP(INDEX(英雄装备!$F:$BZ,MATCH($H38,英雄装备!$F:$F,0),MATCH(P$2,英雄装备!$1:$1,0)-3),装备属性!$A:$C,3,0),VLOOKUP(INDEX(英雄装备!$F:$BZ,MATCH($H38,英雄装备!$F:$F,0),MATCH(P$2,英雄装备!$1:$1,0)-2),装备属性!$A:$C,3,0),VLOOKUP(INDEX(英雄装备!$F:$BZ,MATCH($H38,英雄装备!$F:$F,0),MATCH(P$2,英雄装备!$1:$1,0)-1),装备属性!$A:$C,3,0),VLOOKUP(INDEX(英雄装备!$F:$BZ,MATCH($H38,英雄装备!$F:$F,0),MATCH(P$2,英雄装备!$1:$1,0)),装备属性!$A:$C,3,0))</f>
        <v>70</v>
      </c>
      <c r="Q38" s="51">
        <f>MAX(VLOOKUP(INDEX(英雄装备!$F:$BZ,MATCH($H38,英雄装备!$F:$F,0),MATCH(Q$2,英雄装备!$1:$1,0)-5),装备属性!$A:$C,3,0),VLOOKUP(INDEX(英雄装备!$F:$BZ,MATCH($H38,英雄装备!$F:$F,0),MATCH(Q$2,英雄装备!$1:$1,0)-4),装备属性!$A:$C,3,0),VLOOKUP(INDEX(英雄装备!$F:$BZ,MATCH($H38,英雄装备!$F:$F,0),MATCH(Q$2,英雄装备!$1:$1,0)-3),装备属性!$A:$C,3,0),VLOOKUP(INDEX(英雄装备!$F:$BZ,MATCH($H38,英雄装备!$F:$F,0),MATCH(Q$2,英雄装备!$1:$1,0)-2),装备属性!$A:$C,3,0),VLOOKUP(INDEX(英雄装备!$F:$BZ,MATCH($H38,英雄装备!$F:$F,0),MATCH(Q$2,英雄装备!$1:$1,0)-1),装备属性!$A:$C,3,0),VLOOKUP(INDEX(英雄装备!$F:$BZ,MATCH($H38,英雄装备!$F:$F,0),MATCH(Q$2,英雄装备!$1:$1,0)),装备属性!$A:$C,3,0))</f>
        <v>80</v>
      </c>
      <c r="R38" s="51">
        <f>MAX(VLOOKUP(INDEX(英雄装备!$F:$BZ,MATCH($H38,英雄装备!$F:$F,0),MATCH(R$2,英雄装备!$1:$1,0)-5),装备属性!$A:$C,3,0),VLOOKUP(INDEX(英雄装备!$F:$BZ,MATCH($H38,英雄装备!$F:$F,0),MATCH(R$2,英雄装备!$1:$1,0)-4),装备属性!$A:$C,3,0),VLOOKUP(INDEX(英雄装备!$F:$BZ,MATCH($H38,英雄装备!$F:$F,0),MATCH(R$2,英雄装备!$1:$1,0)-3),装备属性!$A:$C,3,0),VLOOKUP(INDEX(英雄装备!$F:$BZ,MATCH($H38,英雄装备!$F:$F,0),MATCH(R$2,英雄装备!$1:$1,0)-2),装备属性!$A:$C,3,0),VLOOKUP(INDEX(英雄装备!$F:$BZ,MATCH($H38,英雄装备!$F:$F,0),MATCH(R$2,英雄装备!$1:$1,0)-1),装备属性!$A:$C,3,0),VLOOKUP(INDEX(英雄装备!$F:$BZ,MATCH($H38,英雄装备!$F:$F,0),MATCH(R$2,英雄装备!$1:$1,0)),装备属性!$A:$C,3,0))</f>
        <v>80</v>
      </c>
      <c r="S38" s="51">
        <f>MAX(VLOOKUP(INDEX(英雄装备!$F:$BZ,MATCH($H38,英雄装备!$F:$F,0),MATCH(S$2,英雄装备!$1:$1,0)-5),装备属性!$A:$C,3,0),VLOOKUP(INDEX(英雄装备!$F:$BZ,MATCH($H38,英雄装备!$F:$F,0),MATCH(S$2,英雄装备!$1:$1,0)-4),装备属性!$A:$C,3,0),VLOOKUP(INDEX(英雄装备!$F:$BZ,MATCH($H38,英雄装备!$F:$F,0),MATCH(S$2,英雄装备!$1:$1,0)-3),装备属性!$A:$C,3,0),VLOOKUP(INDEX(英雄装备!$F:$BZ,MATCH($H38,英雄装备!$F:$F,0),MATCH(S$2,英雄装备!$1:$1,0)-2),装备属性!$A:$C,3,0),VLOOKUP(INDEX(英雄装备!$F:$BZ,MATCH($H38,英雄装备!$F:$F,0),MATCH(S$2,英雄装备!$1:$1,0)-1),装备属性!$A:$C,3,0),VLOOKUP(INDEX(英雄装备!$F:$BZ,MATCH($H38,英雄装备!$F:$F,0),MATCH(S$2,英雄装备!$1:$1,0)),装备属性!$A:$C,3,0))</f>
        <v>85</v>
      </c>
      <c r="T38" s="51">
        <f>MAX(VLOOKUP(INDEX(英雄装备!$F:$BZ,MATCH($H38,英雄装备!$F:$F,0),MATCH(T$2,英雄装备!$1:$1,0)-5),装备属性!$A:$C,3,0),VLOOKUP(INDEX(英雄装备!$F:$BZ,MATCH($H38,英雄装备!$F:$F,0),MATCH(T$2,英雄装备!$1:$1,0)-4),装备属性!$A:$C,3,0),VLOOKUP(INDEX(英雄装备!$F:$BZ,MATCH($H38,英雄装备!$F:$F,0),MATCH(T$2,英雄装备!$1:$1,0)-3),装备属性!$A:$C,3,0),VLOOKUP(INDEX(英雄装备!$F:$BZ,MATCH($H38,英雄装备!$F:$F,0),MATCH(T$2,英雄装备!$1:$1,0)-2),装备属性!$A:$C,3,0),VLOOKUP(INDEX(英雄装备!$F:$BZ,MATCH($H38,英雄装备!$F:$F,0),MATCH(T$2,英雄装备!$1:$1,0)-1),装备属性!$A:$C,3,0))</f>
        <v>87</v>
      </c>
      <c r="X38" s="151" t="b">
        <f t="shared" si="4"/>
        <v>0</v>
      </c>
      <c r="Y38" s="151" t="b">
        <f t="shared" si="4"/>
        <v>0</v>
      </c>
      <c r="Z38" s="151" t="b">
        <f t="shared" si="4"/>
        <v>0</v>
      </c>
      <c r="AA38" s="151" t="b">
        <f t="shared" si="4"/>
        <v>0</v>
      </c>
      <c r="AB38" s="151" t="b">
        <f t="shared" si="4"/>
        <v>0</v>
      </c>
      <c r="AC38" s="151" t="b">
        <f t="shared" si="4"/>
        <v>0</v>
      </c>
      <c r="AF38" s="151">
        <v>3</v>
      </c>
      <c r="AG38" s="151" t="str">
        <f>AA3</f>
        <v>生命之球</v>
      </c>
      <c r="AH38" s="151">
        <f>VLOOKUP($AG38,装备属性!$A:$Y,5,0)</f>
        <v>0</v>
      </c>
      <c r="AI38" s="151">
        <f>VLOOKUP($AG38,装备属性!$A:$Y,6,0)</f>
        <v>0</v>
      </c>
      <c r="AJ38" s="151">
        <f>VLOOKUP($AG38,装备属性!$A:$Y,7,0)</f>
        <v>0</v>
      </c>
      <c r="AK38" s="151">
        <f>VLOOKUP($AG38,装备属性!$A:$Y,8,0)</f>
        <v>250</v>
      </c>
      <c r="AL38" s="151">
        <f>VLOOKUP($AG38,装备属性!$A:$Y,9,0)</f>
        <v>0</v>
      </c>
      <c r="AM38" s="151">
        <f>VLOOKUP($AG38,装备属性!$A:$Y,10,0)</f>
        <v>0</v>
      </c>
      <c r="AN38" s="151">
        <f>VLOOKUP($AG38,装备属性!$A:$Y,11,0)</f>
        <v>0</v>
      </c>
      <c r="AO38" s="151">
        <f>VLOOKUP($AG38,装备属性!$A:$Y,12,0)</f>
        <v>0</v>
      </c>
      <c r="AP38" s="151">
        <f>VLOOKUP($AG38,装备属性!$A:$Y,13,0)</f>
        <v>0</v>
      </c>
      <c r="AQ38" s="151">
        <f>VLOOKUP($AG38,装备属性!$A:$Y,14,0)</f>
        <v>0</v>
      </c>
      <c r="AR38" s="151">
        <f>VLOOKUP($AG38,装备属性!$A:$Y,15,0)</f>
        <v>0</v>
      </c>
      <c r="AS38" s="151">
        <f>VLOOKUP($AG38,装备属性!$A:$Y,16,0)</f>
        <v>0</v>
      </c>
      <c r="AT38" s="151">
        <f>VLOOKUP($AG38,装备属性!$A:$Y,17,0)</f>
        <v>0</v>
      </c>
      <c r="AU38" s="151">
        <f>VLOOKUP($AG38,装备属性!$A:$Y,18,0)</f>
        <v>0</v>
      </c>
      <c r="AV38" s="151">
        <f>VLOOKUP($AG38,装备属性!$A:$Y,19,0)</f>
        <v>0</v>
      </c>
      <c r="AW38" s="151">
        <f>VLOOKUP($AG38,装备属性!$A:$Y,20,0)</f>
        <v>0</v>
      </c>
      <c r="AX38" s="151">
        <f>VLOOKUP($AG38,装备属性!$A:$Y,21,0)</f>
        <v>0</v>
      </c>
      <c r="AY38" s="151">
        <f>VLOOKUP($AG38,装备属性!$A:$Y,22,0)</f>
        <v>0</v>
      </c>
      <c r="AZ38" s="151">
        <f>VLOOKUP($AG38,装备属性!$A:$Y,23,0)</f>
        <v>0</v>
      </c>
      <c r="BA38" s="151">
        <f>VLOOKUP($AG38,装备属性!$A:$Y,24,0)</f>
        <v>0</v>
      </c>
      <c r="BB38" s="151">
        <f>VLOOKUP($AG38,装备属性!$A:$Y,25,0)</f>
        <v>0</v>
      </c>
    </row>
    <row r="39" spans="2:54">
      <c r="B39" s="151" t="str">
        <f>英雄初始!A40</f>
        <v>死灵法师</v>
      </c>
      <c r="H39" s="54" t="s">
        <v>192</v>
      </c>
      <c r="I39" s="51">
        <f>MAX(VLOOKUP(INDEX(英雄装备!$F:$BZ,MATCH($H39,英雄装备!$F:$F,0),MATCH(I$2,英雄装备!$1:$1,0)-5),装备属性!$A:$C,3,0),VLOOKUP(INDEX(英雄装备!$F:$BZ,MATCH($H39,英雄装备!$F:$F,0),MATCH(I$2,英雄装备!$1:$1,0)-4),装备属性!$A:$C,3,0),VLOOKUP(INDEX(英雄装备!$F:$BZ,MATCH($H39,英雄装备!$F:$F,0),MATCH(I$2,英雄装备!$1:$1,0)-3),装备属性!$A:$C,3,0),VLOOKUP(INDEX(英雄装备!$F:$BZ,MATCH($H39,英雄装备!$F:$F,0),MATCH(I$2,英雄装备!$1:$1,0)-2),装备属性!$A:$C,3,0),VLOOKUP(INDEX(英雄装备!$F:$BZ,MATCH($H39,英雄装备!$F:$F,0),MATCH(I$2,英雄装备!$1:$1,0)-1),装备属性!$A:$C,3,0),VLOOKUP(INDEX(英雄装备!$F:$BZ,MATCH($H39,英雄装备!$F:$F,0),MATCH(I$2,英雄装备!$1:$1,0)),装备属性!$A:$C,3,0))</f>
        <v>2</v>
      </c>
      <c r="J39" s="51">
        <f>MAX(VLOOKUP(INDEX(英雄装备!$F:$BZ,MATCH($H39,英雄装备!$F:$F,0),MATCH(J$2,英雄装备!$1:$1,0)-5),装备属性!$A:$C,3,0),VLOOKUP(INDEX(英雄装备!$F:$BZ,MATCH($H39,英雄装备!$F:$F,0),MATCH(J$2,英雄装备!$1:$1,0)-4),装备属性!$A:$C,3,0),VLOOKUP(INDEX(英雄装备!$F:$BZ,MATCH($H39,英雄装备!$F:$F,0),MATCH(J$2,英雄装备!$1:$1,0)-3),装备属性!$A:$C,3,0),VLOOKUP(INDEX(英雄装备!$F:$BZ,MATCH($H39,英雄装备!$F:$F,0),MATCH(J$2,英雄装备!$1:$1,0)-2),装备属性!$A:$C,3,0),VLOOKUP(INDEX(英雄装备!$F:$BZ,MATCH($H39,英雄装备!$F:$F,0),MATCH(J$2,英雄装备!$1:$1,0)-1),装备属性!$A:$C,3,0),VLOOKUP(INDEX(英雄装备!$F:$BZ,MATCH($H39,英雄装备!$F:$F,0),MATCH(J$2,英雄装备!$1:$1,0)),装备属性!$A:$C,3,0))</f>
        <v>10</v>
      </c>
      <c r="K39" s="51">
        <f>MAX(VLOOKUP(INDEX(英雄装备!$F:$BZ,MATCH($H39,英雄装备!$F:$F,0),MATCH(K$2,英雄装备!$1:$1,0)-5),装备属性!$A:$C,3,0),VLOOKUP(INDEX(英雄装备!$F:$BZ,MATCH($H39,英雄装备!$F:$F,0),MATCH(K$2,英雄装备!$1:$1,0)-4),装备属性!$A:$C,3,0),VLOOKUP(INDEX(英雄装备!$F:$BZ,MATCH($H39,英雄装备!$F:$F,0),MATCH(K$2,英雄装备!$1:$1,0)-3),装备属性!$A:$C,3,0),VLOOKUP(INDEX(英雄装备!$F:$BZ,MATCH($H39,英雄装备!$F:$F,0),MATCH(K$2,英雄装备!$1:$1,0)-2),装备属性!$A:$C,3,0),VLOOKUP(INDEX(英雄装备!$F:$BZ,MATCH($H39,英雄装备!$F:$F,0),MATCH(K$2,英雄装备!$1:$1,0)-1),装备属性!$A:$C,3,0),VLOOKUP(INDEX(英雄装备!$F:$BZ,MATCH($H39,英雄装备!$F:$F,0),MATCH(K$2,英雄装备!$1:$1,0)),装备属性!$A:$C,3,0))</f>
        <v>20</v>
      </c>
      <c r="L39" s="51">
        <f>MAX(VLOOKUP(INDEX(英雄装备!$F:$BZ,MATCH($H39,英雄装备!$F:$F,0),MATCH(L$2,英雄装备!$1:$1,0)-5),装备属性!$A:$C,3,0),VLOOKUP(INDEX(英雄装备!$F:$BZ,MATCH($H39,英雄装备!$F:$F,0),MATCH(L$2,英雄装备!$1:$1,0)-4),装备属性!$A:$C,3,0),VLOOKUP(INDEX(英雄装备!$F:$BZ,MATCH($H39,英雄装备!$F:$F,0),MATCH(L$2,英雄装备!$1:$1,0)-3),装备属性!$A:$C,3,0),VLOOKUP(INDEX(英雄装备!$F:$BZ,MATCH($H39,英雄装备!$F:$F,0),MATCH(L$2,英雄装备!$1:$1,0)-2),装备属性!$A:$C,3,0),VLOOKUP(INDEX(英雄装备!$F:$BZ,MATCH($H39,英雄装备!$F:$F,0),MATCH(L$2,英雄装备!$1:$1,0)-1),装备属性!$A:$C,3,0),VLOOKUP(INDEX(英雄装备!$F:$BZ,MATCH($H39,英雄装备!$F:$F,0),MATCH(L$2,英雄装备!$1:$1,0)),装备属性!$A:$C,3,0))</f>
        <v>35</v>
      </c>
      <c r="M39" s="51">
        <f>MAX(VLOOKUP(INDEX(英雄装备!$F:$BZ,MATCH($H39,英雄装备!$F:$F,0),MATCH(M$2,英雄装备!$1:$1,0)-5),装备属性!$A:$C,3,0),VLOOKUP(INDEX(英雄装备!$F:$BZ,MATCH($H39,英雄装备!$F:$F,0),MATCH(M$2,英雄装备!$1:$1,0)-4),装备属性!$A:$C,3,0),VLOOKUP(INDEX(英雄装备!$F:$BZ,MATCH($H39,英雄装备!$F:$F,0),MATCH(M$2,英雄装备!$1:$1,0)-3),装备属性!$A:$C,3,0),VLOOKUP(INDEX(英雄装备!$F:$BZ,MATCH($H39,英雄装备!$F:$F,0),MATCH(M$2,英雄装备!$1:$1,0)-2),装备属性!$A:$C,3,0),VLOOKUP(INDEX(英雄装备!$F:$BZ,MATCH($H39,英雄装备!$F:$F,0),MATCH(M$2,英雄装备!$1:$1,0)-1),装备属性!$A:$C,3,0),VLOOKUP(INDEX(英雄装备!$F:$BZ,MATCH($H39,英雄装备!$F:$F,0),MATCH(M$2,英雄装备!$1:$1,0)),装备属性!$A:$C,3,0))</f>
        <v>43</v>
      </c>
      <c r="N39" s="51">
        <f>MAX(VLOOKUP(INDEX(英雄装备!$F:$BZ,MATCH($H39,英雄装备!$F:$F,0),MATCH(N$2,英雄装备!$1:$1,0)-5),装备属性!$A:$C,3,0),VLOOKUP(INDEX(英雄装备!$F:$BZ,MATCH($H39,英雄装备!$F:$F,0),MATCH(N$2,英雄装备!$1:$1,0)-4),装备属性!$A:$C,3,0),VLOOKUP(INDEX(英雄装备!$F:$BZ,MATCH($H39,英雄装备!$F:$F,0),MATCH(N$2,英雄装备!$1:$1,0)-3),装备属性!$A:$C,3,0),VLOOKUP(INDEX(英雄装备!$F:$BZ,MATCH($H39,英雄装备!$F:$F,0),MATCH(N$2,英雄装备!$1:$1,0)-2),装备属性!$A:$C,3,0),VLOOKUP(INDEX(英雄装备!$F:$BZ,MATCH($H39,英雄装备!$F:$F,0),MATCH(N$2,英雄装备!$1:$1,0)-1),装备属性!$A:$C,3,0),VLOOKUP(INDEX(英雄装备!$F:$BZ,MATCH($H39,英雄装备!$F:$F,0),MATCH(N$2,英雄装备!$1:$1,0)),装备属性!$A:$C,3,0))</f>
        <v>53</v>
      </c>
      <c r="O39" s="51">
        <f>MAX(VLOOKUP(INDEX(英雄装备!$F:$BZ,MATCH($H39,英雄装备!$F:$F,0),MATCH(O$2,英雄装备!$1:$1,0)-5),装备属性!$A:$C,3,0),VLOOKUP(INDEX(英雄装备!$F:$BZ,MATCH($H39,英雄装备!$F:$F,0),MATCH(O$2,英雄装备!$1:$1,0)-4),装备属性!$A:$C,3,0),VLOOKUP(INDEX(英雄装备!$F:$BZ,MATCH($H39,英雄装备!$F:$F,0),MATCH(O$2,英雄装备!$1:$1,0)-3),装备属性!$A:$C,3,0),VLOOKUP(INDEX(英雄装备!$F:$BZ,MATCH($H39,英雄装备!$F:$F,0),MATCH(O$2,英雄装备!$1:$1,0)-2),装备属性!$A:$C,3,0),VLOOKUP(INDEX(英雄装备!$F:$BZ,MATCH($H39,英雄装备!$F:$F,0),MATCH(O$2,英雄装备!$1:$1,0)-1),装备属性!$A:$C,3,0),VLOOKUP(INDEX(英雄装备!$F:$BZ,MATCH($H39,英雄装备!$F:$F,0),MATCH(O$2,英雄装备!$1:$1,0)),装备属性!$A:$C,3,0))</f>
        <v>63</v>
      </c>
      <c r="P39" s="51">
        <f>MAX(VLOOKUP(INDEX(英雄装备!$F:$BZ,MATCH($H39,英雄装备!$F:$F,0),MATCH(P$2,英雄装备!$1:$1,0)-5),装备属性!$A:$C,3,0),VLOOKUP(INDEX(英雄装备!$F:$BZ,MATCH($H39,英雄装备!$F:$F,0),MATCH(P$2,英雄装备!$1:$1,0)-4),装备属性!$A:$C,3,0),VLOOKUP(INDEX(英雄装备!$F:$BZ,MATCH($H39,英雄装备!$F:$F,0),MATCH(P$2,英雄装备!$1:$1,0)-3),装备属性!$A:$C,3,0),VLOOKUP(INDEX(英雄装备!$F:$BZ,MATCH($H39,英雄装备!$F:$F,0),MATCH(P$2,英雄装备!$1:$1,0)-2),装备属性!$A:$C,3,0),VLOOKUP(INDEX(英雄装备!$F:$BZ,MATCH($H39,英雄装备!$F:$F,0),MATCH(P$2,英雄装备!$1:$1,0)-1),装备属性!$A:$C,3,0),VLOOKUP(INDEX(英雄装备!$F:$BZ,MATCH($H39,英雄装备!$F:$F,0),MATCH(P$2,英雄装备!$1:$1,0)),装备属性!$A:$C,3,0))</f>
        <v>74</v>
      </c>
      <c r="Q39" s="51">
        <f>MAX(VLOOKUP(INDEX(英雄装备!$F:$BZ,MATCH($H39,英雄装备!$F:$F,0),MATCH(Q$2,英雄装备!$1:$1,0)-5),装备属性!$A:$C,3,0),VLOOKUP(INDEX(英雄装备!$F:$BZ,MATCH($H39,英雄装备!$F:$F,0),MATCH(Q$2,英雄装备!$1:$1,0)-4),装备属性!$A:$C,3,0),VLOOKUP(INDEX(英雄装备!$F:$BZ,MATCH($H39,英雄装备!$F:$F,0),MATCH(Q$2,英雄装备!$1:$1,0)-3),装备属性!$A:$C,3,0),VLOOKUP(INDEX(英雄装备!$F:$BZ,MATCH($H39,英雄装备!$F:$F,0),MATCH(Q$2,英雄装备!$1:$1,0)-2),装备属性!$A:$C,3,0),VLOOKUP(INDEX(英雄装备!$F:$BZ,MATCH($H39,英雄装备!$F:$F,0),MATCH(Q$2,英雄装备!$1:$1,0)-1),装备属性!$A:$C,3,0),VLOOKUP(INDEX(英雄装备!$F:$BZ,MATCH($H39,英雄装备!$F:$F,0),MATCH(Q$2,英雄装备!$1:$1,0)),装备属性!$A:$C,3,0))</f>
        <v>78</v>
      </c>
      <c r="R39" s="51">
        <f>MAX(VLOOKUP(INDEX(英雄装备!$F:$BZ,MATCH($H39,英雄装备!$F:$F,0),MATCH(R$2,英雄装备!$1:$1,0)-5),装备属性!$A:$C,3,0),VLOOKUP(INDEX(英雄装备!$F:$BZ,MATCH($H39,英雄装备!$F:$F,0),MATCH(R$2,英雄装备!$1:$1,0)-4),装备属性!$A:$C,3,0),VLOOKUP(INDEX(英雄装备!$F:$BZ,MATCH($H39,英雄装备!$F:$F,0),MATCH(R$2,英雄装备!$1:$1,0)-3),装备属性!$A:$C,3,0),VLOOKUP(INDEX(英雄装备!$F:$BZ,MATCH($H39,英雄装备!$F:$F,0),MATCH(R$2,英雄装备!$1:$1,0)-2),装备属性!$A:$C,3,0),VLOOKUP(INDEX(英雄装备!$F:$BZ,MATCH($H39,英雄装备!$F:$F,0),MATCH(R$2,英雄装备!$1:$1,0)-1),装备属性!$A:$C,3,0),VLOOKUP(INDEX(英雄装备!$F:$BZ,MATCH($H39,英雄装备!$F:$F,0),MATCH(R$2,英雄装备!$1:$1,0)),装备属性!$A:$C,3,0))</f>
        <v>80</v>
      </c>
      <c r="S39" s="51">
        <f>MAX(VLOOKUP(INDEX(英雄装备!$F:$BZ,MATCH($H39,英雄装备!$F:$F,0),MATCH(S$2,英雄装备!$1:$1,0)-5),装备属性!$A:$C,3,0),VLOOKUP(INDEX(英雄装备!$F:$BZ,MATCH($H39,英雄装备!$F:$F,0),MATCH(S$2,英雄装备!$1:$1,0)-4),装备属性!$A:$C,3,0),VLOOKUP(INDEX(英雄装备!$F:$BZ,MATCH($H39,英雄装备!$F:$F,0),MATCH(S$2,英雄装备!$1:$1,0)-3),装备属性!$A:$C,3,0),VLOOKUP(INDEX(英雄装备!$F:$BZ,MATCH($H39,英雄装备!$F:$F,0),MATCH(S$2,英雄装备!$1:$1,0)-2),装备属性!$A:$C,3,0),VLOOKUP(INDEX(英雄装备!$F:$BZ,MATCH($H39,英雄装备!$F:$F,0),MATCH(S$2,英雄装备!$1:$1,0)-1),装备属性!$A:$C,3,0),VLOOKUP(INDEX(英雄装备!$F:$BZ,MATCH($H39,英雄装备!$F:$F,0),MATCH(S$2,英雄装备!$1:$1,0)),装备属性!$A:$C,3,0))</f>
        <v>85</v>
      </c>
      <c r="T39" s="51">
        <f>MAX(VLOOKUP(INDEX(英雄装备!$F:$BZ,MATCH($H39,英雄装备!$F:$F,0),MATCH(T$2,英雄装备!$1:$1,0)-5),装备属性!$A:$C,3,0),VLOOKUP(INDEX(英雄装备!$F:$BZ,MATCH($H39,英雄装备!$F:$F,0),MATCH(T$2,英雄装备!$1:$1,0)-4),装备属性!$A:$C,3,0),VLOOKUP(INDEX(英雄装备!$F:$BZ,MATCH($H39,英雄装备!$F:$F,0),MATCH(T$2,英雄装备!$1:$1,0)-3),装备属性!$A:$C,3,0),VLOOKUP(INDEX(英雄装备!$F:$BZ,MATCH($H39,英雄装备!$F:$F,0),MATCH(T$2,英雄装备!$1:$1,0)-2),装备属性!$A:$C,3,0),VLOOKUP(INDEX(英雄装备!$F:$BZ,MATCH($H39,英雄装备!$F:$F,0),MATCH(T$2,英雄装备!$1:$1,0)-1),装备属性!$A:$C,3,0))</f>
        <v>87</v>
      </c>
      <c r="AF39" s="151">
        <v>3</v>
      </c>
      <c r="AG39" s="151" t="str">
        <f>AB3</f>
        <v>攻击利爪</v>
      </c>
      <c r="AH39" s="151">
        <f>VLOOKUP($AG39,装备属性!$A:$Y,5,0)</f>
        <v>0</v>
      </c>
      <c r="AI39" s="151">
        <f>VLOOKUP($AG39,装备属性!$A:$Y,6,0)</f>
        <v>0</v>
      </c>
      <c r="AJ39" s="151">
        <f>VLOOKUP($AG39,装备属性!$A:$Y,7,0)</f>
        <v>0</v>
      </c>
      <c r="AK39" s="151">
        <f>VLOOKUP($AG39,装备属性!$A:$Y,8,0)</f>
        <v>0</v>
      </c>
      <c r="AL39" s="151">
        <f>VLOOKUP($AG39,装备属性!$A:$Y,9,0)</f>
        <v>9</v>
      </c>
      <c r="AM39" s="151">
        <f>VLOOKUP($AG39,装备属性!$A:$Y,10,0)</f>
        <v>0</v>
      </c>
      <c r="AN39" s="151">
        <f>VLOOKUP($AG39,装备属性!$A:$Y,11,0)</f>
        <v>0</v>
      </c>
      <c r="AO39" s="151">
        <f>VLOOKUP($AG39,装备属性!$A:$Y,12,0)</f>
        <v>0</v>
      </c>
      <c r="AP39" s="151">
        <f>VLOOKUP($AG39,装备属性!$A:$Y,13,0)</f>
        <v>0</v>
      </c>
      <c r="AQ39" s="151">
        <f>VLOOKUP($AG39,装备属性!$A:$Y,14,0)</f>
        <v>0</v>
      </c>
      <c r="AR39" s="151">
        <f>VLOOKUP($AG39,装备属性!$A:$Y,15,0)</f>
        <v>0</v>
      </c>
      <c r="AS39" s="151">
        <f>VLOOKUP($AG39,装备属性!$A:$Y,16,0)</f>
        <v>0</v>
      </c>
      <c r="AT39" s="151">
        <f>VLOOKUP($AG39,装备属性!$A:$Y,17,0)</f>
        <v>0</v>
      </c>
      <c r="AU39" s="151">
        <f>VLOOKUP($AG39,装备属性!$A:$Y,18,0)</f>
        <v>0</v>
      </c>
      <c r="AV39" s="151">
        <f>VLOOKUP($AG39,装备属性!$A:$Y,19,0)</f>
        <v>0</v>
      </c>
      <c r="AW39" s="151">
        <f>VLOOKUP($AG39,装备属性!$A:$Y,20,0)</f>
        <v>0</v>
      </c>
      <c r="AX39" s="151">
        <f>VLOOKUP($AG39,装备属性!$A:$Y,21,0)</f>
        <v>0</v>
      </c>
      <c r="AY39" s="151">
        <f>VLOOKUP($AG39,装备属性!$A:$Y,22,0)</f>
        <v>0</v>
      </c>
      <c r="AZ39" s="151">
        <f>VLOOKUP($AG39,装备属性!$A:$Y,23,0)</f>
        <v>0</v>
      </c>
      <c r="BA39" s="151">
        <f>VLOOKUP($AG39,装备属性!$A:$Y,24,0)</f>
        <v>0</v>
      </c>
      <c r="BB39" s="151">
        <f>VLOOKUP($AG39,装备属性!$A:$Y,25,0)</f>
        <v>0</v>
      </c>
    </row>
    <row r="40" spans="2:54">
      <c r="B40" s="151" t="str">
        <f>英雄初始!A41</f>
        <v>术士</v>
      </c>
      <c r="H40" s="54" t="s">
        <v>193</v>
      </c>
      <c r="I40" s="51">
        <f>MAX(VLOOKUP(INDEX(英雄装备!$F:$BZ,MATCH($H40,英雄装备!$F:$F,0),MATCH(I$2,英雄装备!$1:$1,0)-5),装备属性!$A:$C,3,0),VLOOKUP(INDEX(英雄装备!$F:$BZ,MATCH($H40,英雄装备!$F:$F,0),MATCH(I$2,英雄装备!$1:$1,0)-4),装备属性!$A:$C,3,0),VLOOKUP(INDEX(英雄装备!$F:$BZ,MATCH($H40,英雄装备!$F:$F,0),MATCH(I$2,英雄装备!$1:$1,0)-3),装备属性!$A:$C,3,0),VLOOKUP(INDEX(英雄装备!$F:$BZ,MATCH($H40,英雄装备!$F:$F,0),MATCH(I$2,英雄装备!$1:$1,0)-2),装备属性!$A:$C,3,0),VLOOKUP(INDEX(英雄装备!$F:$BZ,MATCH($H40,英雄装备!$F:$F,0),MATCH(I$2,英雄装备!$1:$1,0)-1),装备属性!$A:$C,3,0),VLOOKUP(INDEX(英雄装备!$F:$BZ,MATCH($H40,英雄装备!$F:$F,0),MATCH(I$2,英雄装备!$1:$1,0)),装备属性!$A:$C,3,0))</f>
        <v>2</v>
      </c>
      <c r="J40" s="51">
        <f>MAX(VLOOKUP(INDEX(英雄装备!$F:$BZ,MATCH($H40,英雄装备!$F:$F,0),MATCH(J$2,英雄装备!$1:$1,0)-5),装备属性!$A:$C,3,0),VLOOKUP(INDEX(英雄装备!$F:$BZ,MATCH($H40,英雄装备!$F:$F,0),MATCH(J$2,英雄装备!$1:$1,0)-4),装备属性!$A:$C,3,0),VLOOKUP(INDEX(英雄装备!$F:$BZ,MATCH($H40,英雄装备!$F:$F,0),MATCH(J$2,英雄装备!$1:$1,0)-3),装备属性!$A:$C,3,0),VLOOKUP(INDEX(英雄装备!$F:$BZ,MATCH($H40,英雄装备!$F:$F,0),MATCH(J$2,英雄装备!$1:$1,0)-2),装备属性!$A:$C,3,0),VLOOKUP(INDEX(英雄装备!$F:$BZ,MATCH($H40,英雄装备!$F:$F,0),MATCH(J$2,英雄装备!$1:$1,0)-1),装备属性!$A:$C,3,0),VLOOKUP(INDEX(英雄装备!$F:$BZ,MATCH($H40,英雄装备!$F:$F,0),MATCH(J$2,英雄装备!$1:$1,0)),装备属性!$A:$C,3,0))</f>
        <v>10</v>
      </c>
      <c r="K40" s="51">
        <f>MAX(VLOOKUP(INDEX(英雄装备!$F:$BZ,MATCH($H40,英雄装备!$F:$F,0),MATCH(K$2,英雄装备!$1:$1,0)-5),装备属性!$A:$C,3,0),VLOOKUP(INDEX(英雄装备!$F:$BZ,MATCH($H40,英雄装备!$F:$F,0),MATCH(K$2,英雄装备!$1:$1,0)-4),装备属性!$A:$C,3,0),VLOOKUP(INDEX(英雄装备!$F:$BZ,MATCH($H40,英雄装备!$F:$F,0),MATCH(K$2,英雄装备!$1:$1,0)-3),装备属性!$A:$C,3,0),VLOOKUP(INDEX(英雄装备!$F:$BZ,MATCH($H40,英雄装备!$F:$F,0),MATCH(K$2,英雄装备!$1:$1,0)-2),装备属性!$A:$C,3,0),VLOOKUP(INDEX(英雄装备!$F:$BZ,MATCH($H40,英雄装备!$F:$F,0),MATCH(K$2,英雄装备!$1:$1,0)-1),装备属性!$A:$C,3,0),VLOOKUP(INDEX(英雄装备!$F:$BZ,MATCH($H40,英雄装备!$F:$F,0),MATCH(K$2,英雄装备!$1:$1,0)),装备属性!$A:$C,3,0))</f>
        <v>20</v>
      </c>
      <c r="L40" s="51">
        <f>MAX(VLOOKUP(INDEX(英雄装备!$F:$BZ,MATCH($H40,英雄装备!$F:$F,0),MATCH(L$2,英雄装备!$1:$1,0)-5),装备属性!$A:$C,3,0),VLOOKUP(INDEX(英雄装备!$F:$BZ,MATCH($H40,英雄装备!$F:$F,0),MATCH(L$2,英雄装备!$1:$1,0)-4),装备属性!$A:$C,3,0),VLOOKUP(INDEX(英雄装备!$F:$BZ,MATCH($H40,英雄装备!$F:$F,0),MATCH(L$2,英雄装备!$1:$1,0)-3),装备属性!$A:$C,3,0),VLOOKUP(INDEX(英雄装备!$F:$BZ,MATCH($H40,英雄装备!$F:$F,0),MATCH(L$2,英雄装备!$1:$1,0)-2),装备属性!$A:$C,3,0),VLOOKUP(INDEX(英雄装备!$F:$BZ,MATCH($H40,英雄装备!$F:$F,0),MATCH(L$2,英雄装备!$1:$1,0)-1),装备属性!$A:$C,3,0),VLOOKUP(INDEX(英雄装备!$F:$BZ,MATCH($H40,英雄装备!$F:$F,0),MATCH(L$2,英雄装备!$1:$1,0)),装备属性!$A:$C,3,0))</f>
        <v>34</v>
      </c>
      <c r="M40" s="51">
        <f>MAX(VLOOKUP(INDEX(英雄装备!$F:$BZ,MATCH($H40,英雄装备!$F:$F,0),MATCH(M$2,英雄装备!$1:$1,0)-5),装备属性!$A:$C,3,0),VLOOKUP(INDEX(英雄装备!$F:$BZ,MATCH($H40,英雄装备!$F:$F,0),MATCH(M$2,英雄装备!$1:$1,0)-4),装备属性!$A:$C,3,0),VLOOKUP(INDEX(英雄装备!$F:$BZ,MATCH($H40,英雄装备!$F:$F,0),MATCH(M$2,英雄装备!$1:$1,0)-3),装备属性!$A:$C,3,0),VLOOKUP(INDEX(英雄装备!$F:$BZ,MATCH($H40,英雄装备!$F:$F,0),MATCH(M$2,英雄装备!$1:$1,0)-2),装备属性!$A:$C,3,0),VLOOKUP(INDEX(英雄装备!$F:$BZ,MATCH($H40,英雄装备!$F:$F,0),MATCH(M$2,英雄装备!$1:$1,0)-1),装备属性!$A:$C,3,0),VLOOKUP(INDEX(英雄装备!$F:$BZ,MATCH($H40,英雄装备!$F:$F,0),MATCH(M$2,英雄装备!$1:$1,0)),装备属性!$A:$C,3,0))</f>
        <v>43</v>
      </c>
      <c r="N40" s="51">
        <f>MAX(VLOOKUP(INDEX(英雄装备!$F:$BZ,MATCH($H40,英雄装备!$F:$F,0),MATCH(N$2,英雄装备!$1:$1,0)-5),装备属性!$A:$C,3,0),VLOOKUP(INDEX(英雄装备!$F:$BZ,MATCH($H40,英雄装备!$F:$F,0),MATCH(N$2,英雄装备!$1:$1,0)-4),装备属性!$A:$C,3,0),VLOOKUP(INDEX(英雄装备!$F:$BZ,MATCH($H40,英雄装备!$F:$F,0),MATCH(N$2,英雄装备!$1:$1,0)-3),装备属性!$A:$C,3,0),VLOOKUP(INDEX(英雄装备!$F:$BZ,MATCH($H40,英雄装备!$F:$F,0),MATCH(N$2,英雄装备!$1:$1,0)-2),装备属性!$A:$C,3,0),VLOOKUP(INDEX(英雄装备!$F:$BZ,MATCH($H40,英雄装备!$F:$F,0),MATCH(N$2,英雄装备!$1:$1,0)-1),装备属性!$A:$C,3,0),VLOOKUP(INDEX(英雄装备!$F:$BZ,MATCH($H40,英雄装备!$F:$F,0),MATCH(N$2,英雄装备!$1:$1,0)),装备属性!$A:$C,3,0))</f>
        <v>53</v>
      </c>
      <c r="O40" s="51">
        <f>MAX(VLOOKUP(INDEX(英雄装备!$F:$BZ,MATCH($H40,英雄装备!$F:$F,0),MATCH(O$2,英雄装备!$1:$1,0)-5),装备属性!$A:$C,3,0),VLOOKUP(INDEX(英雄装备!$F:$BZ,MATCH($H40,英雄装备!$F:$F,0),MATCH(O$2,英雄装备!$1:$1,0)-4),装备属性!$A:$C,3,0),VLOOKUP(INDEX(英雄装备!$F:$BZ,MATCH($H40,英雄装备!$F:$F,0),MATCH(O$2,英雄装备!$1:$1,0)-3),装备属性!$A:$C,3,0),VLOOKUP(INDEX(英雄装备!$F:$BZ,MATCH($H40,英雄装备!$F:$F,0),MATCH(O$2,英雄装备!$1:$1,0)-2),装备属性!$A:$C,3,0),VLOOKUP(INDEX(英雄装备!$F:$BZ,MATCH($H40,英雄装备!$F:$F,0),MATCH(O$2,英雄装备!$1:$1,0)-1),装备属性!$A:$C,3,0),VLOOKUP(INDEX(英雄装备!$F:$BZ,MATCH($H40,英雄装备!$F:$F,0),MATCH(O$2,英雄装备!$1:$1,0)),装备属性!$A:$C,3,0))</f>
        <v>63</v>
      </c>
      <c r="P40" s="51">
        <f>MAX(VLOOKUP(INDEX(英雄装备!$F:$BZ,MATCH($H40,英雄装备!$F:$F,0),MATCH(P$2,英雄装备!$1:$1,0)-5),装备属性!$A:$C,3,0),VLOOKUP(INDEX(英雄装备!$F:$BZ,MATCH($H40,英雄装备!$F:$F,0),MATCH(P$2,英雄装备!$1:$1,0)-4),装备属性!$A:$C,3,0),VLOOKUP(INDEX(英雄装备!$F:$BZ,MATCH($H40,英雄装备!$F:$F,0),MATCH(P$2,英雄装备!$1:$1,0)-3),装备属性!$A:$C,3,0),VLOOKUP(INDEX(英雄装备!$F:$BZ,MATCH($H40,英雄装备!$F:$F,0),MATCH(P$2,英雄装备!$1:$1,0)-2),装备属性!$A:$C,3,0),VLOOKUP(INDEX(英雄装备!$F:$BZ,MATCH($H40,英雄装备!$F:$F,0),MATCH(P$2,英雄装备!$1:$1,0)-1),装备属性!$A:$C,3,0),VLOOKUP(INDEX(英雄装备!$F:$BZ,MATCH($H40,英雄装备!$F:$F,0),MATCH(P$2,英雄装备!$1:$1,0)),装备属性!$A:$C,3,0))</f>
        <v>70</v>
      </c>
      <c r="Q40" s="51">
        <f>MAX(VLOOKUP(INDEX(英雄装备!$F:$BZ,MATCH($H40,英雄装备!$F:$F,0),MATCH(Q$2,英雄装备!$1:$1,0)-5),装备属性!$A:$C,3,0),VLOOKUP(INDEX(英雄装备!$F:$BZ,MATCH($H40,英雄装备!$F:$F,0),MATCH(Q$2,英雄装备!$1:$1,0)-4),装备属性!$A:$C,3,0),VLOOKUP(INDEX(英雄装备!$F:$BZ,MATCH($H40,英雄装备!$F:$F,0),MATCH(Q$2,英雄装备!$1:$1,0)-3),装备属性!$A:$C,3,0),VLOOKUP(INDEX(英雄装备!$F:$BZ,MATCH($H40,英雄装备!$F:$F,0),MATCH(Q$2,英雄装备!$1:$1,0)-2),装备属性!$A:$C,3,0),VLOOKUP(INDEX(英雄装备!$F:$BZ,MATCH($H40,英雄装备!$F:$F,0),MATCH(Q$2,英雄装备!$1:$1,0)-1),装备属性!$A:$C,3,0),VLOOKUP(INDEX(英雄装备!$F:$BZ,MATCH($H40,英雄装备!$F:$F,0),MATCH(Q$2,英雄装备!$1:$1,0)),装备属性!$A:$C,3,0))</f>
        <v>78</v>
      </c>
      <c r="R40" s="51">
        <f>MAX(VLOOKUP(INDEX(英雄装备!$F:$BZ,MATCH($H40,英雄装备!$F:$F,0),MATCH(R$2,英雄装备!$1:$1,0)-5),装备属性!$A:$C,3,0),VLOOKUP(INDEX(英雄装备!$F:$BZ,MATCH($H40,英雄装备!$F:$F,0),MATCH(R$2,英雄装备!$1:$1,0)-4),装备属性!$A:$C,3,0),VLOOKUP(INDEX(英雄装备!$F:$BZ,MATCH($H40,英雄装备!$F:$F,0),MATCH(R$2,英雄装备!$1:$1,0)-3),装备属性!$A:$C,3,0),VLOOKUP(INDEX(英雄装备!$F:$BZ,MATCH($H40,英雄装备!$F:$F,0),MATCH(R$2,英雄装备!$1:$1,0)-2),装备属性!$A:$C,3,0),VLOOKUP(INDEX(英雄装备!$F:$BZ,MATCH($H40,英雄装备!$F:$F,0),MATCH(R$2,英雄装备!$1:$1,0)-1),装备属性!$A:$C,3,0),VLOOKUP(INDEX(英雄装备!$F:$BZ,MATCH($H40,英雄装备!$F:$F,0),MATCH(R$2,英雄装备!$1:$1,0)),装备属性!$A:$C,3,0))</f>
        <v>80</v>
      </c>
      <c r="S40" s="51">
        <f>MAX(VLOOKUP(INDEX(英雄装备!$F:$BZ,MATCH($H40,英雄装备!$F:$F,0),MATCH(S$2,英雄装备!$1:$1,0)-5),装备属性!$A:$C,3,0),VLOOKUP(INDEX(英雄装备!$F:$BZ,MATCH($H40,英雄装备!$F:$F,0),MATCH(S$2,英雄装备!$1:$1,0)-4),装备属性!$A:$C,3,0),VLOOKUP(INDEX(英雄装备!$F:$BZ,MATCH($H40,英雄装备!$F:$F,0),MATCH(S$2,英雄装备!$1:$1,0)-3),装备属性!$A:$C,3,0),VLOOKUP(INDEX(英雄装备!$F:$BZ,MATCH($H40,英雄装备!$F:$F,0),MATCH(S$2,英雄装备!$1:$1,0)-2),装备属性!$A:$C,3,0),VLOOKUP(INDEX(英雄装备!$F:$BZ,MATCH($H40,英雄装备!$F:$F,0),MATCH(S$2,英雄装备!$1:$1,0)-1),装备属性!$A:$C,3,0),VLOOKUP(INDEX(英雄装备!$F:$BZ,MATCH($H40,英雄装备!$F:$F,0),MATCH(S$2,英雄装备!$1:$1,0)),装备属性!$A:$C,3,0))</f>
        <v>85</v>
      </c>
      <c r="T40" s="51">
        <f>MAX(VLOOKUP(INDEX(英雄装备!$F:$BZ,MATCH($H40,英雄装备!$F:$F,0),MATCH(T$2,英雄装备!$1:$1,0)-5),装备属性!$A:$C,3,0),VLOOKUP(INDEX(英雄装备!$F:$BZ,MATCH($H40,英雄装备!$F:$F,0),MATCH(T$2,英雄装备!$1:$1,0)-4),装备属性!$A:$C,3,0),VLOOKUP(INDEX(英雄装备!$F:$BZ,MATCH($H40,英雄装备!$F:$F,0),MATCH(T$2,英雄装备!$1:$1,0)-3),装备属性!$A:$C,3,0),VLOOKUP(INDEX(英雄装备!$F:$BZ,MATCH($H40,英雄装备!$F:$F,0),MATCH(T$2,英雄装备!$1:$1,0)-2),装备属性!$A:$C,3,0),VLOOKUP(INDEX(英雄装备!$F:$BZ,MATCH($H40,英雄装备!$F:$F,0),MATCH(T$2,英雄装备!$1:$1,0)-1),装备属性!$A:$C,3,0))</f>
        <v>87</v>
      </c>
      <c r="AF40" s="151">
        <v>3</v>
      </c>
      <c r="AG40" s="151" t="str">
        <f>AC3</f>
        <v>鞋</v>
      </c>
      <c r="AH40" s="151">
        <f>VLOOKUP($AG40,装备属性!$A:$Y,5,0)</f>
        <v>5</v>
      </c>
      <c r="AI40" s="151">
        <f>VLOOKUP($AG40,装备属性!$A:$Y,6,0)</f>
        <v>5</v>
      </c>
      <c r="AJ40" s="151">
        <f>VLOOKUP($AG40,装备属性!$A:$Y,7,0)</f>
        <v>5</v>
      </c>
      <c r="AK40" s="151">
        <f>VLOOKUP($AG40,装备属性!$A:$Y,8,0)</f>
        <v>0</v>
      </c>
      <c r="AL40" s="151">
        <f>VLOOKUP($AG40,装备属性!$A:$Y,9,0)</f>
        <v>0</v>
      </c>
      <c r="AM40" s="151">
        <f>VLOOKUP($AG40,装备属性!$A:$Y,10,0)</f>
        <v>0</v>
      </c>
      <c r="AN40" s="151">
        <f>VLOOKUP($AG40,装备属性!$A:$Y,11,0)</f>
        <v>0</v>
      </c>
      <c r="AO40" s="151">
        <f>VLOOKUP($AG40,装备属性!$A:$Y,12,0)</f>
        <v>0</v>
      </c>
      <c r="AP40" s="151">
        <f>VLOOKUP($AG40,装备属性!$A:$Y,13,0)</f>
        <v>0</v>
      </c>
      <c r="AQ40" s="151">
        <f>VLOOKUP($AG40,装备属性!$A:$Y,14,0)</f>
        <v>0</v>
      </c>
      <c r="AR40" s="151">
        <f>VLOOKUP($AG40,装备属性!$A:$Y,15,0)</f>
        <v>0</v>
      </c>
      <c r="AS40" s="151">
        <f>VLOOKUP($AG40,装备属性!$A:$Y,16,0)</f>
        <v>0</v>
      </c>
      <c r="AT40" s="151">
        <f>VLOOKUP($AG40,装备属性!$A:$Y,17,0)</f>
        <v>0</v>
      </c>
      <c r="AU40" s="151">
        <f>VLOOKUP($AG40,装备属性!$A:$Y,18,0)</f>
        <v>0</v>
      </c>
      <c r="AV40" s="151">
        <f>VLOOKUP($AG40,装备属性!$A:$Y,19,0)</f>
        <v>0</v>
      </c>
      <c r="AW40" s="151">
        <f>VLOOKUP($AG40,装备属性!$A:$Y,20,0)</f>
        <v>0</v>
      </c>
      <c r="AX40" s="151">
        <f>VLOOKUP($AG40,装备属性!$A:$Y,21,0)</f>
        <v>0</v>
      </c>
      <c r="AY40" s="151">
        <f>VLOOKUP($AG40,装备属性!$A:$Y,22,0)</f>
        <v>0</v>
      </c>
      <c r="AZ40" s="151">
        <f>VLOOKUP($AG40,装备属性!$A:$Y,23,0)</f>
        <v>0</v>
      </c>
      <c r="BA40" s="151">
        <f>VLOOKUP($AG40,装备属性!$A:$Y,24,0)</f>
        <v>0</v>
      </c>
      <c r="BB40" s="151">
        <f>VLOOKUP($AG40,装备属性!$A:$Y,25,0)</f>
        <v>0</v>
      </c>
    </row>
    <row r="41" spans="2:54">
      <c r="B41" s="151" t="str">
        <f>英雄初始!A42</f>
        <v>死亡先知</v>
      </c>
      <c r="H41" s="54" t="s">
        <v>194</v>
      </c>
      <c r="I41" s="51">
        <f>MAX(VLOOKUP(INDEX(英雄装备!$F:$BZ,MATCH($H41,英雄装备!$F:$F,0),MATCH(I$2,英雄装备!$1:$1,0)-5),装备属性!$A:$C,3,0),VLOOKUP(INDEX(英雄装备!$F:$BZ,MATCH($H41,英雄装备!$F:$F,0),MATCH(I$2,英雄装备!$1:$1,0)-4),装备属性!$A:$C,3,0),VLOOKUP(INDEX(英雄装备!$F:$BZ,MATCH($H41,英雄装备!$F:$F,0),MATCH(I$2,英雄装备!$1:$1,0)-3),装备属性!$A:$C,3,0),VLOOKUP(INDEX(英雄装备!$F:$BZ,MATCH($H41,英雄装备!$F:$F,0),MATCH(I$2,英雄装备!$1:$1,0)-2),装备属性!$A:$C,3,0),VLOOKUP(INDEX(英雄装备!$F:$BZ,MATCH($H41,英雄装备!$F:$F,0),MATCH(I$2,英雄装备!$1:$1,0)-1),装备属性!$A:$C,3,0),VLOOKUP(INDEX(英雄装备!$F:$BZ,MATCH($H41,英雄装备!$F:$F,0),MATCH(I$2,英雄装备!$1:$1,0)),装备属性!$A:$C,3,0))</f>
        <v>2</v>
      </c>
      <c r="J41" s="51">
        <f>MAX(VLOOKUP(INDEX(英雄装备!$F:$BZ,MATCH($H41,英雄装备!$F:$F,0),MATCH(J$2,英雄装备!$1:$1,0)-5),装备属性!$A:$C,3,0),VLOOKUP(INDEX(英雄装备!$F:$BZ,MATCH($H41,英雄装备!$F:$F,0),MATCH(J$2,英雄装备!$1:$1,0)-4),装备属性!$A:$C,3,0),VLOOKUP(INDEX(英雄装备!$F:$BZ,MATCH($H41,英雄装备!$F:$F,0),MATCH(J$2,英雄装备!$1:$1,0)-3),装备属性!$A:$C,3,0),VLOOKUP(INDEX(英雄装备!$F:$BZ,MATCH($H41,英雄装备!$F:$F,0),MATCH(J$2,英雄装备!$1:$1,0)-2),装备属性!$A:$C,3,0),VLOOKUP(INDEX(英雄装备!$F:$BZ,MATCH($H41,英雄装备!$F:$F,0),MATCH(J$2,英雄装备!$1:$1,0)-1),装备属性!$A:$C,3,0),VLOOKUP(INDEX(英雄装备!$F:$BZ,MATCH($H41,英雄装备!$F:$F,0),MATCH(J$2,英雄装备!$1:$1,0)),装备属性!$A:$C,3,0))</f>
        <v>27</v>
      </c>
      <c r="K41" s="51">
        <f>MAX(VLOOKUP(INDEX(英雄装备!$F:$BZ,MATCH($H41,英雄装备!$F:$F,0),MATCH(K$2,英雄装备!$1:$1,0)-5),装备属性!$A:$C,3,0),VLOOKUP(INDEX(英雄装备!$F:$BZ,MATCH($H41,英雄装备!$F:$F,0),MATCH(K$2,英雄装备!$1:$1,0)-4),装备属性!$A:$C,3,0),VLOOKUP(INDEX(英雄装备!$F:$BZ,MATCH($H41,英雄装备!$F:$F,0),MATCH(K$2,英雄装备!$1:$1,0)-3),装备属性!$A:$C,3,0),VLOOKUP(INDEX(英雄装备!$F:$BZ,MATCH($H41,英雄装备!$F:$F,0),MATCH(K$2,英雄装备!$1:$1,0)-2),装备属性!$A:$C,3,0),VLOOKUP(INDEX(英雄装备!$F:$BZ,MATCH($H41,英雄装备!$F:$F,0),MATCH(K$2,英雄装备!$1:$1,0)-1),装备属性!$A:$C,3,0),VLOOKUP(INDEX(英雄装备!$F:$BZ,MATCH($H41,英雄装备!$F:$F,0),MATCH(K$2,英雄装备!$1:$1,0)),装备属性!$A:$C,3,0))</f>
        <v>21</v>
      </c>
      <c r="L41" s="51">
        <f>MAX(VLOOKUP(INDEX(英雄装备!$F:$BZ,MATCH($H41,英雄装备!$F:$F,0),MATCH(L$2,英雄装备!$1:$1,0)-5),装备属性!$A:$C,3,0),VLOOKUP(INDEX(英雄装备!$F:$BZ,MATCH($H41,英雄装备!$F:$F,0),MATCH(L$2,英雄装备!$1:$1,0)-4),装备属性!$A:$C,3,0),VLOOKUP(INDEX(英雄装备!$F:$BZ,MATCH($H41,英雄装备!$F:$F,0),MATCH(L$2,英雄装备!$1:$1,0)-3),装备属性!$A:$C,3,0),VLOOKUP(INDEX(英雄装备!$F:$BZ,MATCH($H41,英雄装备!$F:$F,0),MATCH(L$2,英雄装备!$1:$1,0)-2),装备属性!$A:$C,3,0),VLOOKUP(INDEX(英雄装备!$F:$BZ,MATCH($H41,英雄装备!$F:$F,0),MATCH(L$2,英雄装备!$1:$1,0)-1),装备属性!$A:$C,3,0),VLOOKUP(INDEX(英雄装备!$F:$BZ,MATCH($H41,英雄装备!$F:$F,0),MATCH(L$2,英雄装备!$1:$1,0)),装备属性!$A:$C,3,0))</f>
        <v>35</v>
      </c>
      <c r="M41" s="51">
        <f>MAX(VLOOKUP(INDEX(英雄装备!$F:$BZ,MATCH($H41,英雄装备!$F:$F,0),MATCH(M$2,英雄装备!$1:$1,0)-5),装备属性!$A:$C,3,0),VLOOKUP(INDEX(英雄装备!$F:$BZ,MATCH($H41,英雄装备!$F:$F,0),MATCH(M$2,英雄装备!$1:$1,0)-4),装备属性!$A:$C,3,0),VLOOKUP(INDEX(英雄装备!$F:$BZ,MATCH($H41,英雄装备!$F:$F,0),MATCH(M$2,英雄装备!$1:$1,0)-3),装备属性!$A:$C,3,0),VLOOKUP(INDEX(英雄装备!$F:$BZ,MATCH($H41,英雄装备!$F:$F,0),MATCH(M$2,英雄装备!$1:$1,0)-2),装备属性!$A:$C,3,0),VLOOKUP(INDEX(英雄装备!$F:$BZ,MATCH($H41,英雄装备!$F:$F,0),MATCH(M$2,英雄装备!$1:$1,0)-1),装备属性!$A:$C,3,0),VLOOKUP(INDEX(英雄装备!$F:$BZ,MATCH($H41,英雄装备!$F:$F,0),MATCH(M$2,英雄装备!$1:$1,0)),装备属性!$A:$C,3,0))</f>
        <v>41</v>
      </c>
      <c r="N41" s="51">
        <f>MAX(VLOOKUP(INDEX(英雄装备!$F:$BZ,MATCH($H41,英雄装备!$F:$F,0),MATCH(N$2,英雄装备!$1:$1,0)-5),装备属性!$A:$C,3,0),VLOOKUP(INDEX(英雄装备!$F:$BZ,MATCH($H41,英雄装备!$F:$F,0),MATCH(N$2,英雄装备!$1:$1,0)-4),装备属性!$A:$C,3,0),VLOOKUP(INDEX(英雄装备!$F:$BZ,MATCH($H41,英雄装备!$F:$F,0),MATCH(N$2,英雄装备!$1:$1,0)-3),装备属性!$A:$C,3,0),VLOOKUP(INDEX(英雄装备!$F:$BZ,MATCH($H41,英雄装备!$F:$F,0),MATCH(N$2,英雄装备!$1:$1,0)-2),装备属性!$A:$C,3,0),VLOOKUP(INDEX(英雄装备!$F:$BZ,MATCH($H41,英雄装备!$F:$F,0),MATCH(N$2,英雄装备!$1:$1,0)-1),装备属性!$A:$C,3,0),VLOOKUP(INDEX(英雄装备!$F:$BZ,MATCH($H41,英雄装备!$F:$F,0),MATCH(N$2,英雄装备!$1:$1,0)),装备属性!$A:$C,3,0))</f>
        <v>53</v>
      </c>
      <c r="O41" s="51">
        <f>MAX(VLOOKUP(INDEX(英雄装备!$F:$BZ,MATCH($H41,英雄装备!$F:$F,0),MATCH(O$2,英雄装备!$1:$1,0)-5),装备属性!$A:$C,3,0),VLOOKUP(INDEX(英雄装备!$F:$BZ,MATCH($H41,英雄装备!$F:$F,0),MATCH(O$2,英雄装备!$1:$1,0)-4),装备属性!$A:$C,3,0),VLOOKUP(INDEX(英雄装备!$F:$BZ,MATCH($H41,英雄装备!$F:$F,0),MATCH(O$2,英雄装备!$1:$1,0)-3),装备属性!$A:$C,3,0),VLOOKUP(INDEX(英雄装备!$F:$BZ,MATCH($H41,英雄装备!$F:$F,0),MATCH(O$2,英雄装备!$1:$1,0)-2),装备属性!$A:$C,3,0),VLOOKUP(INDEX(英雄装备!$F:$BZ,MATCH($H41,英雄装备!$F:$F,0),MATCH(O$2,英雄装备!$1:$1,0)-1),装备属性!$A:$C,3,0),VLOOKUP(INDEX(英雄装备!$F:$BZ,MATCH($H41,英雄装备!$F:$F,0),MATCH(O$2,英雄装备!$1:$1,0)),装备属性!$A:$C,3,0))</f>
        <v>62</v>
      </c>
      <c r="P41" s="51">
        <f>MAX(VLOOKUP(INDEX(英雄装备!$F:$BZ,MATCH($H41,英雄装备!$F:$F,0),MATCH(P$2,英雄装备!$1:$1,0)-5),装备属性!$A:$C,3,0),VLOOKUP(INDEX(英雄装备!$F:$BZ,MATCH($H41,英雄装备!$F:$F,0),MATCH(P$2,英雄装备!$1:$1,0)-4),装备属性!$A:$C,3,0),VLOOKUP(INDEX(英雄装备!$F:$BZ,MATCH($H41,英雄装备!$F:$F,0),MATCH(P$2,英雄装备!$1:$1,0)-3),装备属性!$A:$C,3,0),VLOOKUP(INDEX(英雄装备!$F:$BZ,MATCH($H41,英雄装备!$F:$F,0),MATCH(P$2,英雄装备!$1:$1,0)-2),装备属性!$A:$C,3,0),VLOOKUP(INDEX(英雄装备!$F:$BZ,MATCH($H41,英雄装备!$F:$F,0),MATCH(P$2,英雄装备!$1:$1,0)-1),装备属性!$A:$C,3,0),VLOOKUP(INDEX(英雄装备!$F:$BZ,MATCH($H41,英雄装备!$F:$F,0),MATCH(P$2,英雄装备!$1:$1,0)),装备属性!$A:$C,3,0))</f>
        <v>72</v>
      </c>
      <c r="Q41" s="51">
        <f>MAX(VLOOKUP(INDEX(英雄装备!$F:$BZ,MATCH($H41,英雄装备!$F:$F,0),MATCH(Q$2,英雄装备!$1:$1,0)-5),装备属性!$A:$C,3,0),VLOOKUP(INDEX(英雄装备!$F:$BZ,MATCH($H41,英雄装备!$F:$F,0),MATCH(Q$2,英雄装备!$1:$1,0)-4),装备属性!$A:$C,3,0),VLOOKUP(INDEX(英雄装备!$F:$BZ,MATCH($H41,英雄装备!$F:$F,0),MATCH(Q$2,英雄装备!$1:$1,0)-3),装备属性!$A:$C,3,0),VLOOKUP(INDEX(英雄装备!$F:$BZ,MATCH($H41,英雄装备!$F:$F,0),MATCH(Q$2,英雄装备!$1:$1,0)-2),装备属性!$A:$C,3,0),VLOOKUP(INDEX(英雄装备!$F:$BZ,MATCH($H41,英雄装备!$F:$F,0),MATCH(Q$2,英雄装备!$1:$1,0)-1),装备属性!$A:$C,3,0),VLOOKUP(INDEX(英雄装备!$F:$BZ,MATCH($H41,英雄装备!$F:$F,0),MATCH(Q$2,英雄装备!$1:$1,0)),装备属性!$A:$C,3,0))</f>
        <v>78</v>
      </c>
      <c r="R41" s="51">
        <f>MAX(VLOOKUP(INDEX(英雄装备!$F:$BZ,MATCH($H41,英雄装备!$F:$F,0),MATCH(R$2,英雄装备!$1:$1,0)-5),装备属性!$A:$C,3,0),VLOOKUP(INDEX(英雄装备!$F:$BZ,MATCH($H41,英雄装备!$F:$F,0),MATCH(R$2,英雄装备!$1:$1,0)-4),装备属性!$A:$C,3,0),VLOOKUP(INDEX(英雄装备!$F:$BZ,MATCH($H41,英雄装备!$F:$F,0),MATCH(R$2,英雄装备!$1:$1,0)-3),装备属性!$A:$C,3,0),VLOOKUP(INDEX(英雄装备!$F:$BZ,MATCH($H41,英雄装备!$F:$F,0),MATCH(R$2,英雄装备!$1:$1,0)-2),装备属性!$A:$C,3,0),VLOOKUP(INDEX(英雄装备!$F:$BZ,MATCH($H41,英雄装备!$F:$F,0),MATCH(R$2,英雄装备!$1:$1,0)-1),装备属性!$A:$C,3,0),VLOOKUP(INDEX(英雄装备!$F:$BZ,MATCH($H41,英雄装备!$F:$F,0),MATCH(R$2,英雄装备!$1:$1,0)),装备属性!$A:$C,3,0))</f>
        <v>80</v>
      </c>
      <c r="S41" s="51">
        <f>MAX(VLOOKUP(INDEX(英雄装备!$F:$BZ,MATCH($H41,英雄装备!$F:$F,0),MATCH(S$2,英雄装备!$1:$1,0)-5),装备属性!$A:$C,3,0),VLOOKUP(INDEX(英雄装备!$F:$BZ,MATCH($H41,英雄装备!$F:$F,0),MATCH(S$2,英雄装备!$1:$1,0)-4),装备属性!$A:$C,3,0),VLOOKUP(INDEX(英雄装备!$F:$BZ,MATCH($H41,英雄装备!$F:$F,0),MATCH(S$2,英雄装备!$1:$1,0)-3),装备属性!$A:$C,3,0),VLOOKUP(INDEX(英雄装备!$F:$BZ,MATCH($H41,英雄装备!$F:$F,0),MATCH(S$2,英雄装备!$1:$1,0)-2),装备属性!$A:$C,3,0),VLOOKUP(INDEX(英雄装备!$F:$BZ,MATCH($H41,英雄装备!$F:$F,0),MATCH(S$2,英雄装备!$1:$1,0)-1),装备属性!$A:$C,3,0),VLOOKUP(INDEX(英雄装备!$F:$BZ,MATCH($H41,英雄装备!$F:$F,0),MATCH(S$2,英雄装备!$1:$1,0)),装备属性!$A:$C,3,0))</f>
        <v>84</v>
      </c>
      <c r="T41" s="51">
        <f>MAX(VLOOKUP(INDEX(英雄装备!$F:$BZ,MATCH($H41,英雄装备!$F:$F,0),MATCH(T$2,英雄装备!$1:$1,0)-5),装备属性!$A:$C,3,0),VLOOKUP(INDEX(英雄装备!$F:$BZ,MATCH($H41,英雄装备!$F:$F,0),MATCH(T$2,英雄装备!$1:$1,0)-4),装备属性!$A:$C,3,0),VLOOKUP(INDEX(英雄装备!$F:$BZ,MATCH($H41,英雄装备!$F:$F,0),MATCH(T$2,英雄装备!$1:$1,0)-3),装备属性!$A:$C,3,0),VLOOKUP(INDEX(英雄装备!$F:$BZ,MATCH($H41,英雄装备!$F:$F,0),MATCH(T$2,英雄装备!$1:$1,0)-2),装备属性!$A:$C,3,0),VLOOKUP(INDEX(英雄装备!$F:$BZ,MATCH($H41,英雄装备!$F:$F,0),MATCH(T$2,英雄装备!$1:$1,0)-1),装备属性!$A:$C,3,0))</f>
        <v>87</v>
      </c>
      <c r="V41" s="48" t="s">
        <v>1082</v>
      </c>
      <c r="AF41" s="151">
        <v>4</v>
      </c>
      <c r="AG41" s="151" t="str">
        <f>X4</f>
        <v>洛萨</v>
      </c>
      <c r="AH41" s="151">
        <f>VLOOKUP($AG41,装备属性!$A:$Y,5,0)</f>
        <v>0</v>
      </c>
      <c r="AI41" s="151">
        <f>VLOOKUP($AG41,装备属性!$A:$Y,6,0)</f>
        <v>0</v>
      </c>
      <c r="AJ41" s="151">
        <f>VLOOKUP($AG41,装备属性!$A:$Y,7,0)</f>
        <v>0</v>
      </c>
      <c r="AK41" s="151">
        <f>VLOOKUP($AG41,装备属性!$A:$Y,8,0)</f>
        <v>0</v>
      </c>
      <c r="AL41" s="151">
        <f>VLOOKUP($AG41,装备属性!$A:$Y,9,0)</f>
        <v>30</v>
      </c>
      <c r="AM41" s="151">
        <f>VLOOKUP($AG41,装备属性!$A:$Y,10,0)</f>
        <v>0</v>
      </c>
      <c r="AN41" s="151">
        <f>VLOOKUP($AG41,装备属性!$A:$Y,11,0)</f>
        <v>0</v>
      </c>
      <c r="AO41" s="151">
        <f>VLOOKUP($AG41,装备属性!$A:$Y,12,0)</f>
        <v>0</v>
      </c>
      <c r="AP41" s="151">
        <f>VLOOKUP($AG41,装备属性!$A:$Y,13,0)</f>
        <v>15</v>
      </c>
      <c r="AQ41" s="151">
        <f>VLOOKUP($AG41,装备属性!$A:$Y,14,0)</f>
        <v>0</v>
      </c>
      <c r="AR41" s="151">
        <f>VLOOKUP($AG41,装备属性!$A:$Y,15,0)</f>
        <v>0</v>
      </c>
      <c r="AS41" s="151">
        <f>VLOOKUP($AG41,装备属性!$A:$Y,16,0)</f>
        <v>0</v>
      </c>
      <c r="AT41" s="151">
        <f>VLOOKUP($AG41,装备属性!$A:$Y,17,0)</f>
        <v>0</v>
      </c>
      <c r="AU41" s="151">
        <f>VLOOKUP($AG41,装备属性!$A:$Y,18,0)</f>
        <v>0</v>
      </c>
      <c r="AV41" s="151">
        <f>VLOOKUP($AG41,装备属性!$A:$Y,19,0)</f>
        <v>0</v>
      </c>
      <c r="AW41" s="151">
        <f>VLOOKUP($AG41,装备属性!$A:$Y,20,0)</f>
        <v>0</v>
      </c>
      <c r="AX41" s="151">
        <f>VLOOKUP($AG41,装备属性!$A:$Y,21,0)</f>
        <v>0</v>
      </c>
      <c r="AY41" s="151">
        <f>VLOOKUP($AG41,装备属性!$A:$Y,22,0)</f>
        <v>0</v>
      </c>
      <c r="AZ41" s="151">
        <f>VLOOKUP($AG41,装备属性!$A:$Y,23,0)</f>
        <v>0</v>
      </c>
      <c r="BA41" s="151">
        <f>VLOOKUP($AG41,装备属性!$A:$Y,24,0)</f>
        <v>0</v>
      </c>
      <c r="BB41" s="151">
        <f>VLOOKUP($AG41,装备属性!$A:$Y,25,0)</f>
        <v>0</v>
      </c>
    </row>
    <row r="42" spans="2:54">
      <c r="B42" s="151" t="str">
        <f>英雄初始!A43</f>
        <v>痛苦女王</v>
      </c>
      <c r="H42" s="54" t="s">
        <v>195</v>
      </c>
      <c r="I42" s="51">
        <f>MAX(VLOOKUP(INDEX(英雄装备!$F:$BZ,MATCH($H42,英雄装备!$F:$F,0),MATCH(I$2,英雄装备!$1:$1,0)-5),装备属性!$A:$C,3,0),VLOOKUP(INDEX(英雄装备!$F:$BZ,MATCH($H42,英雄装备!$F:$F,0),MATCH(I$2,英雄装备!$1:$1,0)-4),装备属性!$A:$C,3,0),VLOOKUP(INDEX(英雄装备!$F:$BZ,MATCH($H42,英雄装备!$F:$F,0),MATCH(I$2,英雄装备!$1:$1,0)-3),装备属性!$A:$C,3,0),VLOOKUP(INDEX(英雄装备!$F:$BZ,MATCH($H42,英雄装备!$F:$F,0),MATCH(I$2,英雄装备!$1:$1,0)-2),装备属性!$A:$C,3,0),VLOOKUP(INDEX(英雄装备!$F:$BZ,MATCH($H42,英雄装备!$F:$F,0),MATCH(I$2,英雄装备!$1:$1,0)-1),装备属性!$A:$C,3,0),VLOOKUP(INDEX(英雄装备!$F:$BZ,MATCH($H42,英雄装备!$F:$F,0),MATCH(I$2,英雄装备!$1:$1,0)),装备属性!$A:$C,3,0))</f>
        <v>2</v>
      </c>
      <c r="J42" s="51">
        <f>MAX(VLOOKUP(INDEX(英雄装备!$F:$BZ,MATCH($H42,英雄装备!$F:$F,0),MATCH(J$2,英雄装备!$1:$1,0)-5),装备属性!$A:$C,3,0),VLOOKUP(INDEX(英雄装备!$F:$BZ,MATCH($H42,英雄装备!$F:$F,0),MATCH(J$2,英雄装备!$1:$1,0)-4),装备属性!$A:$C,3,0),VLOOKUP(INDEX(英雄装备!$F:$BZ,MATCH($H42,英雄装备!$F:$F,0),MATCH(J$2,英雄装备!$1:$1,0)-3),装备属性!$A:$C,3,0),VLOOKUP(INDEX(英雄装备!$F:$BZ,MATCH($H42,英雄装备!$F:$F,0),MATCH(J$2,英雄装备!$1:$1,0)-2),装备属性!$A:$C,3,0),VLOOKUP(INDEX(英雄装备!$F:$BZ,MATCH($H42,英雄装备!$F:$F,0),MATCH(J$2,英雄装备!$1:$1,0)-1),装备属性!$A:$C,3,0),VLOOKUP(INDEX(英雄装备!$F:$BZ,MATCH($H42,英雄装备!$F:$F,0),MATCH(J$2,英雄装备!$1:$1,0)),装备属性!$A:$C,3,0))</f>
        <v>10</v>
      </c>
      <c r="K42" s="51">
        <f>MAX(VLOOKUP(INDEX(英雄装备!$F:$BZ,MATCH($H42,英雄装备!$F:$F,0),MATCH(K$2,英雄装备!$1:$1,0)-5),装备属性!$A:$C,3,0),VLOOKUP(INDEX(英雄装备!$F:$BZ,MATCH($H42,英雄装备!$F:$F,0),MATCH(K$2,英雄装备!$1:$1,0)-4),装备属性!$A:$C,3,0),VLOOKUP(INDEX(英雄装备!$F:$BZ,MATCH($H42,英雄装备!$F:$F,0),MATCH(K$2,英雄装备!$1:$1,0)-3),装备属性!$A:$C,3,0),VLOOKUP(INDEX(英雄装备!$F:$BZ,MATCH($H42,英雄装备!$F:$F,0),MATCH(K$2,英雄装备!$1:$1,0)-2),装备属性!$A:$C,3,0),VLOOKUP(INDEX(英雄装备!$F:$BZ,MATCH($H42,英雄装备!$F:$F,0),MATCH(K$2,英雄装备!$1:$1,0)-1),装备属性!$A:$C,3,0),VLOOKUP(INDEX(英雄装备!$F:$BZ,MATCH($H42,英雄装备!$F:$F,0),MATCH(K$2,英雄装备!$1:$1,0)),装备属性!$A:$C,3,0))</f>
        <v>21</v>
      </c>
      <c r="L42" s="51">
        <f>MAX(VLOOKUP(INDEX(英雄装备!$F:$BZ,MATCH($H42,英雄装备!$F:$F,0),MATCH(L$2,英雄装备!$1:$1,0)-5),装备属性!$A:$C,3,0),VLOOKUP(INDEX(英雄装备!$F:$BZ,MATCH($H42,英雄装备!$F:$F,0),MATCH(L$2,英雄装备!$1:$1,0)-4),装备属性!$A:$C,3,0),VLOOKUP(INDEX(英雄装备!$F:$BZ,MATCH($H42,英雄装备!$F:$F,0),MATCH(L$2,英雄装备!$1:$1,0)-3),装备属性!$A:$C,3,0),VLOOKUP(INDEX(英雄装备!$F:$BZ,MATCH($H42,英雄装备!$F:$F,0),MATCH(L$2,英雄装备!$1:$1,0)-2),装备属性!$A:$C,3,0),VLOOKUP(INDEX(英雄装备!$F:$BZ,MATCH($H42,英雄装备!$F:$F,0),MATCH(L$2,英雄装备!$1:$1,0)-1),装备属性!$A:$C,3,0),VLOOKUP(INDEX(英雄装备!$F:$BZ,MATCH($H42,英雄装备!$F:$F,0),MATCH(L$2,英雄装备!$1:$1,0)),装备属性!$A:$C,3,0))</f>
        <v>35</v>
      </c>
      <c r="M42" s="51">
        <f>MAX(VLOOKUP(INDEX(英雄装备!$F:$BZ,MATCH($H42,英雄装备!$F:$F,0),MATCH(M$2,英雄装备!$1:$1,0)-5),装备属性!$A:$C,3,0),VLOOKUP(INDEX(英雄装备!$F:$BZ,MATCH($H42,英雄装备!$F:$F,0),MATCH(M$2,英雄装备!$1:$1,0)-4),装备属性!$A:$C,3,0),VLOOKUP(INDEX(英雄装备!$F:$BZ,MATCH($H42,英雄装备!$F:$F,0),MATCH(M$2,英雄装备!$1:$1,0)-3),装备属性!$A:$C,3,0),VLOOKUP(INDEX(英雄装备!$F:$BZ,MATCH($H42,英雄装备!$F:$F,0),MATCH(M$2,英雄装备!$1:$1,0)-2),装备属性!$A:$C,3,0),VLOOKUP(INDEX(英雄装备!$F:$BZ,MATCH($H42,英雄装备!$F:$F,0),MATCH(M$2,英雄装备!$1:$1,0)-1),装备属性!$A:$C,3,0),VLOOKUP(INDEX(英雄装备!$F:$BZ,MATCH($H42,英雄装备!$F:$F,0),MATCH(M$2,英雄装备!$1:$1,0)),装备属性!$A:$C,3,0))</f>
        <v>43</v>
      </c>
      <c r="N42" s="51">
        <f>MAX(VLOOKUP(INDEX(英雄装备!$F:$BZ,MATCH($H42,英雄装备!$F:$F,0),MATCH(N$2,英雄装备!$1:$1,0)-5),装备属性!$A:$C,3,0),VLOOKUP(INDEX(英雄装备!$F:$BZ,MATCH($H42,英雄装备!$F:$F,0),MATCH(N$2,英雄装备!$1:$1,0)-4),装备属性!$A:$C,3,0),VLOOKUP(INDEX(英雄装备!$F:$BZ,MATCH($H42,英雄装备!$F:$F,0),MATCH(N$2,英雄装备!$1:$1,0)-3),装备属性!$A:$C,3,0),VLOOKUP(INDEX(英雄装备!$F:$BZ,MATCH($H42,英雄装备!$F:$F,0),MATCH(N$2,英雄装备!$1:$1,0)-2),装备属性!$A:$C,3,0),VLOOKUP(INDEX(英雄装备!$F:$BZ,MATCH($H42,英雄装备!$F:$F,0),MATCH(N$2,英雄装备!$1:$1,0)-1),装备属性!$A:$C,3,0),VLOOKUP(INDEX(英雄装备!$F:$BZ,MATCH($H42,英雄装备!$F:$F,0),MATCH(N$2,英雄装备!$1:$1,0)),装备属性!$A:$C,3,0))</f>
        <v>53</v>
      </c>
      <c r="O42" s="51">
        <f>MAX(VLOOKUP(INDEX(英雄装备!$F:$BZ,MATCH($H42,英雄装备!$F:$F,0),MATCH(O$2,英雄装备!$1:$1,0)-5),装备属性!$A:$C,3,0),VLOOKUP(INDEX(英雄装备!$F:$BZ,MATCH($H42,英雄装备!$F:$F,0),MATCH(O$2,英雄装备!$1:$1,0)-4),装备属性!$A:$C,3,0),VLOOKUP(INDEX(英雄装备!$F:$BZ,MATCH($H42,英雄装备!$F:$F,0),MATCH(O$2,英雄装备!$1:$1,0)-3),装备属性!$A:$C,3,0),VLOOKUP(INDEX(英雄装备!$F:$BZ,MATCH($H42,英雄装备!$F:$F,0),MATCH(O$2,英雄装备!$1:$1,0)-2),装备属性!$A:$C,3,0),VLOOKUP(INDEX(英雄装备!$F:$BZ,MATCH($H42,英雄装备!$F:$F,0),MATCH(O$2,英雄装备!$1:$1,0)-1),装备属性!$A:$C,3,0),VLOOKUP(INDEX(英雄装备!$F:$BZ,MATCH($H42,英雄装备!$F:$F,0),MATCH(O$2,英雄装备!$1:$1,0)),装备属性!$A:$C,3,0))</f>
        <v>60</v>
      </c>
      <c r="P42" s="51">
        <f>MAX(VLOOKUP(INDEX(英雄装备!$F:$BZ,MATCH($H42,英雄装备!$F:$F,0),MATCH(P$2,英雄装备!$1:$1,0)-5),装备属性!$A:$C,3,0),VLOOKUP(INDEX(英雄装备!$F:$BZ,MATCH($H42,英雄装备!$F:$F,0),MATCH(P$2,英雄装备!$1:$1,0)-4),装备属性!$A:$C,3,0),VLOOKUP(INDEX(英雄装备!$F:$BZ,MATCH($H42,英雄装备!$F:$F,0),MATCH(P$2,英雄装备!$1:$1,0)-3),装备属性!$A:$C,3,0),VLOOKUP(INDEX(英雄装备!$F:$BZ,MATCH($H42,英雄装备!$F:$F,0),MATCH(P$2,英雄装备!$1:$1,0)-2),装备属性!$A:$C,3,0),VLOOKUP(INDEX(英雄装备!$F:$BZ,MATCH($H42,英雄装备!$F:$F,0),MATCH(P$2,英雄装备!$1:$1,0)-1),装备属性!$A:$C,3,0),VLOOKUP(INDEX(英雄装备!$F:$BZ,MATCH($H42,英雄装备!$F:$F,0),MATCH(P$2,英雄装备!$1:$1,0)),装备属性!$A:$C,3,0))</f>
        <v>70</v>
      </c>
      <c r="Q42" s="51">
        <f>MAX(VLOOKUP(INDEX(英雄装备!$F:$BZ,MATCH($H42,英雄装备!$F:$F,0),MATCH(Q$2,英雄装备!$1:$1,0)-5),装备属性!$A:$C,3,0),VLOOKUP(INDEX(英雄装备!$F:$BZ,MATCH($H42,英雄装备!$F:$F,0),MATCH(Q$2,英雄装备!$1:$1,0)-4),装备属性!$A:$C,3,0),VLOOKUP(INDEX(英雄装备!$F:$BZ,MATCH($H42,英雄装备!$F:$F,0),MATCH(Q$2,英雄装备!$1:$1,0)-3),装备属性!$A:$C,3,0),VLOOKUP(INDEX(英雄装备!$F:$BZ,MATCH($H42,英雄装备!$F:$F,0),MATCH(Q$2,英雄装备!$1:$1,0)-2),装备属性!$A:$C,3,0),VLOOKUP(INDEX(英雄装备!$F:$BZ,MATCH($H42,英雄装备!$F:$F,0),MATCH(Q$2,英雄装备!$1:$1,0)-1),装备属性!$A:$C,3,0),VLOOKUP(INDEX(英雄装备!$F:$BZ,MATCH($H42,英雄装备!$F:$F,0),MATCH(Q$2,英雄装备!$1:$1,0)),装备属性!$A:$C,3,0))</f>
        <v>78</v>
      </c>
      <c r="R42" s="51">
        <f>MAX(VLOOKUP(INDEX(英雄装备!$F:$BZ,MATCH($H42,英雄装备!$F:$F,0),MATCH(R$2,英雄装备!$1:$1,0)-5),装备属性!$A:$C,3,0),VLOOKUP(INDEX(英雄装备!$F:$BZ,MATCH($H42,英雄装备!$F:$F,0),MATCH(R$2,英雄装备!$1:$1,0)-4),装备属性!$A:$C,3,0),VLOOKUP(INDEX(英雄装备!$F:$BZ,MATCH($H42,英雄装备!$F:$F,0),MATCH(R$2,英雄装备!$1:$1,0)-3),装备属性!$A:$C,3,0),VLOOKUP(INDEX(英雄装备!$F:$BZ,MATCH($H42,英雄装备!$F:$F,0),MATCH(R$2,英雄装备!$1:$1,0)-2),装备属性!$A:$C,3,0),VLOOKUP(INDEX(英雄装备!$F:$BZ,MATCH($H42,英雄装备!$F:$F,0),MATCH(R$2,英雄装备!$1:$1,0)-1),装备属性!$A:$C,3,0),VLOOKUP(INDEX(英雄装备!$F:$BZ,MATCH($H42,英雄装备!$F:$F,0),MATCH(R$2,英雄装备!$1:$1,0)),装备属性!$A:$C,3,0))</f>
        <v>80</v>
      </c>
      <c r="S42" s="51">
        <f>MAX(VLOOKUP(INDEX(英雄装备!$F:$BZ,MATCH($H42,英雄装备!$F:$F,0),MATCH(S$2,英雄装备!$1:$1,0)-5),装备属性!$A:$C,3,0),VLOOKUP(INDEX(英雄装备!$F:$BZ,MATCH($H42,英雄装备!$F:$F,0),MATCH(S$2,英雄装备!$1:$1,0)-4),装备属性!$A:$C,3,0),VLOOKUP(INDEX(英雄装备!$F:$BZ,MATCH($H42,英雄装备!$F:$F,0),MATCH(S$2,英雄装备!$1:$1,0)-3),装备属性!$A:$C,3,0),VLOOKUP(INDEX(英雄装备!$F:$BZ,MATCH($H42,英雄装备!$F:$F,0),MATCH(S$2,英雄装备!$1:$1,0)-2),装备属性!$A:$C,3,0),VLOOKUP(INDEX(英雄装备!$F:$BZ,MATCH($H42,英雄装备!$F:$F,0),MATCH(S$2,英雄装备!$1:$1,0)-1),装备属性!$A:$C,3,0),VLOOKUP(INDEX(英雄装备!$F:$BZ,MATCH($H42,英雄装备!$F:$F,0),MATCH(S$2,英雄装备!$1:$1,0)),装备属性!$A:$C,3,0))</f>
        <v>84</v>
      </c>
      <c r="T42" s="51">
        <f>MAX(VLOOKUP(INDEX(英雄装备!$F:$BZ,MATCH($H42,英雄装备!$F:$F,0),MATCH(T$2,英雄装备!$1:$1,0)-5),装备属性!$A:$C,3,0),VLOOKUP(INDEX(英雄装备!$F:$BZ,MATCH($H42,英雄装备!$F:$F,0),MATCH(T$2,英雄装备!$1:$1,0)-4),装备属性!$A:$C,3,0),VLOOKUP(INDEX(英雄装备!$F:$BZ,MATCH($H42,英雄装备!$F:$F,0),MATCH(T$2,英雄装备!$1:$1,0)-3),装备属性!$A:$C,3,0),VLOOKUP(INDEX(英雄装备!$F:$BZ,MATCH($H42,英雄装备!$F:$F,0),MATCH(T$2,英雄装备!$1:$1,0)-2),装备属性!$A:$C,3,0),VLOOKUP(INDEX(英雄装备!$F:$BZ,MATCH($H42,英雄装备!$F:$F,0),MATCH(T$2,英雄装备!$1:$1,0)-1),装备属性!$A:$C,3,0))</f>
        <v>87</v>
      </c>
      <c r="V42" s="151">
        <v>1</v>
      </c>
      <c r="W42" s="151" t="str">
        <f>IF($V$2&lt;1,"","白")</f>
        <v>白</v>
      </c>
      <c r="X42" s="151" t="str">
        <f>IF(AND(X27=TRUE,$W42&lt;&gt;""),X1,"")</f>
        <v>树枝</v>
      </c>
      <c r="Y42" s="151" t="str">
        <f t="shared" ref="Y42:AC42" si="5">IF(AND(Y27=TRUE,$W42&lt;&gt;""),Y1,"")</f>
        <v>树枝</v>
      </c>
      <c r="Z42" s="151" t="str">
        <f t="shared" si="5"/>
        <v>敏捷丝袜</v>
      </c>
      <c r="AA42" s="151" t="str">
        <f t="shared" si="5"/>
        <v>敏捷丝袜</v>
      </c>
      <c r="AB42" s="151" t="str">
        <f t="shared" si="5"/>
        <v>防御指环</v>
      </c>
      <c r="AC42" s="151" t="str">
        <f t="shared" si="5"/>
        <v>小圆盾</v>
      </c>
      <c r="AF42" s="151">
        <v>4</v>
      </c>
      <c r="AG42" s="151" t="str">
        <f>Y4</f>
        <v>鬼手</v>
      </c>
      <c r="AH42" s="151">
        <f>VLOOKUP($AG42,装备属性!$A:$Y,5,0)</f>
        <v>25</v>
      </c>
      <c r="AI42" s="151">
        <f>VLOOKUP($AG42,装备属性!$A:$Y,6,0)</f>
        <v>0</v>
      </c>
      <c r="AJ42" s="151">
        <f>VLOOKUP($AG42,装备属性!$A:$Y,7,0)</f>
        <v>0</v>
      </c>
      <c r="AK42" s="151">
        <f>VLOOKUP($AG42,装备属性!$A:$Y,8,0)</f>
        <v>0</v>
      </c>
      <c r="AL42" s="151">
        <f>VLOOKUP($AG42,装备属性!$A:$Y,9,0)</f>
        <v>9</v>
      </c>
      <c r="AM42" s="151">
        <f>VLOOKUP($AG42,装备属性!$A:$Y,10,0)</f>
        <v>0</v>
      </c>
      <c r="AN42" s="151">
        <f>VLOOKUP($AG42,装备属性!$A:$Y,11,0)</f>
        <v>5</v>
      </c>
      <c r="AO42" s="151">
        <f>VLOOKUP($AG42,装备属性!$A:$Y,12,0)</f>
        <v>0</v>
      </c>
      <c r="AP42" s="151">
        <f>VLOOKUP($AG42,装备属性!$A:$Y,13,0)</f>
        <v>10</v>
      </c>
      <c r="AQ42" s="151">
        <f>VLOOKUP($AG42,装备属性!$A:$Y,14,0)</f>
        <v>0</v>
      </c>
      <c r="AR42" s="151">
        <f>VLOOKUP($AG42,装备属性!$A:$Y,15,0)</f>
        <v>0</v>
      </c>
      <c r="AS42" s="151">
        <f>VLOOKUP($AG42,装备属性!$A:$Y,16,0)</f>
        <v>0</v>
      </c>
      <c r="AT42" s="151">
        <f>VLOOKUP($AG42,装备属性!$A:$Y,17,0)</f>
        <v>0</v>
      </c>
      <c r="AU42" s="151">
        <f>VLOOKUP($AG42,装备属性!$A:$Y,18,0)</f>
        <v>0</v>
      </c>
      <c r="AV42" s="151">
        <f>VLOOKUP($AG42,装备属性!$A:$Y,19,0)</f>
        <v>0</v>
      </c>
      <c r="AW42" s="151">
        <f>VLOOKUP($AG42,装备属性!$A:$Y,20,0)</f>
        <v>0</v>
      </c>
      <c r="AX42" s="151">
        <f>VLOOKUP($AG42,装备属性!$A:$Y,21,0)</f>
        <v>0</v>
      </c>
      <c r="AY42" s="151">
        <f>VLOOKUP($AG42,装备属性!$A:$Y,22,0)</f>
        <v>0</v>
      </c>
      <c r="AZ42" s="151">
        <f>VLOOKUP($AG42,装备属性!$A:$Y,23,0)</f>
        <v>0</v>
      </c>
      <c r="BA42" s="151">
        <f>VLOOKUP($AG42,装备属性!$A:$Y,24,0)</f>
        <v>0</v>
      </c>
      <c r="BB42" s="151">
        <f>VLOOKUP($AG42,装备属性!$A:$Y,25,0)</f>
        <v>0</v>
      </c>
    </row>
    <row r="43" spans="2:54">
      <c r="B43" s="151" t="str">
        <f>英雄初始!A44</f>
        <v>巫妖</v>
      </c>
      <c r="H43" s="54" t="s">
        <v>196</v>
      </c>
      <c r="I43" s="51">
        <f>MAX(VLOOKUP(INDEX(英雄装备!$F:$BZ,MATCH($H43,英雄装备!$F:$F,0),MATCH(I$2,英雄装备!$1:$1,0)-5),装备属性!$A:$C,3,0),VLOOKUP(INDEX(英雄装备!$F:$BZ,MATCH($H43,英雄装备!$F:$F,0),MATCH(I$2,英雄装备!$1:$1,0)-4),装备属性!$A:$C,3,0),VLOOKUP(INDEX(英雄装备!$F:$BZ,MATCH($H43,英雄装备!$F:$F,0),MATCH(I$2,英雄装备!$1:$1,0)-3),装备属性!$A:$C,3,0),VLOOKUP(INDEX(英雄装备!$F:$BZ,MATCH($H43,英雄装备!$F:$F,0),MATCH(I$2,英雄装备!$1:$1,0)-2),装备属性!$A:$C,3,0),VLOOKUP(INDEX(英雄装备!$F:$BZ,MATCH($H43,英雄装备!$F:$F,0),MATCH(I$2,英雄装备!$1:$1,0)-1),装备属性!$A:$C,3,0),VLOOKUP(INDEX(英雄装备!$F:$BZ,MATCH($H43,英雄装备!$F:$F,0),MATCH(I$2,英雄装备!$1:$1,0)),装备属性!$A:$C,3,0))</f>
        <v>2</v>
      </c>
      <c r="J43" s="51">
        <f>MAX(VLOOKUP(INDEX(英雄装备!$F:$BZ,MATCH($H43,英雄装备!$F:$F,0),MATCH(J$2,英雄装备!$1:$1,0)-5),装备属性!$A:$C,3,0),VLOOKUP(INDEX(英雄装备!$F:$BZ,MATCH($H43,英雄装备!$F:$F,0),MATCH(J$2,英雄装备!$1:$1,0)-4),装备属性!$A:$C,3,0),VLOOKUP(INDEX(英雄装备!$F:$BZ,MATCH($H43,英雄装备!$F:$F,0),MATCH(J$2,英雄装备!$1:$1,0)-3),装备属性!$A:$C,3,0),VLOOKUP(INDEX(英雄装备!$F:$BZ,MATCH($H43,英雄装备!$F:$F,0),MATCH(J$2,英雄装备!$1:$1,0)-2),装备属性!$A:$C,3,0),VLOOKUP(INDEX(英雄装备!$F:$BZ,MATCH($H43,英雄装备!$F:$F,0),MATCH(J$2,英雄装备!$1:$1,0)-1),装备属性!$A:$C,3,0),VLOOKUP(INDEX(英雄装备!$F:$BZ,MATCH($H43,英雄装备!$F:$F,0),MATCH(J$2,英雄装备!$1:$1,0)),装备属性!$A:$C,3,0))</f>
        <v>12</v>
      </c>
      <c r="K43" s="51">
        <f>MAX(VLOOKUP(INDEX(英雄装备!$F:$BZ,MATCH($H43,英雄装备!$F:$F,0),MATCH(K$2,英雄装备!$1:$1,0)-5),装备属性!$A:$C,3,0),VLOOKUP(INDEX(英雄装备!$F:$BZ,MATCH($H43,英雄装备!$F:$F,0),MATCH(K$2,英雄装备!$1:$1,0)-4),装备属性!$A:$C,3,0),VLOOKUP(INDEX(英雄装备!$F:$BZ,MATCH($H43,英雄装备!$F:$F,0),MATCH(K$2,英雄装备!$1:$1,0)-3),装备属性!$A:$C,3,0),VLOOKUP(INDEX(英雄装备!$F:$BZ,MATCH($H43,英雄装备!$F:$F,0),MATCH(K$2,英雄装备!$1:$1,0)-2),装备属性!$A:$C,3,0),VLOOKUP(INDEX(英雄装备!$F:$BZ,MATCH($H43,英雄装备!$F:$F,0),MATCH(K$2,英雄装备!$1:$1,0)-1),装备属性!$A:$C,3,0),VLOOKUP(INDEX(英雄装备!$F:$BZ,MATCH($H43,英雄装备!$F:$F,0),MATCH(K$2,英雄装备!$1:$1,0)),装备属性!$A:$C,3,0))</f>
        <v>27</v>
      </c>
      <c r="L43" s="51">
        <f>MAX(VLOOKUP(INDEX(英雄装备!$F:$BZ,MATCH($H43,英雄装备!$F:$F,0),MATCH(L$2,英雄装备!$1:$1,0)-5),装备属性!$A:$C,3,0),VLOOKUP(INDEX(英雄装备!$F:$BZ,MATCH($H43,英雄装备!$F:$F,0),MATCH(L$2,英雄装备!$1:$1,0)-4),装备属性!$A:$C,3,0),VLOOKUP(INDEX(英雄装备!$F:$BZ,MATCH($H43,英雄装备!$F:$F,0),MATCH(L$2,英雄装备!$1:$1,0)-3),装备属性!$A:$C,3,0),VLOOKUP(INDEX(英雄装备!$F:$BZ,MATCH($H43,英雄装备!$F:$F,0),MATCH(L$2,英雄装备!$1:$1,0)-2),装备属性!$A:$C,3,0),VLOOKUP(INDEX(英雄装备!$F:$BZ,MATCH($H43,英雄装备!$F:$F,0),MATCH(L$2,英雄装备!$1:$1,0)-1),装备属性!$A:$C,3,0),VLOOKUP(INDEX(英雄装备!$F:$BZ,MATCH($H43,英雄装备!$F:$F,0),MATCH(L$2,英雄装备!$1:$1,0)),装备属性!$A:$C,3,0))</f>
        <v>35</v>
      </c>
      <c r="M43" s="51">
        <f>MAX(VLOOKUP(INDEX(英雄装备!$F:$BZ,MATCH($H43,英雄装备!$F:$F,0),MATCH(M$2,英雄装备!$1:$1,0)-5),装备属性!$A:$C,3,0),VLOOKUP(INDEX(英雄装备!$F:$BZ,MATCH($H43,英雄装备!$F:$F,0),MATCH(M$2,英雄装备!$1:$1,0)-4),装备属性!$A:$C,3,0),VLOOKUP(INDEX(英雄装备!$F:$BZ,MATCH($H43,英雄装备!$F:$F,0),MATCH(M$2,英雄装备!$1:$1,0)-3),装备属性!$A:$C,3,0),VLOOKUP(INDEX(英雄装备!$F:$BZ,MATCH($H43,英雄装备!$F:$F,0),MATCH(M$2,英雄装备!$1:$1,0)-2),装备属性!$A:$C,3,0),VLOOKUP(INDEX(英雄装备!$F:$BZ,MATCH($H43,英雄装备!$F:$F,0),MATCH(M$2,英雄装备!$1:$1,0)-1),装备属性!$A:$C,3,0),VLOOKUP(INDEX(英雄装备!$F:$BZ,MATCH($H43,英雄装备!$F:$F,0),MATCH(M$2,英雄装备!$1:$1,0)),装备属性!$A:$C,3,0))</f>
        <v>42</v>
      </c>
      <c r="N43" s="51">
        <f>MAX(VLOOKUP(INDEX(英雄装备!$F:$BZ,MATCH($H43,英雄装备!$F:$F,0),MATCH(N$2,英雄装备!$1:$1,0)-5),装备属性!$A:$C,3,0),VLOOKUP(INDEX(英雄装备!$F:$BZ,MATCH($H43,英雄装备!$F:$F,0),MATCH(N$2,英雄装备!$1:$1,0)-4),装备属性!$A:$C,3,0),VLOOKUP(INDEX(英雄装备!$F:$BZ,MATCH($H43,英雄装备!$F:$F,0),MATCH(N$2,英雄装备!$1:$1,0)-3),装备属性!$A:$C,3,0),VLOOKUP(INDEX(英雄装备!$F:$BZ,MATCH($H43,英雄装备!$F:$F,0),MATCH(N$2,英雄装备!$1:$1,0)-2),装备属性!$A:$C,3,0),VLOOKUP(INDEX(英雄装备!$F:$BZ,MATCH($H43,英雄装备!$F:$F,0),MATCH(N$2,英雄装备!$1:$1,0)-1),装备属性!$A:$C,3,0),VLOOKUP(INDEX(英雄装备!$F:$BZ,MATCH($H43,英雄装备!$F:$F,0),MATCH(N$2,英雄装备!$1:$1,0)),装备属性!$A:$C,3,0))</f>
        <v>52</v>
      </c>
      <c r="O43" s="51">
        <f>MAX(VLOOKUP(INDEX(英雄装备!$F:$BZ,MATCH($H43,英雄装备!$F:$F,0),MATCH(O$2,英雄装备!$1:$1,0)-5),装备属性!$A:$C,3,0),VLOOKUP(INDEX(英雄装备!$F:$BZ,MATCH($H43,英雄装备!$F:$F,0),MATCH(O$2,英雄装备!$1:$1,0)-4),装备属性!$A:$C,3,0),VLOOKUP(INDEX(英雄装备!$F:$BZ,MATCH($H43,英雄装备!$F:$F,0),MATCH(O$2,英雄装备!$1:$1,0)-3),装备属性!$A:$C,3,0),VLOOKUP(INDEX(英雄装备!$F:$BZ,MATCH($H43,英雄装备!$F:$F,0),MATCH(O$2,英雄装备!$1:$1,0)-2),装备属性!$A:$C,3,0),VLOOKUP(INDEX(英雄装备!$F:$BZ,MATCH($H43,英雄装备!$F:$F,0),MATCH(O$2,英雄装备!$1:$1,0)-1),装备属性!$A:$C,3,0),VLOOKUP(INDEX(英雄装备!$F:$BZ,MATCH($H43,英雄装备!$F:$F,0),MATCH(O$2,英雄装备!$1:$1,0)),装备属性!$A:$C,3,0))</f>
        <v>53</v>
      </c>
      <c r="P43" s="51">
        <f>MAX(VLOOKUP(INDEX(英雄装备!$F:$BZ,MATCH($H43,英雄装备!$F:$F,0),MATCH(P$2,英雄装备!$1:$1,0)-5),装备属性!$A:$C,3,0),VLOOKUP(INDEX(英雄装备!$F:$BZ,MATCH($H43,英雄装备!$F:$F,0),MATCH(P$2,英雄装备!$1:$1,0)-4),装备属性!$A:$C,3,0),VLOOKUP(INDEX(英雄装备!$F:$BZ,MATCH($H43,英雄装备!$F:$F,0),MATCH(P$2,英雄装备!$1:$1,0)-3),装备属性!$A:$C,3,0),VLOOKUP(INDEX(英雄装备!$F:$BZ,MATCH($H43,英雄装备!$F:$F,0),MATCH(P$2,英雄装备!$1:$1,0)-2),装备属性!$A:$C,3,0),VLOOKUP(INDEX(英雄装备!$F:$BZ,MATCH($H43,英雄装备!$F:$F,0),MATCH(P$2,英雄装备!$1:$1,0)-1),装备属性!$A:$C,3,0),VLOOKUP(INDEX(英雄装备!$F:$BZ,MATCH($H43,英雄装备!$F:$F,0),MATCH(P$2,英雄装备!$1:$1,0)),装备属性!$A:$C,3,0))</f>
        <v>70</v>
      </c>
      <c r="Q43" s="51">
        <f>MAX(VLOOKUP(INDEX(英雄装备!$F:$BZ,MATCH($H43,英雄装备!$F:$F,0),MATCH(Q$2,英雄装备!$1:$1,0)-5),装备属性!$A:$C,3,0),VLOOKUP(INDEX(英雄装备!$F:$BZ,MATCH($H43,英雄装备!$F:$F,0),MATCH(Q$2,英雄装备!$1:$1,0)-4),装备属性!$A:$C,3,0),VLOOKUP(INDEX(英雄装备!$F:$BZ,MATCH($H43,英雄装备!$F:$F,0),MATCH(Q$2,英雄装备!$1:$1,0)-3),装备属性!$A:$C,3,0),VLOOKUP(INDEX(英雄装备!$F:$BZ,MATCH($H43,英雄装备!$F:$F,0),MATCH(Q$2,英雄装备!$1:$1,0)-2),装备属性!$A:$C,3,0),VLOOKUP(INDEX(英雄装备!$F:$BZ,MATCH($H43,英雄装备!$F:$F,0),MATCH(Q$2,英雄装备!$1:$1,0)-1),装备属性!$A:$C,3,0),VLOOKUP(INDEX(英雄装备!$F:$BZ,MATCH($H43,英雄装备!$F:$F,0),MATCH(Q$2,英雄装备!$1:$1,0)),装备属性!$A:$C,3,0))</f>
        <v>80</v>
      </c>
      <c r="R43" s="51">
        <f>MAX(VLOOKUP(INDEX(英雄装备!$F:$BZ,MATCH($H43,英雄装备!$F:$F,0),MATCH(R$2,英雄装备!$1:$1,0)-5),装备属性!$A:$C,3,0),VLOOKUP(INDEX(英雄装备!$F:$BZ,MATCH($H43,英雄装备!$F:$F,0),MATCH(R$2,英雄装备!$1:$1,0)-4),装备属性!$A:$C,3,0),VLOOKUP(INDEX(英雄装备!$F:$BZ,MATCH($H43,英雄装备!$F:$F,0),MATCH(R$2,英雄装备!$1:$1,0)-3),装备属性!$A:$C,3,0),VLOOKUP(INDEX(英雄装备!$F:$BZ,MATCH($H43,英雄装备!$F:$F,0),MATCH(R$2,英雄装备!$1:$1,0)-2),装备属性!$A:$C,3,0),VLOOKUP(INDEX(英雄装备!$F:$BZ,MATCH($H43,英雄装备!$F:$F,0),MATCH(R$2,英雄装备!$1:$1,0)-1),装备属性!$A:$C,3,0),VLOOKUP(INDEX(英雄装备!$F:$BZ,MATCH($H43,英雄装备!$F:$F,0),MATCH(R$2,英雄装备!$1:$1,0)),装备属性!$A:$C,3,0))</f>
        <v>72</v>
      </c>
      <c r="S43" s="51">
        <f>MAX(VLOOKUP(INDEX(英雄装备!$F:$BZ,MATCH($H43,英雄装备!$F:$F,0),MATCH(S$2,英雄装备!$1:$1,0)-5),装备属性!$A:$C,3,0),VLOOKUP(INDEX(英雄装备!$F:$BZ,MATCH($H43,英雄装备!$F:$F,0),MATCH(S$2,英雄装备!$1:$1,0)-4),装备属性!$A:$C,3,0),VLOOKUP(INDEX(英雄装备!$F:$BZ,MATCH($H43,英雄装备!$F:$F,0),MATCH(S$2,英雄装备!$1:$1,0)-3),装备属性!$A:$C,3,0),VLOOKUP(INDEX(英雄装备!$F:$BZ,MATCH($H43,英雄装备!$F:$F,0),MATCH(S$2,英雄装备!$1:$1,0)-2),装备属性!$A:$C,3,0),VLOOKUP(INDEX(英雄装备!$F:$BZ,MATCH($H43,英雄装备!$F:$F,0),MATCH(S$2,英雄装备!$1:$1,0)-1),装备属性!$A:$C,3,0),VLOOKUP(INDEX(英雄装备!$F:$BZ,MATCH($H43,英雄装备!$F:$F,0),MATCH(S$2,英雄装备!$1:$1,0)),装备属性!$A:$C,3,0))</f>
        <v>85</v>
      </c>
      <c r="T43" s="51">
        <f>MAX(VLOOKUP(INDEX(英雄装备!$F:$BZ,MATCH($H43,英雄装备!$F:$F,0),MATCH(T$2,英雄装备!$1:$1,0)-5),装备属性!$A:$C,3,0),VLOOKUP(INDEX(英雄装备!$F:$BZ,MATCH($H43,英雄装备!$F:$F,0),MATCH(T$2,英雄装备!$1:$1,0)-4),装备属性!$A:$C,3,0),VLOOKUP(INDEX(英雄装备!$F:$BZ,MATCH($H43,英雄装备!$F:$F,0),MATCH(T$2,英雄装备!$1:$1,0)-3),装备属性!$A:$C,3,0),VLOOKUP(INDEX(英雄装备!$F:$BZ,MATCH($H43,英雄装备!$F:$F,0),MATCH(T$2,英雄装备!$1:$1,0)-2),装备属性!$A:$C,3,0),VLOOKUP(INDEX(英雄装备!$F:$BZ,MATCH($H43,英雄装备!$F:$F,0),MATCH(T$2,英雄装备!$1:$1,0)-1),装备属性!$A:$C,3,0))</f>
        <v>87</v>
      </c>
      <c r="V43" s="151">
        <v>2</v>
      </c>
      <c r="W43" s="151" t="str">
        <f>IF($V$2&lt;2,"","绿")</f>
        <v>绿</v>
      </c>
      <c r="X43" s="151" t="str">
        <f t="shared" ref="X43:AC53" si="6">IF(AND(X28=TRUE,$W43&lt;&gt;""),X2,"")</f>
        <v>吸血面具</v>
      </c>
      <c r="Y43" s="151" t="str">
        <f t="shared" si="6"/>
        <v>圣殿指环</v>
      </c>
      <c r="Z43" s="151" t="str">
        <f t="shared" si="6"/>
        <v>敏捷系带</v>
      </c>
      <c r="AA43" s="151" t="str">
        <f t="shared" si="6"/>
        <v>敏捷系带</v>
      </c>
      <c r="AB43" s="151" t="str">
        <f t="shared" si="6"/>
        <v>补刀斧</v>
      </c>
      <c r="AC43" s="151" t="str">
        <f t="shared" si="6"/>
        <v>鞋</v>
      </c>
      <c r="AF43" s="151">
        <v>4</v>
      </c>
      <c r="AG43" s="151" t="str">
        <f>Z4</f>
        <v>标枪</v>
      </c>
      <c r="AH43" s="151">
        <f>VLOOKUP($AG43,装备属性!$A:$Y,5,0)</f>
        <v>0</v>
      </c>
      <c r="AI43" s="151">
        <f>VLOOKUP($AG43,装备属性!$A:$Y,6,0)</f>
        <v>0</v>
      </c>
      <c r="AJ43" s="151">
        <f>VLOOKUP($AG43,装备属性!$A:$Y,7,0)</f>
        <v>0</v>
      </c>
      <c r="AK43" s="151">
        <f>VLOOKUP($AG43,装备属性!$A:$Y,8,0)</f>
        <v>0</v>
      </c>
      <c r="AL43" s="151">
        <f>VLOOKUP($AG43,装备属性!$A:$Y,9,0)</f>
        <v>24</v>
      </c>
      <c r="AM43" s="151">
        <f>VLOOKUP($AG43,装备属性!$A:$Y,10,0)</f>
        <v>0</v>
      </c>
      <c r="AN43" s="151">
        <f>VLOOKUP($AG43,装备属性!$A:$Y,11,0)</f>
        <v>0</v>
      </c>
      <c r="AO43" s="151">
        <f>VLOOKUP($AG43,装备属性!$A:$Y,12,0)</f>
        <v>0</v>
      </c>
      <c r="AP43" s="151">
        <f>VLOOKUP($AG43,装备属性!$A:$Y,13,0)</f>
        <v>0</v>
      </c>
      <c r="AQ43" s="151">
        <f>VLOOKUP($AG43,装备属性!$A:$Y,14,0)</f>
        <v>0</v>
      </c>
      <c r="AR43" s="151">
        <f>VLOOKUP($AG43,装备属性!$A:$Y,15,0)</f>
        <v>0</v>
      </c>
      <c r="AS43" s="151">
        <f>VLOOKUP($AG43,装备属性!$A:$Y,16,0)</f>
        <v>0</v>
      </c>
      <c r="AT43" s="151">
        <f>VLOOKUP($AG43,装备属性!$A:$Y,17,0)</f>
        <v>0</v>
      </c>
      <c r="AU43" s="151">
        <f>VLOOKUP($AG43,装备属性!$A:$Y,18,0)</f>
        <v>0</v>
      </c>
      <c r="AV43" s="151">
        <f>VLOOKUP($AG43,装备属性!$A:$Y,19,0)</f>
        <v>0</v>
      </c>
      <c r="AW43" s="151">
        <f>VLOOKUP($AG43,装备属性!$A:$Y,20,0)</f>
        <v>0</v>
      </c>
      <c r="AX43" s="151">
        <f>VLOOKUP($AG43,装备属性!$A:$Y,21,0)</f>
        <v>0</v>
      </c>
      <c r="AY43" s="151">
        <f>VLOOKUP($AG43,装备属性!$A:$Y,22,0)</f>
        <v>0</v>
      </c>
      <c r="AZ43" s="151">
        <f>VLOOKUP($AG43,装备属性!$A:$Y,23,0)</f>
        <v>0</v>
      </c>
      <c r="BA43" s="151">
        <f>VLOOKUP($AG43,装备属性!$A:$Y,24,0)</f>
        <v>0</v>
      </c>
      <c r="BB43" s="151">
        <f>VLOOKUP($AG43,装备属性!$A:$Y,25,0)</f>
        <v>0</v>
      </c>
    </row>
    <row r="44" spans="2:54">
      <c r="B44" s="151" t="str">
        <f>英雄初始!A45</f>
        <v>小鹿</v>
      </c>
      <c r="H44" s="54" t="s">
        <v>197</v>
      </c>
      <c r="I44" s="51">
        <f>MAX(VLOOKUP(INDEX(英雄装备!$F:$BZ,MATCH($H44,英雄装备!$F:$F,0),MATCH(I$2,英雄装备!$1:$1,0)-5),装备属性!$A:$C,3,0),VLOOKUP(INDEX(英雄装备!$F:$BZ,MATCH($H44,英雄装备!$F:$F,0),MATCH(I$2,英雄装备!$1:$1,0)-4),装备属性!$A:$C,3,0),VLOOKUP(INDEX(英雄装备!$F:$BZ,MATCH($H44,英雄装备!$F:$F,0),MATCH(I$2,英雄装备!$1:$1,0)-3),装备属性!$A:$C,3,0),VLOOKUP(INDEX(英雄装备!$F:$BZ,MATCH($H44,英雄装备!$F:$F,0),MATCH(I$2,英雄装备!$1:$1,0)-2),装备属性!$A:$C,3,0),VLOOKUP(INDEX(英雄装备!$F:$BZ,MATCH($H44,英雄装备!$F:$F,0),MATCH(I$2,英雄装备!$1:$1,0)-1),装备属性!$A:$C,3,0),VLOOKUP(INDEX(英雄装备!$F:$BZ,MATCH($H44,英雄装备!$F:$F,0),MATCH(I$2,英雄装备!$1:$1,0)),装备属性!$A:$C,3,0))</f>
        <v>2</v>
      </c>
      <c r="J44" s="51">
        <f>MAX(VLOOKUP(INDEX(英雄装备!$F:$BZ,MATCH($H44,英雄装备!$F:$F,0),MATCH(J$2,英雄装备!$1:$1,0)-5),装备属性!$A:$C,3,0),VLOOKUP(INDEX(英雄装备!$F:$BZ,MATCH($H44,英雄装备!$F:$F,0),MATCH(J$2,英雄装备!$1:$1,0)-4),装备属性!$A:$C,3,0),VLOOKUP(INDEX(英雄装备!$F:$BZ,MATCH($H44,英雄装备!$F:$F,0),MATCH(J$2,英雄装备!$1:$1,0)-3),装备属性!$A:$C,3,0),VLOOKUP(INDEX(英雄装备!$F:$BZ,MATCH($H44,英雄装备!$F:$F,0),MATCH(J$2,英雄装备!$1:$1,0)-2),装备属性!$A:$C,3,0),VLOOKUP(INDEX(英雄装备!$F:$BZ,MATCH($H44,英雄装备!$F:$F,0),MATCH(J$2,英雄装备!$1:$1,0)-1),装备属性!$A:$C,3,0),VLOOKUP(INDEX(英雄装备!$F:$BZ,MATCH($H44,英雄装备!$F:$F,0),MATCH(J$2,英雄装备!$1:$1,0)),装备属性!$A:$C,3,0))</f>
        <v>10</v>
      </c>
      <c r="K44" s="51">
        <f>MAX(VLOOKUP(INDEX(英雄装备!$F:$BZ,MATCH($H44,英雄装备!$F:$F,0),MATCH(K$2,英雄装备!$1:$1,0)-5),装备属性!$A:$C,3,0),VLOOKUP(INDEX(英雄装备!$F:$BZ,MATCH($H44,英雄装备!$F:$F,0),MATCH(K$2,英雄装备!$1:$1,0)-4),装备属性!$A:$C,3,0),VLOOKUP(INDEX(英雄装备!$F:$BZ,MATCH($H44,英雄装备!$F:$F,0),MATCH(K$2,英雄装备!$1:$1,0)-3),装备属性!$A:$C,3,0),VLOOKUP(INDEX(英雄装备!$F:$BZ,MATCH($H44,英雄装备!$F:$F,0),MATCH(K$2,英雄装备!$1:$1,0)-2),装备属性!$A:$C,3,0),VLOOKUP(INDEX(英雄装备!$F:$BZ,MATCH($H44,英雄装备!$F:$F,0),MATCH(K$2,英雄装备!$1:$1,0)-1),装备属性!$A:$C,3,0),VLOOKUP(INDEX(英雄装备!$F:$BZ,MATCH($H44,英雄装备!$F:$F,0),MATCH(K$2,英雄装备!$1:$1,0)),装备属性!$A:$C,3,0))</f>
        <v>20</v>
      </c>
      <c r="L44" s="51">
        <f>MAX(VLOOKUP(INDEX(英雄装备!$F:$BZ,MATCH($H44,英雄装备!$F:$F,0),MATCH(L$2,英雄装备!$1:$1,0)-5),装备属性!$A:$C,3,0),VLOOKUP(INDEX(英雄装备!$F:$BZ,MATCH($H44,英雄装备!$F:$F,0),MATCH(L$2,英雄装备!$1:$1,0)-4),装备属性!$A:$C,3,0),VLOOKUP(INDEX(英雄装备!$F:$BZ,MATCH($H44,英雄装备!$F:$F,0),MATCH(L$2,英雄装备!$1:$1,0)-3),装备属性!$A:$C,3,0),VLOOKUP(INDEX(英雄装备!$F:$BZ,MATCH($H44,英雄装备!$F:$F,0),MATCH(L$2,英雄装备!$1:$1,0)-2),装备属性!$A:$C,3,0),VLOOKUP(INDEX(英雄装备!$F:$BZ,MATCH($H44,英雄装备!$F:$F,0),MATCH(L$2,英雄装备!$1:$1,0)-1),装备属性!$A:$C,3,0),VLOOKUP(INDEX(英雄装备!$F:$BZ,MATCH($H44,英雄装备!$F:$F,0),MATCH(L$2,英雄装备!$1:$1,0)),装备属性!$A:$C,3,0))</f>
        <v>34</v>
      </c>
      <c r="M44" s="51">
        <f>MAX(VLOOKUP(INDEX(英雄装备!$F:$BZ,MATCH($H44,英雄装备!$F:$F,0),MATCH(M$2,英雄装备!$1:$1,0)-5),装备属性!$A:$C,3,0),VLOOKUP(INDEX(英雄装备!$F:$BZ,MATCH($H44,英雄装备!$F:$F,0),MATCH(M$2,英雄装备!$1:$1,0)-4),装备属性!$A:$C,3,0),VLOOKUP(INDEX(英雄装备!$F:$BZ,MATCH($H44,英雄装备!$F:$F,0),MATCH(M$2,英雄装备!$1:$1,0)-3),装备属性!$A:$C,3,0),VLOOKUP(INDEX(英雄装备!$F:$BZ,MATCH($H44,英雄装备!$F:$F,0),MATCH(M$2,英雄装备!$1:$1,0)-2),装备属性!$A:$C,3,0),VLOOKUP(INDEX(英雄装备!$F:$BZ,MATCH($H44,英雄装备!$F:$F,0),MATCH(M$2,英雄装备!$1:$1,0)-1),装备属性!$A:$C,3,0),VLOOKUP(INDEX(英雄装备!$F:$BZ,MATCH($H44,英雄装备!$F:$F,0),MATCH(M$2,英雄装备!$1:$1,0)),装备属性!$A:$C,3,0))</f>
        <v>41</v>
      </c>
      <c r="N44" s="51">
        <f>MAX(VLOOKUP(INDEX(英雄装备!$F:$BZ,MATCH($H44,英雄装备!$F:$F,0),MATCH(N$2,英雄装备!$1:$1,0)-5),装备属性!$A:$C,3,0),VLOOKUP(INDEX(英雄装备!$F:$BZ,MATCH($H44,英雄装备!$F:$F,0),MATCH(N$2,英雄装备!$1:$1,0)-4),装备属性!$A:$C,3,0),VLOOKUP(INDEX(英雄装备!$F:$BZ,MATCH($H44,英雄装备!$F:$F,0),MATCH(N$2,英雄装备!$1:$1,0)-3),装备属性!$A:$C,3,0),VLOOKUP(INDEX(英雄装备!$F:$BZ,MATCH($H44,英雄装备!$F:$F,0),MATCH(N$2,英雄装备!$1:$1,0)-2),装备属性!$A:$C,3,0),VLOOKUP(INDEX(英雄装备!$F:$BZ,MATCH($H44,英雄装备!$F:$F,0),MATCH(N$2,英雄装备!$1:$1,0)-1),装备属性!$A:$C,3,0),VLOOKUP(INDEX(英雄装备!$F:$BZ,MATCH($H44,英雄装备!$F:$F,0),MATCH(N$2,英雄装备!$1:$1,0)),装备属性!$A:$C,3,0))</f>
        <v>53</v>
      </c>
      <c r="O44" s="51">
        <f>MAX(VLOOKUP(INDEX(英雄装备!$F:$BZ,MATCH($H44,英雄装备!$F:$F,0),MATCH(O$2,英雄装备!$1:$1,0)-5),装备属性!$A:$C,3,0),VLOOKUP(INDEX(英雄装备!$F:$BZ,MATCH($H44,英雄装备!$F:$F,0),MATCH(O$2,英雄装备!$1:$1,0)-4),装备属性!$A:$C,3,0),VLOOKUP(INDEX(英雄装备!$F:$BZ,MATCH($H44,英雄装备!$F:$F,0),MATCH(O$2,英雄装备!$1:$1,0)-3),装备属性!$A:$C,3,0),VLOOKUP(INDEX(英雄装备!$F:$BZ,MATCH($H44,英雄装备!$F:$F,0),MATCH(O$2,英雄装备!$1:$1,0)-2),装备属性!$A:$C,3,0),VLOOKUP(INDEX(英雄装备!$F:$BZ,MATCH($H44,英雄装备!$F:$F,0),MATCH(O$2,英雄装备!$1:$1,0)-1),装备属性!$A:$C,3,0),VLOOKUP(INDEX(英雄装备!$F:$BZ,MATCH($H44,英雄装备!$F:$F,0),MATCH(O$2,英雄装备!$1:$1,0)),装备属性!$A:$C,3,0))</f>
        <v>63</v>
      </c>
      <c r="P44" s="51">
        <f>MAX(VLOOKUP(INDEX(英雄装备!$F:$BZ,MATCH($H44,英雄装备!$F:$F,0),MATCH(P$2,英雄装备!$1:$1,0)-5),装备属性!$A:$C,3,0),VLOOKUP(INDEX(英雄装备!$F:$BZ,MATCH($H44,英雄装备!$F:$F,0),MATCH(P$2,英雄装备!$1:$1,0)-4),装备属性!$A:$C,3,0),VLOOKUP(INDEX(英雄装备!$F:$BZ,MATCH($H44,英雄装备!$F:$F,0),MATCH(P$2,英雄装备!$1:$1,0)-3),装备属性!$A:$C,3,0),VLOOKUP(INDEX(英雄装备!$F:$BZ,MATCH($H44,英雄装备!$F:$F,0),MATCH(P$2,英雄装备!$1:$1,0)-2),装备属性!$A:$C,3,0),VLOOKUP(INDEX(英雄装备!$F:$BZ,MATCH($H44,英雄装备!$F:$F,0),MATCH(P$2,英雄装备!$1:$1,0)-1),装备属性!$A:$C,3,0),VLOOKUP(INDEX(英雄装备!$F:$BZ,MATCH($H44,英雄装备!$F:$F,0),MATCH(P$2,英雄装备!$1:$1,0)),装备属性!$A:$C,3,0))</f>
        <v>70</v>
      </c>
      <c r="Q44" s="51">
        <f>MAX(VLOOKUP(INDEX(英雄装备!$F:$BZ,MATCH($H44,英雄装备!$F:$F,0),MATCH(Q$2,英雄装备!$1:$1,0)-5),装备属性!$A:$C,3,0),VLOOKUP(INDEX(英雄装备!$F:$BZ,MATCH($H44,英雄装备!$F:$F,0),MATCH(Q$2,英雄装备!$1:$1,0)-4),装备属性!$A:$C,3,0),VLOOKUP(INDEX(英雄装备!$F:$BZ,MATCH($H44,英雄装备!$F:$F,0),MATCH(Q$2,英雄装备!$1:$1,0)-3),装备属性!$A:$C,3,0),VLOOKUP(INDEX(英雄装备!$F:$BZ,MATCH($H44,英雄装备!$F:$F,0),MATCH(Q$2,英雄装备!$1:$1,0)-2),装备属性!$A:$C,3,0),VLOOKUP(INDEX(英雄装备!$F:$BZ,MATCH($H44,英雄装备!$F:$F,0),MATCH(Q$2,英雄装备!$1:$1,0)-1),装备属性!$A:$C,3,0),VLOOKUP(INDEX(英雄装备!$F:$BZ,MATCH($H44,英雄装备!$F:$F,0),MATCH(Q$2,英雄装备!$1:$1,0)),装备属性!$A:$C,3,0))</f>
        <v>78</v>
      </c>
      <c r="R44" s="51">
        <f>MAX(VLOOKUP(INDEX(英雄装备!$F:$BZ,MATCH($H44,英雄装备!$F:$F,0),MATCH(R$2,英雄装备!$1:$1,0)-5),装备属性!$A:$C,3,0),VLOOKUP(INDEX(英雄装备!$F:$BZ,MATCH($H44,英雄装备!$F:$F,0),MATCH(R$2,英雄装备!$1:$1,0)-4),装备属性!$A:$C,3,0),VLOOKUP(INDEX(英雄装备!$F:$BZ,MATCH($H44,英雄装备!$F:$F,0),MATCH(R$2,英雄装备!$1:$1,0)-3),装备属性!$A:$C,3,0),VLOOKUP(INDEX(英雄装备!$F:$BZ,MATCH($H44,英雄装备!$F:$F,0),MATCH(R$2,英雄装备!$1:$1,0)-2),装备属性!$A:$C,3,0),VLOOKUP(INDEX(英雄装备!$F:$BZ,MATCH($H44,英雄装备!$F:$F,0),MATCH(R$2,英雄装备!$1:$1,0)-1),装备属性!$A:$C,3,0),VLOOKUP(INDEX(英雄装备!$F:$BZ,MATCH($H44,英雄装备!$F:$F,0),MATCH(R$2,英雄装备!$1:$1,0)),装备属性!$A:$C,3,0))</f>
        <v>80</v>
      </c>
      <c r="S44" s="51">
        <f>MAX(VLOOKUP(INDEX(英雄装备!$F:$BZ,MATCH($H44,英雄装备!$F:$F,0),MATCH(S$2,英雄装备!$1:$1,0)-5),装备属性!$A:$C,3,0),VLOOKUP(INDEX(英雄装备!$F:$BZ,MATCH($H44,英雄装备!$F:$F,0),MATCH(S$2,英雄装备!$1:$1,0)-4),装备属性!$A:$C,3,0),VLOOKUP(INDEX(英雄装备!$F:$BZ,MATCH($H44,英雄装备!$F:$F,0),MATCH(S$2,英雄装备!$1:$1,0)-3),装备属性!$A:$C,3,0),VLOOKUP(INDEX(英雄装备!$F:$BZ,MATCH($H44,英雄装备!$F:$F,0),MATCH(S$2,英雄装备!$1:$1,0)-2),装备属性!$A:$C,3,0),VLOOKUP(INDEX(英雄装备!$F:$BZ,MATCH($H44,英雄装备!$F:$F,0),MATCH(S$2,英雄装备!$1:$1,0)-1),装备属性!$A:$C,3,0),VLOOKUP(INDEX(英雄装备!$F:$BZ,MATCH($H44,英雄装备!$F:$F,0),MATCH(S$2,英雄装备!$1:$1,0)),装备属性!$A:$C,3,0))</f>
        <v>85</v>
      </c>
      <c r="T44" s="51">
        <f>MAX(VLOOKUP(INDEX(英雄装备!$F:$BZ,MATCH($H44,英雄装备!$F:$F,0),MATCH(T$2,英雄装备!$1:$1,0)-5),装备属性!$A:$C,3,0),VLOOKUP(INDEX(英雄装备!$F:$BZ,MATCH($H44,英雄装备!$F:$F,0),MATCH(T$2,英雄装备!$1:$1,0)-4),装备属性!$A:$C,3,0),VLOOKUP(INDEX(英雄装备!$F:$BZ,MATCH($H44,英雄装备!$F:$F,0),MATCH(T$2,英雄装备!$1:$1,0)-3),装备属性!$A:$C,3,0),VLOOKUP(INDEX(英雄装备!$F:$BZ,MATCH($H44,英雄装备!$F:$F,0),MATCH(T$2,英雄装备!$1:$1,0)-2),装备属性!$A:$C,3,0),VLOOKUP(INDEX(英雄装备!$F:$BZ,MATCH($H44,英雄装备!$F:$F,0),MATCH(T$2,英雄装备!$1:$1,0)-1),装备属性!$A:$C,3,0))</f>
        <v>87</v>
      </c>
      <c r="V44" s="151">
        <v>3</v>
      </c>
      <c r="W44" s="151" t="str">
        <f>IF($V$2&lt;3,"","绿+1")</f>
        <v>绿+1</v>
      </c>
      <c r="X44" s="151" t="str">
        <f t="shared" si="6"/>
        <v>敏捷之刃</v>
      </c>
      <c r="Y44" s="151" t="str">
        <f t="shared" si="6"/>
        <v>祭品</v>
      </c>
      <c r="Z44" s="151" t="str">
        <f t="shared" si="6"/>
        <v>大魔杖</v>
      </c>
      <c r="AA44" s="151" t="str">
        <f t="shared" si="6"/>
        <v>生命之球</v>
      </c>
      <c r="AB44" s="151" t="str">
        <f t="shared" si="6"/>
        <v>攻击利爪</v>
      </c>
      <c r="AC44" s="151" t="str">
        <f t="shared" si="6"/>
        <v>鞋</v>
      </c>
      <c r="AF44" s="151">
        <v>4</v>
      </c>
      <c r="AG44" s="151" t="str">
        <f>AA4</f>
        <v>冲锋盾</v>
      </c>
      <c r="AH44" s="151">
        <f>VLOOKUP($AG44,装备属性!$A:$Y,5,0)</f>
        <v>0</v>
      </c>
      <c r="AI44" s="151">
        <f>VLOOKUP($AG44,装备属性!$A:$Y,6,0)</f>
        <v>0</v>
      </c>
      <c r="AJ44" s="151">
        <f>VLOOKUP($AG44,装备属性!$A:$Y,7,0)</f>
        <v>0</v>
      </c>
      <c r="AK44" s="151">
        <f>VLOOKUP($AG44,装备属性!$A:$Y,8,0)</f>
        <v>280</v>
      </c>
      <c r="AL44" s="151">
        <f>VLOOKUP($AG44,装备属性!$A:$Y,9,0)</f>
        <v>0</v>
      </c>
      <c r="AM44" s="151">
        <f>VLOOKUP($AG44,装备属性!$A:$Y,10,0)</f>
        <v>0</v>
      </c>
      <c r="AN44" s="151">
        <f>VLOOKUP($AG44,装备属性!$A:$Y,11,0)</f>
        <v>4</v>
      </c>
      <c r="AO44" s="151">
        <f>VLOOKUP($AG44,装备属性!$A:$Y,12,0)</f>
        <v>0</v>
      </c>
      <c r="AP44" s="151">
        <f>VLOOKUP($AG44,装备属性!$A:$Y,13,0)</f>
        <v>0</v>
      </c>
      <c r="AQ44" s="151">
        <f>VLOOKUP($AG44,装备属性!$A:$Y,14,0)</f>
        <v>0</v>
      </c>
      <c r="AR44" s="151">
        <f>VLOOKUP($AG44,装备属性!$A:$Y,15,0)</f>
        <v>0</v>
      </c>
      <c r="AS44" s="151">
        <f>VLOOKUP($AG44,装备属性!$A:$Y,16,0)</f>
        <v>0</v>
      </c>
      <c r="AT44" s="151">
        <f>VLOOKUP($AG44,装备属性!$A:$Y,17,0)</f>
        <v>0</v>
      </c>
      <c r="AU44" s="151">
        <f>VLOOKUP($AG44,装备属性!$A:$Y,18,0)</f>
        <v>0</v>
      </c>
      <c r="AV44" s="151">
        <f>VLOOKUP($AG44,装备属性!$A:$Y,19,0)</f>
        <v>0</v>
      </c>
      <c r="AW44" s="151">
        <f>VLOOKUP($AG44,装备属性!$A:$Y,20,0)</f>
        <v>240</v>
      </c>
      <c r="AX44" s="151">
        <f>VLOOKUP($AG44,装备属性!$A:$Y,21,0)</f>
        <v>0</v>
      </c>
      <c r="AY44" s="151">
        <f>VLOOKUP($AG44,装备属性!$A:$Y,22,0)</f>
        <v>0</v>
      </c>
      <c r="AZ44" s="151">
        <f>VLOOKUP($AG44,装备属性!$A:$Y,23,0)</f>
        <v>0</v>
      </c>
      <c r="BA44" s="151">
        <f>VLOOKUP($AG44,装备属性!$A:$Y,24,0)</f>
        <v>0</v>
      </c>
      <c r="BB44" s="151">
        <f>VLOOKUP($AG44,装备属性!$A:$Y,25,0)</f>
        <v>0</v>
      </c>
    </row>
    <row r="45" spans="2:54">
      <c r="B45" s="151" t="str">
        <f>英雄初始!A46</f>
        <v>修补匠</v>
      </c>
      <c r="H45" s="54" t="s">
        <v>198</v>
      </c>
      <c r="I45" s="51">
        <f>MAX(VLOOKUP(INDEX(英雄装备!$F:$BZ,MATCH($H45,英雄装备!$F:$F,0),MATCH(I$2,英雄装备!$1:$1,0)-5),装备属性!$A:$C,3,0),VLOOKUP(INDEX(英雄装备!$F:$BZ,MATCH($H45,英雄装备!$F:$F,0),MATCH(I$2,英雄装备!$1:$1,0)-4),装备属性!$A:$C,3,0),VLOOKUP(INDEX(英雄装备!$F:$BZ,MATCH($H45,英雄装备!$F:$F,0),MATCH(I$2,英雄装备!$1:$1,0)-3),装备属性!$A:$C,3,0),VLOOKUP(INDEX(英雄装备!$F:$BZ,MATCH($H45,英雄装备!$F:$F,0),MATCH(I$2,英雄装备!$1:$1,0)-2),装备属性!$A:$C,3,0),VLOOKUP(INDEX(英雄装备!$F:$BZ,MATCH($H45,英雄装备!$F:$F,0),MATCH(I$2,英雄装备!$1:$1,0)-1),装备属性!$A:$C,3,0),VLOOKUP(INDEX(英雄装备!$F:$BZ,MATCH($H45,英雄装备!$F:$F,0),MATCH(I$2,英雄装备!$1:$1,0)),装备属性!$A:$C,3,0))</f>
        <v>2</v>
      </c>
      <c r="J45" s="51">
        <f>MAX(VLOOKUP(INDEX(英雄装备!$F:$BZ,MATCH($H45,英雄装备!$F:$F,0),MATCH(J$2,英雄装备!$1:$1,0)-5),装备属性!$A:$C,3,0),VLOOKUP(INDEX(英雄装备!$F:$BZ,MATCH($H45,英雄装备!$F:$F,0),MATCH(J$2,英雄装备!$1:$1,0)-4),装备属性!$A:$C,3,0),VLOOKUP(INDEX(英雄装备!$F:$BZ,MATCH($H45,英雄装备!$F:$F,0),MATCH(J$2,英雄装备!$1:$1,0)-3),装备属性!$A:$C,3,0),VLOOKUP(INDEX(英雄装备!$F:$BZ,MATCH($H45,英雄装备!$F:$F,0),MATCH(J$2,英雄装备!$1:$1,0)-2),装备属性!$A:$C,3,0),VLOOKUP(INDEX(英雄装备!$F:$BZ,MATCH($H45,英雄装备!$F:$F,0),MATCH(J$2,英雄装备!$1:$1,0)-1),装备属性!$A:$C,3,0),VLOOKUP(INDEX(英雄装备!$F:$BZ,MATCH($H45,英雄装备!$F:$F,0),MATCH(J$2,英雄装备!$1:$1,0)),装备属性!$A:$C,3,0))</f>
        <v>11</v>
      </c>
      <c r="K45" s="51">
        <f>MAX(VLOOKUP(INDEX(英雄装备!$F:$BZ,MATCH($H45,英雄装备!$F:$F,0),MATCH(K$2,英雄装备!$1:$1,0)-5),装备属性!$A:$C,3,0),VLOOKUP(INDEX(英雄装备!$F:$BZ,MATCH($H45,英雄装备!$F:$F,0),MATCH(K$2,英雄装备!$1:$1,0)-4),装备属性!$A:$C,3,0),VLOOKUP(INDEX(英雄装备!$F:$BZ,MATCH($H45,英雄装备!$F:$F,0),MATCH(K$2,英雄装备!$1:$1,0)-3),装备属性!$A:$C,3,0),VLOOKUP(INDEX(英雄装备!$F:$BZ,MATCH($H45,英雄装备!$F:$F,0),MATCH(K$2,英雄装备!$1:$1,0)-2),装备属性!$A:$C,3,0),VLOOKUP(INDEX(英雄装备!$F:$BZ,MATCH($H45,英雄装备!$F:$F,0),MATCH(K$2,英雄装备!$1:$1,0)-1),装备属性!$A:$C,3,0),VLOOKUP(INDEX(英雄装备!$F:$BZ,MATCH($H45,英雄装备!$F:$F,0),MATCH(K$2,英雄装备!$1:$1,0)),装备属性!$A:$C,3,0))</f>
        <v>21</v>
      </c>
      <c r="L45" s="51">
        <f>MAX(VLOOKUP(INDEX(英雄装备!$F:$BZ,MATCH($H45,英雄装备!$F:$F,0),MATCH(L$2,英雄装备!$1:$1,0)-5),装备属性!$A:$C,3,0),VLOOKUP(INDEX(英雄装备!$F:$BZ,MATCH($H45,英雄装备!$F:$F,0),MATCH(L$2,英雄装备!$1:$1,0)-4),装备属性!$A:$C,3,0),VLOOKUP(INDEX(英雄装备!$F:$BZ,MATCH($H45,英雄装备!$F:$F,0),MATCH(L$2,英雄装备!$1:$1,0)-3),装备属性!$A:$C,3,0),VLOOKUP(INDEX(英雄装备!$F:$BZ,MATCH($H45,英雄装备!$F:$F,0),MATCH(L$2,英雄装备!$1:$1,0)-2),装备属性!$A:$C,3,0),VLOOKUP(INDEX(英雄装备!$F:$BZ,MATCH($H45,英雄装备!$F:$F,0),MATCH(L$2,英雄装备!$1:$1,0)-1),装备属性!$A:$C,3,0),VLOOKUP(INDEX(英雄装备!$F:$BZ,MATCH($H45,英雄装备!$F:$F,0),MATCH(L$2,英雄装备!$1:$1,0)),装备属性!$A:$C,3,0))</f>
        <v>35</v>
      </c>
      <c r="M45" s="51">
        <f>MAX(VLOOKUP(INDEX(英雄装备!$F:$BZ,MATCH($H45,英雄装备!$F:$F,0),MATCH(M$2,英雄装备!$1:$1,0)-5),装备属性!$A:$C,3,0),VLOOKUP(INDEX(英雄装备!$F:$BZ,MATCH($H45,英雄装备!$F:$F,0),MATCH(M$2,英雄装备!$1:$1,0)-4),装备属性!$A:$C,3,0),VLOOKUP(INDEX(英雄装备!$F:$BZ,MATCH($H45,英雄装备!$F:$F,0),MATCH(M$2,英雄装备!$1:$1,0)-3),装备属性!$A:$C,3,0),VLOOKUP(INDEX(英雄装备!$F:$BZ,MATCH($H45,英雄装备!$F:$F,0),MATCH(M$2,英雄装备!$1:$1,0)-2),装备属性!$A:$C,3,0),VLOOKUP(INDEX(英雄装备!$F:$BZ,MATCH($H45,英雄装备!$F:$F,0),MATCH(M$2,英雄装备!$1:$1,0)-1),装备属性!$A:$C,3,0),VLOOKUP(INDEX(英雄装备!$F:$BZ,MATCH($H45,英雄装备!$F:$F,0),MATCH(M$2,英雄装备!$1:$1,0)),装备属性!$A:$C,3,0))</f>
        <v>43</v>
      </c>
      <c r="N45" s="51">
        <f>MAX(VLOOKUP(INDEX(英雄装备!$F:$BZ,MATCH($H45,英雄装备!$F:$F,0),MATCH(N$2,英雄装备!$1:$1,0)-5),装备属性!$A:$C,3,0),VLOOKUP(INDEX(英雄装备!$F:$BZ,MATCH($H45,英雄装备!$F:$F,0),MATCH(N$2,英雄装备!$1:$1,0)-4),装备属性!$A:$C,3,0),VLOOKUP(INDEX(英雄装备!$F:$BZ,MATCH($H45,英雄装备!$F:$F,0),MATCH(N$2,英雄装备!$1:$1,0)-3),装备属性!$A:$C,3,0),VLOOKUP(INDEX(英雄装备!$F:$BZ,MATCH($H45,英雄装备!$F:$F,0),MATCH(N$2,英雄装备!$1:$1,0)-2),装备属性!$A:$C,3,0),VLOOKUP(INDEX(英雄装备!$F:$BZ,MATCH($H45,英雄装备!$F:$F,0),MATCH(N$2,英雄装备!$1:$1,0)-1),装备属性!$A:$C,3,0),VLOOKUP(INDEX(英雄装备!$F:$BZ,MATCH($H45,英雄装备!$F:$F,0),MATCH(N$2,英雄装备!$1:$1,0)),装备属性!$A:$C,3,0))</f>
        <v>51</v>
      </c>
      <c r="O45" s="51">
        <f>MAX(VLOOKUP(INDEX(英雄装备!$F:$BZ,MATCH($H45,英雄装备!$F:$F,0),MATCH(O$2,英雄装备!$1:$1,0)-5),装备属性!$A:$C,3,0),VLOOKUP(INDEX(英雄装备!$F:$BZ,MATCH($H45,英雄装备!$F:$F,0),MATCH(O$2,英雄装备!$1:$1,0)-4),装备属性!$A:$C,3,0),VLOOKUP(INDEX(英雄装备!$F:$BZ,MATCH($H45,英雄装备!$F:$F,0),MATCH(O$2,英雄装备!$1:$1,0)-3),装备属性!$A:$C,3,0),VLOOKUP(INDEX(英雄装备!$F:$BZ,MATCH($H45,英雄装备!$F:$F,0),MATCH(O$2,英雄装备!$1:$1,0)-2),装备属性!$A:$C,3,0),VLOOKUP(INDEX(英雄装备!$F:$BZ,MATCH($H45,英雄装备!$F:$F,0),MATCH(O$2,英雄装备!$1:$1,0)-1),装备属性!$A:$C,3,0),VLOOKUP(INDEX(英雄装备!$F:$BZ,MATCH($H45,英雄装备!$F:$F,0),MATCH(O$2,英雄装备!$1:$1,0)),装备属性!$A:$C,3,0))</f>
        <v>60</v>
      </c>
      <c r="P45" s="51">
        <f>MAX(VLOOKUP(INDEX(英雄装备!$F:$BZ,MATCH($H45,英雄装备!$F:$F,0),MATCH(P$2,英雄装备!$1:$1,0)-5),装备属性!$A:$C,3,0),VLOOKUP(INDEX(英雄装备!$F:$BZ,MATCH($H45,英雄装备!$F:$F,0),MATCH(P$2,英雄装备!$1:$1,0)-4),装备属性!$A:$C,3,0),VLOOKUP(INDEX(英雄装备!$F:$BZ,MATCH($H45,英雄装备!$F:$F,0),MATCH(P$2,英雄装备!$1:$1,0)-3),装备属性!$A:$C,3,0),VLOOKUP(INDEX(英雄装备!$F:$BZ,MATCH($H45,英雄装备!$F:$F,0),MATCH(P$2,英雄装备!$1:$1,0)-2),装备属性!$A:$C,3,0),VLOOKUP(INDEX(英雄装备!$F:$BZ,MATCH($H45,英雄装备!$F:$F,0),MATCH(P$2,英雄装备!$1:$1,0)-1),装备属性!$A:$C,3,0),VLOOKUP(INDEX(英雄装备!$F:$BZ,MATCH($H45,英雄装备!$F:$F,0),MATCH(P$2,英雄装备!$1:$1,0)),装备属性!$A:$C,3,0))</f>
        <v>70</v>
      </c>
      <c r="Q45" s="51">
        <f>MAX(VLOOKUP(INDEX(英雄装备!$F:$BZ,MATCH($H45,英雄装备!$F:$F,0),MATCH(Q$2,英雄装备!$1:$1,0)-5),装备属性!$A:$C,3,0),VLOOKUP(INDEX(英雄装备!$F:$BZ,MATCH($H45,英雄装备!$F:$F,0),MATCH(Q$2,英雄装备!$1:$1,0)-4),装备属性!$A:$C,3,0),VLOOKUP(INDEX(英雄装备!$F:$BZ,MATCH($H45,英雄装备!$F:$F,0),MATCH(Q$2,英雄装备!$1:$1,0)-3),装备属性!$A:$C,3,0),VLOOKUP(INDEX(英雄装备!$F:$BZ,MATCH($H45,英雄装备!$F:$F,0),MATCH(Q$2,英雄装备!$1:$1,0)-2),装备属性!$A:$C,3,0),VLOOKUP(INDEX(英雄装备!$F:$BZ,MATCH($H45,英雄装备!$F:$F,0),MATCH(Q$2,英雄装备!$1:$1,0)-1),装备属性!$A:$C,3,0),VLOOKUP(INDEX(英雄装备!$F:$BZ,MATCH($H45,英雄装备!$F:$F,0),MATCH(Q$2,英雄装备!$1:$1,0)),装备属性!$A:$C,3,0))</f>
        <v>78</v>
      </c>
      <c r="R45" s="51">
        <f>MAX(VLOOKUP(INDEX(英雄装备!$F:$BZ,MATCH($H45,英雄装备!$F:$F,0),MATCH(R$2,英雄装备!$1:$1,0)-5),装备属性!$A:$C,3,0),VLOOKUP(INDEX(英雄装备!$F:$BZ,MATCH($H45,英雄装备!$F:$F,0),MATCH(R$2,英雄装备!$1:$1,0)-4),装备属性!$A:$C,3,0),VLOOKUP(INDEX(英雄装备!$F:$BZ,MATCH($H45,英雄装备!$F:$F,0),MATCH(R$2,英雄装备!$1:$1,0)-3),装备属性!$A:$C,3,0),VLOOKUP(INDEX(英雄装备!$F:$BZ,MATCH($H45,英雄装备!$F:$F,0),MATCH(R$2,英雄装备!$1:$1,0)-2),装备属性!$A:$C,3,0),VLOOKUP(INDEX(英雄装备!$F:$BZ,MATCH($H45,英雄装备!$F:$F,0),MATCH(R$2,英雄装备!$1:$1,0)-1),装备属性!$A:$C,3,0),VLOOKUP(INDEX(英雄装备!$F:$BZ,MATCH($H45,英雄装备!$F:$F,0),MATCH(R$2,英雄装备!$1:$1,0)),装备属性!$A:$C,3,0))</f>
        <v>80</v>
      </c>
      <c r="S45" s="51">
        <f>MAX(VLOOKUP(INDEX(英雄装备!$F:$BZ,MATCH($H45,英雄装备!$F:$F,0),MATCH(S$2,英雄装备!$1:$1,0)-5),装备属性!$A:$C,3,0),VLOOKUP(INDEX(英雄装备!$F:$BZ,MATCH($H45,英雄装备!$F:$F,0),MATCH(S$2,英雄装备!$1:$1,0)-4),装备属性!$A:$C,3,0),VLOOKUP(INDEX(英雄装备!$F:$BZ,MATCH($H45,英雄装备!$F:$F,0),MATCH(S$2,英雄装备!$1:$1,0)-3),装备属性!$A:$C,3,0),VLOOKUP(INDEX(英雄装备!$F:$BZ,MATCH($H45,英雄装备!$F:$F,0),MATCH(S$2,英雄装备!$1:$1,0)-2),装备属性!$A:$C,3,0),VLOOKUP(INDEX(英雄装备!$F:$BZ,MATCH($H45,英雄装备!$F:$F,0),MATCH(S$2,英雄装备!$1:$1,0)-1),装备属性!$A:$C,3,0),VLOOKUP(INDEX(英雄装备!$F:$BZ,MATCH($H45,英雄装备!$F:$F,0),MATCH(S$2,英雄装备!$1:$1,0)),装备属性!$A:$C,3,0))</f>
        <v>85</v>
      </c>
      <c r="T45" s="51">
        <f>MAX(VLOOKUP(INDEX(英雄装备!$F:$BZ,MATCH($H45,英雄装备!$F:$F,0),MATCH(T$2,英雄装备!$1:$1,0)-5),装备属性!$A:$C,3,0),VLOOKUP(INDEX(英雄装备!$F:$BZ,MATCH($H45,英雄装备!$F:$F,0),MATCH(T$2,英雄装备!$1:$1,0)-4),装备属性!$A:$C,3,0),VLOOKUP(INDEX(英雄装备!$F:$BZ,MATCH($H45,英雄装备!$F:$F,0),MATCH(T$2,英雄装备!$1:$1,0)-3),装备属性!$A:$C,3,0),VLOOKUP(INDEX(英雄装备!$F:$BZ,MATCH($H45,英雄装备!$F:$F,0),MATCH(T$2,英雄装备!$1:$1,0)-2),装备属性!$A:$C,3,0),VLOOKUP(INDEX(英雄装备!$F:$BZ,MATCH($H45,英雄装备!$F:$F,0),MATCH(T$2,英雄装备!$1:$1,0)-1),装备属性!$A:$C,3,0))</f>
        <v>88</v>
      </c>
      <c r="V45" s="151">
        <v>4</v>
      </c>
      <c r="W45" s="151" t="str">
        <f>IF($V$2&lt;4,"","蓝")</f>
        <v>蓝</v>
      </c>
      <c r="X45" s="151" t="str">
        <f t="shared" si="6"/>
        <v>洛萨</v>
      </c>
      <c r="Y45" s="151" t="str">
        <f t="shared" si="6"/>
        <v>鬼手</v>
      </c>
      <c r="Z45" s="151" t="str">
        <f t="shared" si="6"/>
        <v>标枪</v>
      </c>
      <c r="AA45" s="151" t="str">
        <f t="shared" si="6"/>
        <v>冲锋盾</v>
      </c>
      <c r="AB45" s="151" t="str">
        <f t="shared" si="6"/>
        <v>力量腰带</v>
      </c>
      <c r="AC45" s="151" t="str">
        <f t="shared" si="6"/>
        <v>相位鞋</v>
      </c>
      <c r="AF45" s="151">
        <v>4</v>
      </c>
      <c r="AG45" s="151" t="str">
        <f>AB4</f>
        <v>力量腰带</v>
      </c>
      <c r="AH45" s="151">
        <f>VLOOKUP($AG45,装备属性!$A:$Y,5,0)</f>
        <v>6</v>
      </c>
      <c r="AI45" s="151">
        <f>VLOOKUP($AG45,装备属性!$A:$Y,6,0)</f>
        <v>0</v>
      </c>
      <c r="AJ45" s="151">
        <f>VLOOKUP($AG45,装备属性!$A:$Y,7,0)</f>
        <v>0</v>
      </c>
      <c r="AK45" s="151">
        <f>VLOOKUP($AG45,装备属性!$A:$Y,8,0)</f>
        <v>0</v>
      </c>
      <c r="AL45" s="151">
        <f>VLOOKUP($AG45,装备属性!$A:$Y,9,0)</f>
        <v>0</v>
      </c>
      <c r="AM45" s="151">
        <f>VLOOKUP($AG45,装备属性!$A:$Y,10,0)</f>
        <v>0</v>
      </c>
      <c r="AN45" s="151">
        <f>VLOOKUP($AG45,装备属性!$A:$Y,11,0)</f>
        <v>0</v>
      </c>
      <c r="AO45" s="151">
        <f>VLOOKUP($AG45,装备属性!$A:$Y,12,0)</f>
        <v>0</v>
      </c>
      <c r="AP45" s="151">
        <f>VLOOKUP($AG45,装备属性!$A:$Y,13,0)</f>
        <v>0</v>
      </c>
      <c r="AQ45" s="151">
        <f>VLOOKUP($AG45,装备属性!$A:$Y,14,0)</f>
        <v>0</v>
      </c>
      <c r="AR45" s="151">
        <f>VLOOKUP($AG45,装备属性!$A:$Y,15,0)</f>
        <v>0</v>
      </c>
      <c r="AS45" s="151">
        <f>VLOOKUP($AG45,装备属性!$A:$Y,16,0)</f>
        <v>0</v>
      </c>
      <c r="AT45" s="151">
        <f>VLOOKUP($AG45,装备属性!$A:$Y,17,0)</f>
        <v>0</v>
      </c>
      <c r="AU45" s="151">
        <f>VLOOKUP($AG45,装备属性!$A:$Y,18,0)</f>
        <v>0</v>
      </c>
      <c r="AV45" s="151">
        <f>VLOOKUP($AG45,装备属性!$A:$Y,19,0)</f>
        <v>0</v>
      </c>
      <c r="AW45" s="151">
        <f>VLOOKUP($AG45,装备属性!$A:$Y,20,0)</f>
        <v>0</v>
      </c>
      <c r="AX45" s="151">
        <f>VLOOKUP($AG45,装备属性!$A:$Y,21,0)</f>
        <v>0</v>
      </c>
      <c r="AY45" s="151">
        <f>VLOOKUP($AG45,装备属性!$A:$Y,22,0)</f>
        <v>0</v>
      </c>
      <c r="AZ45" s="151">
        <f>VLOOKUP($AG45,装备属性!$A:$Y,23,0)</f>
        <v>0</v>
      </c>
      <c r="BA45" s="151">
        <f>VLOOKUP($AG45,装备属性!$A:$Y,24,0)</f>
        <v>0</v>
      </c>
      <c r="BB45" s="151">
        <f>VLOOKUP($AG45,装备属性!$A:$Y,25,0)</f>
        <v>0</v>
      </c>
    </row>
    <row r="46" spans="2:54">
      <c r="B46" s="151" t="str">
        <f>英雄初始!A47</f>
        <v>宙斯</v>
      </c>
      <c r="H46" s="54" t="s">
        <v>199</v>
      </c>
      <c r="I46" s="51">
        <f>MAX(VLOOKUP(INDEX(英雄装备!$F:$BZ,MATCH($H46,英雄装备!$F:$F,0),MATCH(I$2,英雄装备!$1:$1,0)-5),装备属性!$A:$C,3,0),VLOOKUP(INDEX(英雄装备!$F:$BZ,MATCH($H46,英雄装备!$F:$F,0),MATCH(I$2,英雄装备!$1:$1,0)-4),装备属性!$A:$C,3,0),VLOOKUP(INDEX(英雄装备!$F:$BZ,MATCH($H46,英雄装备!$F:$F,0),MATCH(I$2,英雄装备!$1:$1,0)-3),装备属性!$A:$C,3,0),VLOOKUP(INDEX(英雄装备!$F:$BZ,MATCH($H46,英雄装备!$F:$F,0),MATCH(I$2,英雄装备!$1:$1,0)-2),装备属性!$A:$C,3,0),VLOOKUP(INDEX(英雄装备!$F:$BZ,MATCH($H46,英雄装备!$F:$F,0),MATCH(I$2,英雄装备!$1:$1,0)-1),装备属性!$A:$C,3,0),VLOOKUP(INDEX(英雄装备!$F:$BZ,MATCH($H46,英雄装备!$F:$F,0),MATCH(I$2,英雄装备!$1:$1,0)),装备属性!$A:$C,3,0))</f>
        <v>2</v>
      </c>
      <c r="J46" s="51">
        <f>MAX(VLOOKUP(INDEX(英雄装备!$F:$BZ,MATCH($H46,英雄装备!$F:$F,0),MATCH(J$2,英雄装备!$1:$1,0)-5),装备属性!$A:$C,3,0),VLOOKUP(INDEX(英雄装备!$F:$BZ,MATCH($H46,英雄装备!$F:$F,0),MATCH(J$2,英雄装备!$1:$1,0)-4),装备属性!$A:$C,3,0),VLOOKUP(INDEX(英雄装备!$F:$BZ,MATCH($H46,英雄装备!$F:$F,0),MATCH(J$2,英雄装备!$1:$1,0)-3),装备属性!$A:$C,3,0),VLOOKUP(INDEX(英雄装备!$F:$BZ,MATCH($H46,英雄装备!$F:$F,0),MATCH(J$2,英雄装备!$1:$1,0)-2),装备属性!$A:$C,3,0),VLOOKUP(INDEX(英雄装备!$F:$BZ,MATCH($H46,英雄装备!$F:$F,0),MATCH(J$2,英雄装备!$1:$1,0)-1),装备属性!$A:$C,3,0),VLOOKUP(INDEX(英雄装备!$F:$BZ,MATCH($H46,英雄装备!$F:$F,0),MATCH(J$2,英雄装备!$1:$1,0)),装备属性!$A:$C,3,0))</f>
        <v>11</v>
      </c>
      <c r="K46" s="51">
        <f>MAX(VLOOKUP(INDEX(英雄装备!$F:$BZ,MATCH($H46,英雄装备!$F:$F,0),MATCH(K$2,英雄装备!$1:$1,0)-5),装备属性!$A:$C,3,0),VLOOKUP(INDEX(英雄装备!$F:$BZ,MATCH($H46,英雄装备!$F:$F,0),MATCH(K$2,英雄装备!$1:$1,0)-4),装备属性!$A:$C,3,0),VLOOKUP(INDEX(英雄装备!$F:$BZ,MATCH($H46,英雄装备!$F:$F,0),MATCH(K$2,英雄装备!$1:$1,0)-3),装备属性!$A:$C,3,0),VLOOKUP(INDEX(英雄装备!$F:$BZ,MATCH($H46,英雄装备!$F:$F,0),MATCH(K$2,英雄装备!$1:$1,0)-2),装备属性!$A:$C,3,0),VLOOKUP(INDEX(英雄装备!$F:$BZ,MATCH($H46,英雄装备!$F:$F,0),MATCH(K$2,英雄装备!$1:$1,0)-1),装备属性!$A:$C,3,0),VLOOKUP(INDEX(英雄装备!$F:$BZ,MATCH($H46,英雄装备!$F:$F,0),MATCH(K$2,英雄装备!$1:$1,0)),装备属性!$A:$C,3,0))</f>
        <v>21</v>
      </c>
      <c r="L46" s="51">
        <f>MAX(VLOOKUP(INDEX(英雄装备!$F:$BZ,MATCH($H46,英雄装备!$F:$F,0),MATCH(L$2,英雄装备!$1:$1,0)-5),装备属性!$A:$C,3,0),VLOOKUP(INDEX(英雄装备!$F:$BZ,MATCH($H46,英雄装备!$F:$F,0),MATCH(L$2,英雄装备!$1:$1,0)-4),装备属性!$A:$C,3,0),VLOOKUP(INDEX(英雄装备!$F:$BZ,MATCH($H46,英雄装备!$F:$F,0),MATCH(L$2,英雄装备!$1:$1,0)-3),装备属性!$A:$C,3,0),VLOOKUP(INDEX(英雄装备!$F:$BZ,MATCH($H46,英雄装备!$F:$F,0),MATCH(L$2,英雄装备!$1:$1,0)-2),装备属性!$A:$C,3,0),VLOOKUP(INDEX(英雄装备!$F:$BZ,MATCH($H46,英雄装备!$F:$F,0),MATCH(L$2,英雄装备!$1:$1,0)-1),装备属性!$A:$C,3,0),VLOOKUP(INDEX(英雄装备!$F:$BZ,MATCH($H46,英雄装备!$F:$F,0),MATCH(L$2,英雄装备!$1:$1,0)),装备属性!$A:$C,3,0))</f>
        <v>35</v>
      </c>
      <c r="M46" s="51">
        <f>MAX(VLOOKUP(INDEX(英雄装备!$F:$BZ,MATCH($H46,英雄装备!$F:$F,0),MATCH(M$2,英雄装备!$1:$1,0)-5),装备属性!$A:$C,3,0),VLOOKUP(INDEX(英雄装备!$F:$BZ,MATCH($H46,英雄装备!$F:$F,0),MATCH(M$2,英雄装备!$1:$1,0)-4),装备属性!$A:$C,3,0),VLOOKUP(INDEX(英雄装备!$F:$BZ,MATCH($H46,英雄装备!$F:$F,0),MATCH(M$2,英雄装备!$1:$1,0)-3),装备属性!$A:$C,3,0),VLOOKUP(INDEX(英雄装备!$F:$BZ,MATCH($H46,英雄装备!$F:$F,0),MATCH(M$2,英雄装备!$1:$1,0)-2),装备属性!$A:$C,3,0),VLOOKUP(INDEX(英雄装备!$F:$BZ,MATCH($H46,英雄装备!$F:$F,0),MATCH(M$2,英雄装备!$1:$1,0)-1),装备属性!$A:$C,3,0),VLOOKUP(INDEX(英雄装备!$F:$BZ,MATCH($H46,英雄装备!$F:$F,0),MATCH(M$2,英雄装备!$1:$1,0)),装备属性!$A:$C,3,0))</f>
        <v>41</v>
      </c>
      <c r="N46" s="51">
        <f>MAX(VLOOKUP(INDEX(英雄装备!$F:$BZ,MATCH($H46,英雄装备!$F:$F,0),MATCH(N$2,英雄装备!$1:$1,0)-5),装备属性!$A:$C,3,0),VLOOKUP(INDEX(英雄装备!$F:$BZ,MATCH($H46,英雄装备!$F:$F,0),MATCH(N$2,英雄装备!$1:$1,0)-4),装备属性!$A:$C,3,0),VLOOKUP(INDEX(英雄装备!$F:$BZ,MATCH($H46,英雄装备!$F:$F,0),MATCH(N$2,英雄装备!$1:$1,0)-3),装备属性!$A:$C,3,0),VLOOKUP(INDEX(英雄装备!$F:$BZ,MATCH($H46,英雄装备!$F:$F,0),MATCH(N$2,英雄装备!$1:$1,0)-2),装备属性!$A:$C,3,0),VLOOKUP(INDEX(英雄装备!$F:$BZ,MATCH($H46,英雄装备!$F:$F,0),MATCH(N$2,英雄装备!$1:$1,0)-1),装备属性!$A:$C,3,0),VLOOKUP(INDEX(英雄装备!$F:$BZ,MATCH($H46,英雄装备!$F:$F,0),MATCH(N$2,英雄装备!$1:$1,0)),装备属性!$A:$C,3,0))</f>
        <v>52</v>
      </c>
      <c r="O46" s="51">
        <f>MAX(VLOOKUP(INDEX(英雄装备!$F:$BZ,MATCH($H46,英雄装备!$F:$F,0),MATCH(O$2,英雄装备!$1:$1,0)-5),装备属性!$A:$C,3,0),VLOOKUP(INDEX(英雄装备!$F:$BZ,MATCH($H46,英雄装备!$F:$F,0),MATCH(O$2,英雄装备!$1:$1,0)-4),装备属性!$A:$C,3,0),VLOOKUP(INDEX(英雄装备!$F:$BZ,MATCH($H46,英雄装备!$F:$F,0),MATCH(O$2,英雄装备!$1:$1,0)-3),装备属性!$A:$C,3,0),VLOOKUP(INDEX(英雄装备!$F:$BZ,MATCH($H46,英雄装备!$F:$F,0),MATCH(O$2,英雄装备!$1:$1,0)-2),装备属性!$A:$C,3,0),VLOOKUP(INDEX(英雄装备!$F:$BZ,MATCH($H46,英雄装备!$F:$F,0),MATCH(O$2,英雄装备!$1:$1,0)-1),装备属性!$A:$C,3,0),VLOOKUP(INDEX(英雄装备!$F:$BZ,MATCH($H46,英雄装备!$F:$F,0),MATCH(O$2,英雄装备!$1:$1,0)),装备属性!$A:$C,3,0))</f>
        <v>62</v>
      </c>
      <c r="P46" s="51">
        <f>MAX(VLOOKUP(INDEX(英雄装备!$F:$BZ,MATCH($H46,英雄装备!$F:$F,0),MATCH(P$2,英雄装备!$1:$1,0)-5),装备属性!$A:$C,3,0),VLOOKUP(INDEX(英雄装备!$F:$BZ,MATCH($H46,英雄装备!$F:$F,0),MATCH(P$2,英雄装备!$1:$1,0)-4),装备属性!$A:$C,3,0),VLOOKUP(INDEX(英雄装备!$F:$BZ,MATCH($H46,英雄装备!$F:$F,0),MATCH(P$2,英雄装备!$1:$1,0)-3),装备属性!$A:$C,3,0),VLOOKUP(INDEX(英雄装备!$F:$BZ,MATCH($H46,英雄装备!$F:$F,0),MATCH(P$2,英雄装备!$1:$1,0)-2),装备属性!$A:$C,3,0),VLOOKUP(INDEX(英雄装备!$F:$BZ,MATCH($H46,英雄装备!$F:$F,0),MATCH(P$2,英雄装备!$1:$1,0)-1),装备属性!$A:$C,3,0),VLOOKUP(INDEX(英雄装备!$F:$BZ,MATCH($H46,英雄装备!$F:$F,0),MATCH(P$2,英雄装备!$1:$1,0)),装备属性!$A:$C,3,0))</f>
        <v>72</v>
      </c>
      <c r="Q46" s="51">
        <f>MAX(VLOOKUP(INDEX(英雄装备!$F:$BZ,MATCH($H46,英雄装备!$F:$F,0),MATCH(Q$2,英雄装备!$1:$1,0)-5),装备属性!$A:$C,3,0),VLOOKUP(INDEX(英雄装备!$F:$BZ,MATCH($H46,英雄装备!$F:$F,0),MATCH(Q$2,英雄装备!$1:$1,0)-4),装备属性!$A:$C,3,0),VLOOKUP(INDEX(英雄装备!$F:$BZ,MATCH($H46,英雄装备!$F:$F,0),MATCH(Q$2,英雄装备!$1:$1,0)-3),装备属性!$A:$C,3,0),VLOOKUP(INDEX(英雄装备!$F:$BZ,MATCH($H46,英雄装备!$F:$F,0),MATCH(Q$2,英雄装备!$1:$1,0)-2),装备属性!$A:$C,3,0),VLOOKUP(INDEX(英雄装备!$F:$BZ,MATCH($H46,英雄装备!$F:$F,0),MATCH(Q$2,英雄装备!$1:$1,0)-1),装备属性!$A:$C,3,0),VLOOKUP(INDEX(英雄装备!$F:$BZ,MATCH($H46,英雄装备!$F:$F,0),MATCH(Q$2,英雄装备!$1:$1,0)),装备属性!$A:$C,3,0))</f>
        <v>77</v>
      </c>
      <c r="R46" s="51">
        <f>MAX(VLOOKUP(INDEX(英雄装备!$F:$BZ,MATCH($H46,英雄装备!$F:$F,0),MATCH(R$2,英雄装备!$1:$1,0)-5),装备属性!$A:$C,3,0),VLOOKUP(INDEX(英雄装备!$F:$BZ,MATCH($H46,英雄装备!$F:$F,0),MATCH(R$2,英雄装备!$1:$1,0)-4),装备属性!$A:$C,3,0),VLOOKUP(INDEX(英雄装备!$F:$BZ,MATCH($H46,英雄装备!$F:$F,0),MATCH(R$2,英雄装备!$1:$1,0)-3),装备属性!$A:$C,3,0),VLOOKUP(INDEX(英雄装备!$F:$BZ,MATCH($H46,英雄装备!$F:$F,0),MATCH(R$2,英雄装备!$1:$1,0)-2),装备属性!$A:$C,3,0),VLOOKUP(INDEX(英雄装备!$F:$BZ,MATCH($H46,英雄装备!$F:$F,0),MATCH(R$2,英雄装备!$1:$1,0)-1),装备属性!$A:$C,3,0),VLOOKUP(INDEX(英雄装备!$F:$BZ,MATCH($H46,英雄装备!$F:$F,0),MATCH(R$2,英雄装备!$1:$1,0)),装备属性!$A:$C,3,0))</f>
        <v>70</v>
      </c>
      <c r="S46" s="51">
        <f>MAX(VLOOKUP(INDEX(英雄装备!$F:$BZ,MATCH($H46,英雄装备!$F:$F,0),MATCH(S$2,英雄装备!$1:$1,0)-5),装备属性!$A:$C,3,0),VLOOKUP(INDEX(英雄装备!$F:$BZ,MATCH($H46,英雄装备!$F:$F,0),MATCH(S$2,英雄装备!$1:$1,0)-4),装备属性!$A:$C,3,0),VLOOKUP(INDEX(英雄装备!$F:$BZ,MATCH($H46,英雄装备!$F:$F,0),MATCH(S$2,英雄装备!$1:$1,0)-3),装备属性!$A:$C,3,0),VLOOKUP(INDEX(英雄装备!$F:$BZ,MATCH($H46,英雄装备!$F:$F,0),MATCH(S$2,英雄装备!$1:$1,0)-2),装备属性!$A:$C,3,0),VLOOKUP(INDEX(英雄装备!$F:$BZ,MATCH($H46,英雄装备!$F:$F,0),MATCH(S$2,英雄装备!$1:$1,0)-1),装备属性!$A:$C,3,0),VLOOKUP(INDEX(英雄装备!$F:$BZ,MATCH($H46,英雄装备!$F:$F,0),MATCH(S$2,英雄装备!$1:$1,0)),装备属性!$A:$C,3,0))</f>
        <v>84</v>
      </c>
      <c r="T46" s="51">
        <f>MAX(VLOOKUP(INDEX(英雄装备!$F:$BZ,MATCH($H46,英雄装备!$F:$F,0),MATCH(T$2,英雄装备!$1:$1,0)-5),装备属性!$A:$C,3,0),VLOOKUP(INDEX(英雄装备!$F:$BZ,MATCH($H46,英雄装备!$F:$F,0),MATCH(T$2,英雄装备!$1:$1,0)-4),装备属性!$A:$C,3,0),VLOOKUP(INDEX(英雄装备!$F:$BZ,MATCH($H46,英雄装备!$F:$F,0),MATCH(T$2,英雄装备!$1:$1,0)-3),装备属性!$A:$C,3,0),VLOOKUP(INDEX(英雄装备!$F:$BZ,MATCH($H46,英雄装备!$F:$F,0),MATCH(T$2,英雄装备!$1:$1,0)-2),装备属性!$A:$C,3,0),VLOOKUP(INDEX(英雄装备!$F:$BZ,MATCH($H46,英雄装备!$F:$F,0),MATCH(T$2,英雄装备!$1:$1,0)-1),装备属性!$A:$C,3,0))</f>
        <v>88</v>
      </c>
      <c r="V46" s="151">
        <v>5</v>
      </c>
      <c r="W46" s="151" t="str">
        <f>IF($V$2&lt;5,"","蓝+1")</f>
        <v>蓝+1</v>
      </c>
      <c r="X46" s="151" t="str">
        <f t="shared" si="6"/>
        <v>碎骨锤</v>
      </c>
      <c r="Y46" s="151" t="str">
        <f t="shared" si="6"/>
        <v>黑黄</v>
      </c>
      <c r="Z46" s="151" t="str">
        <f t="shared" si="6"/>
        <v>散华</v>
      </c>
      <c r="AA46" s="151" t="str">
        <f t="shared" si="6"/>
        <v>魔抗头巾</v>
      </c>
      <c r="AB46" s="151" t="str">
        <f t="shared" si="6"/>
        <v>天鹰之戒</v>
      </c>
      <c r="AC46" s="151" t="str">
        <f t="shared" si="6"/>
        <v>相位鞋</v>
      </c>
      <c r="AF46" s="151">
        <v>4</v>
      </c>
      <c r="AG46" s="151" t="str">
        <f>AC4</f>
        <v>相位鞋</v>
      </c>
      <c r="AH46" s="151">
        <f>VLOOKUP($AG46,装备属性!$A:$Y,5,0)</f>
        <v>9</v>
      </c>
      <c r="AI46" s="151">
        <f>VLOOKUP($AG46,装备属性!$A:$Y,6,0)</f>
        <v>9</v>
      </c>
      <c r="AJ46" s="151">
        <f>VLOOKUP($AG46,装备属性!$A:$Y,7,0)</f>
        <v>9</v>
      </c>
      <c r="AK46" s="151">
        <f>VLOOKUP($AG46,装备属性!$A:$Y,8,0)</f>
        <v>0</v>
      </c>
      <c r="AL46" s="151">
        <f>VLOOKUP($AG46,装备属性!$A:$Y,9,0)</f>
        <v>24</v>
      </c>
      <c r="AM46" s="151">
        <f>VLOOKUP($AG46,装备属性!$A:$Y,10,0)</f>
        <v>0</v>
      </c>
      <c r="AN46" s="151">
        <f>VLOOKUP($AG46,装备属性!$A:$Y,11,0)</f>
        <v>0</v>
      </c>
      <c r="AO46" s="151">
        <f>VLOOKUP($AG46,装备属性!$A:$Y,12,0)</f>
        <v>0</v>
      </c>
      <c r="AP46" s="151">
        <f>VLOOKUP($AG46,装备属性!$A:$Y,13,0)</f>
        <v>0</v>
      </c>
      <c r="AQ46" s="151">
        <f>VLOOKUP($AG46,装备属性!$A:$Y,14,0)</f>
        <v>0</v>
      </c>
      <c r="AR46" s="151">
        <f>VLOOKUP($AG46,装备属性!$A:$Y,15,0)</f>
        <v>0</v>
      </c>
      <c r="AS46" s="151">
        <f>VLOOKUP($AG46,装备属性!$A:$Y,16,0)</f>
        <v>0</v>
      </c>
      <c r="AT46" s="151">
        <f>VLOOKUP($AG46,装备属性!$A:$Y,17,0)</f>
        <v>0</v>
      </c>
      <c r="AU46" s="151">
        <f>VLOOKUP($AG46,装备属性!$A:$Y,18,0)</f>
        <v>0</v>
      </c>
      <c r="AV46" s="151">
        <f>VLOOKUP($AG46,装备属性!$A:$Y,19,0)</f>
        <v>0</v>
      </c>
      <c r="AW46" s="151">
        <f>VLOOKUP($AG46,装备属性!$A:$Y,20,0)</f>
        <v>0</v>
      </c>
      <c r="AX46" s="151">
        <f>VLOOKUP($AG46,装备属性!$A:$Y,21,0)</f>
        <v>0</v>
      </c>
      <c r="AY46" s="151">
        <f>VLOOKUP($AG46,装备属性!$A:$Y,22,0)</f>
        <v>0</v>
      </c>
      <c r="AZ46" s="151">
        <f>VLOOKUP($AG46,装备属性!$A:$Y,23,0)</f>
        <v>0</v>
      </c>
      <c r="BA46" s="151">
        <f>VLOOKUP($AG46,装备属性!$A:$Y,24,0)</f>
        <v>0</v>
      </c>
      <c r="BB46" s="151">
        <f>VLOOKUP($AG46,装备属性!$A:$Y,25,0)</f>
        <v>0</v>
      </c>
    </row>
    <row r="47" spans="2:54">
      <c r="B47" s="151" t="s">
        <v>1306</v>
      </c>
      <c r="H47" s="54" t="s">
        <v>200</v>
      </c>
      <c r="I47" s="51">
        <f>MAX(VLOOKUP(INDEX(英雄装备!$F:$BZ,MATCH($H47,英雄装备!$F:$F,0),MATCH(I$2,英雄装备!$1:$1,0)-5),装备属性!$A:$C,3,0),VLOOKUP(INDEX(英雄装备!$F:$BZ,MATCH($H47,英雄装备!$F:$F,0),MATCH(I$2,英雄装备!$1:$1,0)-4),装备属性!$A:$C,3,0),VLOOKUP(INDEX(英雄装备!$F:$BZ,MATCH($H47,英雄装备!$F:$F,0),MATCH(I$2,英雄装备!$1:$1,0)-3),装备属性!$A:$C,3,0),VLOOKUP(INDEX(英雄装备!$F:$BZ,MATCH($H47,英雄装备!$F:$F,0),MATCH(I$2,英雄装备!$1:$1,0)-2),装备属性!$A:$C,3,0),VLOOKUP(INDEX(英雄装备!$F:$BZ,MATCH($H47,英雄装备!$F:$F,0),MATCH(I$2,英雄装备!$1:$1,0)-1),装备属性!$A:$C,3,0),VLOOKUP(INDEX(英雄装备!$F:$BZ,MATCH($H47,英雄装备!$F:$F,0),MATCH(I$2,英雄装备!$1:$1,0)),装备属性!$A:$C,3,0))</f>
        <v>2</v>
      </c>
      <c r="J47" s="51">
        <f>MAX(VLOOKUP(INDEX(英雄装备!$F:$BZ,MATCH($H47,英雄装备!$F:$F,0),MATCH(J$2,英雄装备!$1:$1,0)-5),装备属性!$A:$C,3,0),VLOOKUP(INDEX(英雄装备!$F:$BZ,MATCH($H47,英雄装备!$F:$F,0),MATCH(J$2,英雄装备!$1:$1,0)-4),装备属性!$A:$C,3,0),VLOOKUP(INDEX(英雄装备!$F:$BZ,MATCH($H47,英雄装备!$F:$F,0),MATCH(J$2,英雄装备!$1:$1,0)-3),装备属性!$A:$C,3,0),VLOOKUP(INDEX(英雄装备!$F:$BZ,MATCH($H47,英雄装备!$F:$F,0),MATCH(J$2,英雄装备!$1:$1,0)-2),装备属性!$A:$C,3,0),VLOOKUP(INDEX(英雄装备!$F:$BZ,MATCH($H47,英雄装备!$F:$F,0),MATCH(J$2,英雄装备!$1:$1,0)-1),装备属性!$A:$C,3,0),VLOOKUP(INDEX(英雄装备!$F:$BZ,MATCH($H47,英雄装备!$F:$F,0),MATCH(J$2,英雄装备!$1:$1,0)),装备属性!$A:$C,3,0))</f>
        <v>10</v>
      </c>
      <c r="K47" s="51">
        <f>MAX(VLOOKUP(INDEX(英雄装备!$F:$BZ,MATCH($H47,英雄装备!$F:$F,0),MATCH(K$2,英雄装备!$1:$1,0)-5),装备属性!$A:$C,3,0),VLOOKUP(INDEX(英雄装备!$F:$BZ,MATCH($H47,英雄装备!$F:$F,0),MATCH(K$2,英雄装备!$1:$1,0)-4),装备属性!$A:$C,3,0),VLOOKUP(INDEX(英雄装备!$F:$BZ,MATCH($H47,英雄装备!$F:$F,0),MATCH(K$2,英雄装备!$1:$1,0)-3),装备属性!$A:$C,3,0),VLOOKUP(INDEX(英雄装备!$F:$BZ,MATCH($H47,英雄装备!$F:$F,0),MATCH(K$2,英雄装备!$1:$1,0)-2),装备属性!$A:$C,3,0),VLOOKUP(INDEX(英雄装备!$F:$BZ,MATCH($H47,英雄装备!$F:$F,0),MATCH(K$2,英雄装备!$1:$1,0)-1),装备属性!$A:$C,3,0),VLOOKUP(INDEX(英雄装备!$F:$BZ,MATCH($H47,英雄装备!$F:$F,0),MATCH(K$2,英雄装备!$1:$1,0)),装备属性!$A:$C,3,0))</f>
        <v>20</v>
      </c>
      <c r="L47" s="51">
        <f>MAX(VLOOKUP(INDEX(英雄装备!$F:$BZ,MATCH($H47,英雄装备!$F:$F,0),MATCH(L$2,英雄装备!$1:$1,0)-5),装备属性!$A:$C,3,0),VLOOKUP(INDEX(英雄装备!$F:$BZ,MATCH($H47,英雄装备!$F:$F,0),MATCH(L$2,英雄装备!$1:$1,0)-4),装备属性!$A:$C,3,0),VLOOKUP(INDEX(英雄装备!$F:$BZ,MATCH($H47,英雄装备!$F:$F,0),MATCH(L$2,英雄装备!$1:$1,0)-3),装备属性!$A:$C,3,0),VLOOKUP(INDEX(英雄装备!$F:$BZ,MATCH($H47,英雄装备!$F:$F,0),MATCH(L$2,英雄装备!$1:$1,0)-2),装备属性!$A:$C,3,0),VLOOKUP(INDEX(英雄装备!$F:$BZ,MATCH($H47,英雄装备!$F:$F,0),MATCH(L$2,英雄装备!$1:$1,0)-1),装备属性!$A:$C,3,0),VLOOKUP(INDEX(英雄装备!$F:$BZ,MATCH($H47,英雄装备!$F:$F,0),MATCH(L$2,英雄装备!$1:$1,0)),装备属性!$A:$C,3,0))</f>
        <v>33</v>
      </c>
      <c r="M47" s="51">
        <f>MAX(VLOOKUP(INDEX(英雄装备!$F:$BZ,MATCH($H47,英雄装备!$F:$F,0),MATCH(M$2,英雄装备!$1:$1,0)-5),装备属性!$A:$C,3,0),VLOOKUP(INDEX(英雄装备!$F:$BZ,MATCH($H47,英雄装备!$F:$F,0),MATCH(M$2,英雄装备!$1:$1,0)-4),装备属性!$A:$C,3,0),VLOOKUP(INDEX(英雄装备!$F:$BZ,MATCH($H47,英雄装备!$F:$F,0),MATCH(M$2,英雄装备!$1:$1,0)-3),装备属性!$A:$C,3,0),VLOOKUP(INDEX(英雄装备!$F:$BZ,MATCH($H47,英雄装备!$F:$F,0),MATCH(M$2,英雄装备!$1:$1,0)-2),装备属性!$A:$C,3,0),VLOOKUP(INDEX(英雄装备!$F:$BZ,MATCH($H47,英雄装备!$F:$F,0),MATCH(M$2,英雄装备!$1:$1,0)-1),装备属性!$A:$C,3,0),VLOOKUP(INDEX(英雄装备!$F:$BZ,MATCH($H47,英雄装备!$F:$F,0),MATCH(M$2,英雄装备!$1:$1,0)),装备属性!$A:$C,3,0))</f>
        <v>34</v>
      </c>
      <c r="N47" s="51">
        <f>MAX(VLOOKUP(INDEX(英雄装备!$F:$BZ,MATCH($H47,英雄装备!$F:$F,0),MATCH(N$2,英雄装备!$1:$1,0)-5),装备属性!$A:$C,3,0),VLOOKUP(INDEX(英雄装备!$F:$BZ,MATCH($H47,英雄装备!$F:$F,0),MATCH(N$2,英雄装备!$1:$1,0)-4),装备属性!$A:$C,3,0),VLOOKUP(INDEX(英雄装备!$F:$BZ,MATCH($H47,英雄装备!$F:$F,0),MATCH(N$2,英雄装备!$1:$1,0)-3),装备属性!$A:$C,3,0),VLOOKUP(INDEX(英雄装备!$F:$BZ,MATCH($H47,英雄装备!$F:$F,0),MATCH(N$2,英雄装备!$1:$1,0)-2),装备属性!$A:$C,3,0),VLOOKUP(INDEX(英雄装备!$F:$BZ,MATCH($H47,英雄装备!$F:$F,0),MATCH(N$2,英雄装备!$1:$1,0)-1),装备属性!$A:$C,3,0),VLOOKUP(INDEX(英雄装备!$F:$BZ,MATCH($H47,英雄装备!$F:$F,0),MATCH(N$2,英雄装备!$1:$1,0)),装备属性!$A:$C,3,0))</f>
        <v>53</v>
      </c>
      <c r="O47" s="51">
        <f>MAX(VLOOKUP(INDEX(英雄装备!$F:$BZ,MATCH($H47,英雄装备!$F:$F,0),MATCH(O$2,英雄装备!$1:$1,0)-5),装备属性!$A:$C,3,0),VLOOKUP(INDEX(英雄装备!$F:$BZ,MATCH($H47,英雄装备!$F:$F,0),MATCH(O$2,英雄装备!$1:$1,0)-4),装备属性!$A:$C,3,0),VLOOKUP(INDEX(英雄装备!$F:$BZ,MATCH($H47,英雄装备!$F:$F,0),MATCH(O$2,英雄装备!$1:$1,0)-3),装备属性!$A:$C,3,0),VLOOKUP(INDEX(英雄装备!$F:$BZ,MATCH($H47,英雄装备!$F:$F,0),MATCH(O$2,英雄装备!$1:$1,0)-2),装备属性!$A:$C,3,0),VLOOKUP(INDEX(英雄装备!$F:$BZ,MATCH($H47,英雄装备!$F:$F,0),MATCH(O$2,英雄装备!$1:$1,0)-1),装备属性!$A:$C,3,0),VLOOKUP(INDEX(英雄装备!$F:$BZ,MATCH($H47,英雄装备!$F:$F,0),MATCH(O$2,英雄装备!$1:$1,0)),装备属性!$A:$C,3,0))</f>
        <v>59</v>
      </c>
      <c r="P47" s="51">
        <f>MAX(VLOOKUP(INDEX(英雄装备!$F:$BZ,MATCH($H47,英雄装备!$F:$F,0),MATCH(P$2,英雄装备!$1:$1,0)-5),装备属性!$A:$C,3,0),VLOOKUP(INDEX(英雄装备!$F:$BZ,MATCH($H47,英雄装备!$F:$F,0),MATCH(P$2,英雄装备!$1:$1,0)-4),装备属性!$A:$C,3,0),VLOOKUP(INDEX(英雄装备!$F:$BZ,MATCH($H47,英雄装备!$F:$F,0),MATCH(P$2,英雄装备!$1:$1,0)-3),装备属性!$A:$C,3,0),VLOOKUP(INDEX(英雄装备!$F:$BZ,MATCH($H47,英雄装备!$F:$F,0),MATCH(P$2,英雄装备!$1:$1,0)-2),装备属性!$A:$C,3,0),VLOOKUP(INDEX(英雄装备!$F:$BZ,MATCH($H47,英雄装备!$F:$F,0),MATCH(P$2,英雄装备!$1:$1,0)-1),装备属性!$A:$C,3,0),VLOOKUP(INDEX(英雄装备!$F:$BZ,MATCH($H47,英雄装备!$F:$F,0),MATCH(P$2,英雄装备!$1:$1,0)),装备属性!$A:$C,3,0))</f>
        <v>70</v>
      </c>
      <c r="Q47" s="51">
        <f>MAX(VLOOKUP(INDEX(英雄装备!$F:$BZ,MATCH($H47,英雄装备!$F:$F,0),MATCH(Q$2,英雄装备!$1:$1,0)-5),装备属性!$A:$C,3,0),VLOOKUP(INDEX(英雄装备!$F:$BZ,MATCH($H47,英雄装备!$F:$F,0),MATCH(Q$2,英雄装备!$1:$1,0)-4),装备属性!$A:$C,3,0),VLOOKUP(INDEX(英雄装备!$F:$BZ,MATCH($H47,英雄装备!$F:$F,0),MATCH(Q$2,英雄装备!$1:$1,0)-3),装备属性!$A:$C,3,0),VLOOKUP(INDEX(英雄装备!$F:$BZ,MATCH($H47,英雄装备!$F:$F,0),MATCH(Q$2,英雄装备!$1:$1,0)-2),装备属性!$A:$C,3,0),VLOOKUP(INDEX(英雄装备!$F:$BZ,MATCH($H47,英雄装备!$F:$F,0),MATCH(Q$2,英雄装备!$1:$1,0)-1),装备属性!$A:$C,3,0),VLOOKUP(INDEX(英雄装备!$F:$BZ,MATCH($H47,英雄装备!$F:$F,0),MATCH(Q$2,英雄装备!$1:$1,0)),装备属性!$A:$C,3,0))</f>
        <v>78</v>
      </c>
      <c r="R47" s="51">
        <f>MAX(VLOOKUP(INDEX(英雄装备!$F:$BZ,MATCH($H47,英雄装备!$F:$F,0),MATCH(R$2,英雄装备!$1:$1,0)-5),装备属性!$A:$C,3,0),VLOOKUP(INDEX(英雄装备!$F:$BZ,MATCH($H47,英雄装备!$F:$F,0),MATCH(R$2,英雄装备!$1:$1,0)-4),装备属性!$A:$C,3,0),VLOOKUP(INDEX(英雄装备!$F:$BZ,MATCH($H47,英雄装备!$F:$F,0),MATCH(R$2,英雄装备!$1:$1,0)-3),装备属性!$A:$C,3,0),VLOOKUP(INDEX(英雄装备!$F:$BZ,MATCH($H47,英雄装备!$F:$F,0),MATCH(R$2,英雄装备!$1:$1,0)-2),装备属性!$A:$C,3,0),VLOOKUP(INDEX(英雄装备!$F:$BZ,MATCH($H47,英雄装备!$F:$F,0),MATCH(R$2,英雄装备!$1:$1,0)-1),装备属性!$A:$C,3,0),VLOOKUP(INDEX(英雄装备!$F:$BZ,MATCH($H47,英雄装备!$F:$F,0),MATCH(R$2,英雄装备!$1:$1,0)),装备属性!$A:$C,3,0))</f>
        <v>80</v>
      </c>
      <c r="S47" s="51">
        <f>MAX(VLOOKUP(INDEX(英雄装备!$F:$BZ,MATCH($H47,英雄装备!$F:$F,0),MATCH(S$2,英雄装备!$1:$1,0)-5),装备属性!$A:$C,3,0),VLOOKUP(INDEX(英雄装备!$F:$BZ,MATCH($H47,英雄装备!$F:$F,0),MATCH(S$2,英雄装备!$1:$1,0)-4),装备属性!$A:$C,3,0),VLOOKUP(INDEX(英雄装备!$F:$BZ,MATCH($H47,英雄装备!$F:$F,0),MATCH(S$2,英雄装备!$1:$1,0)-3),装备属性!$A:$C,3,0),VLOOKUP(INDEX(英雄装备!$F:$BZ,MATCH($H47,英雄装备!$F:$F,0),MATCH(S$2,英雄装备!$1:$1,0)-2),装备属性!$A:$C,3,0),VLOOKUP(INDEX(英雄装备!$F:$BZ,MATCH($H47,英雄装备!$F:$F,0),MATCH(S$2,英雄装备!$1:$1,0)-1),装备属性!$A:$C,3,0),VLOOKUP(INDEX(英雄装备!$F:$BZ,MATCH($H47,英雄装备!$F:$F,0),MATCH(S$2,英雄装备!$1:$1,0)),装备属性!$A:$C,3,0))</f>
        <v>85</v>
      </c>
      <c r="T47" s="51">
        <f>MAX(VLOOKUP(INDEX(英雄装备!$F:$BZ,MATCH($H47,英雄装备!$F:$F,0),MATCH(T$2,英雄装备!$1:$1,0)-5),装备属性!$A:$C,3,0),VLOOKUP(INDEX(英雄装备!$F:$BZ,MATCH($H47,英雄装备!$F:$F,0),MATCH(T$2,英雄装备!$1:$1,0)-4),装备属性!$A:$C,3,0),VLOOKUP(INDEX(英雄装备!$F:$BZ,MATCH($H47,英雄装备!$F:$F,0),MATCH(T$2,英雄装备!$1:$1,0)-3),装备属性!$A:$C,3,0),VLOOKUP(INDEX(英雄装备!$F:$BZ,MATCH($H47,英雄装备!$F:$F,0),MATCH(T$2,英雄装备!$1:$1,0)-2),装备属性!$A:$C,3,0),VLOOKUP(INDEX(英雄装备!$F:$BZ,MATCH($H47,英雄装备!$F:$F,0),MATCH(T$2,英雄装备!$1:$1,0)-1),装备属性!$A:$C,3,0))</f>
        <v>88</v>
      </c>
      <c r="V47" s="151">
        <v>6</v>
      </c>
      <c r="W47" s="151" t="str">
        <f>IF($V$2&lt;6,"","蓝+2")</f>
        <v>蓝+2</v>
      </c>
      <c r="X47" s="151" t="str">
        <f t="shared" si="6"/>
        <v>分身斧</v>
      </c>
      <c r="Y47" s="151" t="str">
        <f t="shared" si="6"/>
        <v>暗灭</v>
      </c>
      <c r="Z47" s="151" t="str">
        <f t="shared" si="6"/>
        <v>双刀</v>
      </c>
      <c r="AA47" s="151" t="str">
        <f t="shared" si="6"/>
        <v>板甲</v>
      </c>
      <c r="AB47" s="151" t="str">
        <f t="shared" si="6"/>
        <v>祭品</v>
      </c>
      <c r="AC47" s="151" t="str">
        <f t="shared" si="6"/>
        <v>相位鞋</v>
      </c>
      <c r="AF47" s="151">
        <v>5</v>
      </c>
      <c r="AG47" s="151" t="str">
        <f>X5</f>
        <v>碎骨锤</v>
      </c>
      <c r="AH47" s="151">
        <f>VLOOKUP($AG47,装备属性!$A:$Y,5,0)</f>
        <v>3</v>
      </c>
      <c r="AI47" s="151">
        <f>VLOOKUP($AG47,装备属性!$A:$Y,6,0)</f>
        <v>0</v>
      </c>
      <c r="AJ47" s="151">
        <f>VLOOKUP($AG47,装备属性!$A:$Y,7,0)</f>
        <v>0</v>
      </c>
      <c r="AK47" s="151">
        <f>VLOOKUP($AG47,装备属性!$A:$Y,8,0)</f>
        <v>0</v>
      </c>
      <c r="AL47" s="151">
        <f>VLOOKUP($AG47,装备属性!$A:$Y,9,0)</f>
        <v>40</v>
      </c>
      <c r="AM47" s="151">
        <f>VLOOKUP($AG47,装备属性!$A:$Y,10,0)</f>
        <v>0</v>
      </c>
      <c r="AN47" s="151">
        <f>VLOOKUP($AG47,装备属性!$A:$Y,11,0)</f>
        <v>0</v>
      </c>
      <c r="AO47" s="151">
        <f>VLOOKUP($AG47,装备属性!$A:$Y,12,0)</f>
        <v>0</v>
      </c>
      <c r="AP47" s="151">
        <f>VLOOKUP($AG47,装备属性!$A:$Y,13,0)</f>
        <v>10</v>
      </c>
      <c r="AQ47" s="151">
        <f>VLOOKUP($AG47,装备属性!$A:$Y,14,0)</f>
        <v>0</v>
      </c>
      <c r="AR47" s="151">
        <f>VLOOKUP($AG47,装备属性!$A:$Y,15,0)</f>
        <v>0</v>
      </c>
      <c r="AS47" s="151">
        <f>VLOOKUP($AG47,装备属性!$A:$Y,16,0)</f>
        <v>0</v>
      </c>
      <c r="AT47" s="151">
        <f>VLOOKUP($AG47,装备属性!$A:$Y,17,0)</f>
        <v>0</v>
      </c>
      <c r="AU47" s="151">
        <f>VLOOKUP($AG47,装备属性!$A:$Y,18,0)</f>
        <v>0</v>
      </c>
      <c r="AV47" s="151">
        <f>VLOOKUP($AG47,装备属性!$A:$Y,19,0)</f>
        <v>0</v>
      </c>
      <c r="AW47" s="151">
        <f>VLOOKUP($AG47,装备属性!$A:$Y,20,0)</f>
        <v>0</v>
      </c>
      <c r="AX47" s="151">
        <f>VLOOKUP($AG47,装备属性!$A:$Y,21,0)</f>
        <v>0</v>
      </c>
      <c r="AY47" s="151">
        <f>VLOOKUP($AG47,装备属性!$A:$Y,22,0)</f>
        <v>0</v>
      </c>
      <c r="AZ47" s="151">
        <f>VLOOKUP($AG47,装备属性!$A:$Y,23,0)</f>
        <v>0</v>
      </c>
      <c r="BA47" s="151">
        <f>VLOOKUP($AG47,装备属性!$A:$Y,24,0)</f>
        <v>0</v>
      </c>
      <c r="BB47" s="151">
        <f>VLOOKUP($AG47,装备属性!$A:$Y,25,0)</f>
        <v>0</v>
      </c>
    </row>
    <row r="48" spans="2:54">
      <c r="B48" s="108" t="s">
        <v>1346</v>
      </c>
      <c r="H48" s="54" t="s">
        <v>201</v>
      </c>
      <c r="I48" s="51">
        <f>MAX(VLOOKUP(INDEX(英雄装备!$F:$BZ,MATCH($H48,英雄装备!$F:$F,0),MATCH(I$2,英雄装备!$1:$1,0)-5),装备属性!$A:$C,3,0),VLOOKUP(INDEX(英雄装备!$F:$BZ,MATCH($H48,英雄装备!$F:$F,0),MATCH(I$2,英雄装备!$1:$1,0)-4),装备属性!$A:$C,3,0),VLOOKUP(INDEX(英雄装备!$F:$BZ,MATCH($H48,英雄装备!$F:$F,0),MATCH(I$2,英雄装备!$1:$1,0)-3),装备属性!$A:$C,3,0),VLOOKUP(INDEX(英雄装备!$F:$BZ,MATCH($H48,英雄装备!$F:$F,0),MATCH(I$2,英雄装备!$1:$1,0)-2),装备属性!$A:$C,3,0),VLOOKUP(INDEX(英雄装备!$F:$BZ,MATCH($H48,英雄装备!$F:$F,0),MATCH(I$2,英雄装备!$1:$1,0)-1),装备属性!$A:$C,3,0),VLOOKUP(INDEX(英雄装备!$F:$BZ,MATCH($H48,英雄装备!$F:$F,0),MATCH(I$2,英雄装备!$1:$1,0)),装备属性!$A:$C,3,0))</f>
        <v>2</v>
      </c>
      <c r="J48" s="51">
        <f>MAX(VLOOKUP(INDEX(英雄装备!$F:$BZ,MATCH($H48,英雄装备!$F:$F,0),MATCH(J$2,英雄装备!$1:$1,0)-5),装备属性!$A:$C,3,0),VLOOKUP(INDEX(英雄装备!$F:$BZ,MATCH($H48,英雄装备!$F:$F,0),MATCH(J$2,英雄装备!$1:$1,0)-4),装备属性!$A:$C,3,0),VLOOKUP(INDEX(英雄装备!$F:$BZ,MATCH($H48,英雄装备!$F:$F,0),MATCH(J$2,英雄装备!$1:$1,0)-3),装备属性!$A:$C,3,0),VLOOKUP(INDEX(英雄装备!$F:$BZ,MATCH($H48,英雄装备!$F:$F,0),MATCH(J$2,英雄装备!$1:$1,0)-2),装备属性!$A:$C,3,0),VLOOKUP(INDEX(英雄装备!$F:$BZ,MATCH($H48,英雄装备!$F:$F,0),MATCH(J$2,英雄装备!$1:$1,0)-1),装备属性!$A:$C,3,0),VLOOKUP(INDEX(英雄装备!$F:$BZ,MATCH($H48,英雄装备!$F:$F,0),MATCH(J$2,英雄装备!$1:$1,0)),装备属性!$A:$C,3,0))</f>
        <v>11</v>
      </c>
      <c r="K48" s="51">
        <f>MAX(VLOOKUP(INDEX(英雄装备!$F:$BZ,MATCH($H48,英雄装备!$F:$F,0),MATCH(K$2,英雄装备!$1:$1,0)-5),装备属性!$A:$C,3,0),VLOOKUP(INDEX(英雄装备!$F:$BZ,MATCH($H48,英雄装备!$F:$F,0),MATCH(K$2,英雄装备!$1:$1,0)-4),装备属性!$A:$C,3,0),VLOOKUP(INDEX(英雄装备!$F:$BZ,MATCH($H48,英雄装备!$F:$F,0),MATCH(K$2,英雄装备!$1:$1,0)-3),装备属性!$A:$C,3,0),VLOOKUP(INDEX(英雄装备!$F:$BZ,MATCH($H48,英雄装备!$F:$F,0),MATCH(K$2,英雄装备!$1:$1,0)-2),装备属性!$A:$C,3,0),VLOOKUP(INDEX(英雄装备!$F:$BZ,MATCH($H48,英雄装备!$F:$F,0),MATCH(K$2,英雄装备!$1:$1,0)-1),装备属性!$A:$C,3,0),VLOOKUP(INDEX(英雄装备!$F:$BZ,MATCH($H48,英雄装备!$F:$F,0),MATCH(K$2,英雄装备!$1:$1,0)),装备属性!$A:$C,3,0))</f>
        <v>20</v>
      </c>
      <c r="L48" s="51">
        <f>MAX(VLOOKUP(INDEX(英雄装备!$F:$BZ,MATCH($H48,英雄装备!$F:$F,0),MATCH(L$2,英雄装备!$1:$1,0)-5),装备属性!$A:$C,3,0),VLOOKUP(INDEX(英雄装备!$F:$BZ,MATCH($H48,英雄装备!$F:$F,0),MATCH(L$2,英雄装备!$1:$1,0)-4),装备属性!$A:$C,3,0),VLOOKUP(INDEX(英雄装备!$F:$BZ,MATCH($H48,英雄装备!$F:$F,0),MATCH(L$2,英雄装备!$1:$1,0)-3),装备属性!$A:$C,3,0),VLOOKUP(INDEX(英雄装备!$F:$BZ,MATCH($H48,英雄装备!$F:$F,0),MATCH(L$2,英雄装备!$1:$1,0)-2),装备属性!$A:$C,3,0),VLOOKUP(INDEX(英雄装备!$F:$BZ,MATCH($H48,英雄装备!$F:$F,0),MATCH(L$2,英雄装备!$1:$1,0)-1),装备属性!$A:$C,3,0),VLOOKUP(INDEX(英雄装备!$F:$BZ,MATCH($H48,英雄装备!$F:$F,0),MATCH(L$2,英雄装备!$1:$1,0)),装备属性!$A:$C,3,0))</f>
        <v>35</v>
      </c>
      <c r="M48" s="51">
        <f>MAX(VLOOKUP(INDEX(英雄装备!$F:$BZ,MATCH($H48,英雄装备!$F:$F,0),MATCH(M$2,英雄装备!$1:$1,0)-5),装备属性!$A:$C,3,0),VLOOKUP(INDEX(英雄装备!$F:$BZ,MATCH($H48,英雄装备!$F:$F,0),MATCH(M$2,英雄装备!$1:$1,0)-4),装备属性!$A:$C,3,0),VLOOKUP(INDEX(英雄装备!$F:$BZ,MATCH($H48,英雄装备!$F:$F,0),MATCH(M$2,英雄装备!$1:$1,0)-3),装备属性!$A:$C,3,0),VLOOKUP(INDEX(英雄装备!$F:$BZ,MATCH($H48,英雄装备!$F:$F,0),MATCH(M$2,英雄装备!$1:$1,0)-2),装备属性!$A:$C,3,0),VLOOKUP(INDEX(英雄装备!$F:$BZ,MATCH($H48,英雄装备!$F:$F,0),MATCH(M$2,英雄装备!$1:$1,0)-1),装备属性!$A:$C,3,0),VLOOKUP(INDEX(英雄装备!$F:$BZ,MATCH($H48,英雄装备!$F:$F,0),MATCH(M$2,英雄装备!$1:$1,0)),装备属性!$A:$C,3,0))</f>
        <v>43</v>
      </c>
      <c r="N48" s="51">
        <f>MAX(VLOOKUP(INDEX(英雄装备!$F:$BZ,MATCH($H48,英雄装备!$F:$F,0),MATCH(N$2,英雄装备!$1:$1,0)-5),装备属性!$A:$C,3,0),VLOOKUP(INDEX(英雄装备!$F:$BZ,MATCH($H48,英雄装备!$F:$F,0),MATCH(N$2,英雄装备!$1:$1,0)-4),装备属性!$A:$C,3,0),VLOOKUP(INDEX(英雄装备!$F:$BZ,MATCH($H48,英雄装备!$F:$F,0),MATCH(N$2,英雄装备!$1:$1,0)-3),装备属性!$A:$C,3,0),VLOOKUP(INDEX(英雄装备!$F:$BZ,MATCH($H48,英雄装备!$F:$F,0),MATCH(N$2,英雄装备!$1:$1,0)-2),装备属性!$A:$C,3,0),VLOOKUP(INDEX(英雄装备!$F:$BZ,MATCH($H48,英雄装备!$F:$F,0),MATCH(N$2,英雄装备!$1:$1,0)-1),装备属性!$A:$C,3,0),VLOOKUP(INDEX(英雄装备!$F:$BZ,MATCH($H48,英雄装备!$F:$F,0),MATCH(N$2,英雄装备!$1:$1,0)),装备属性!$A:$C,3,0))</f>
        <v>49</v>
      </c>
      <c r="O48" s="51">
        <f>MAX(VLOOKUP(INDEX(英雄装备!$F:$BZ,MATCH($H48,英雄装备!$F:$F,0),MATCH(O$2,英雄装备!$1:$1,0)-5),装备属性!$A:$C,3,0),VLOOKUP(INDEX(英雄装备!$F:$BZ,MATCH($H48,英雄装备!$F:$F,0),MATCH(O$2,英雄装备!$1:$1,0)-4),装备属性!$A:$C,3,0),VLOOKUP(INDEX(英雄装备!$F:$BZ,MATCH($H48,英雄装备!$F:$F,0),MATCH(O$2,英雄装备!$1:$1,0)-3),装备属性!$A:$C,3,0),VLOOKUP(INDEX(英雄装备!$F:$BZ,MATCH($H48,英雄装备!$F:$F,0),MATCH(O$2,英雄装备!$1:$1,0)-2),装备属性!$A:$C,3,0),VLOOKUP(INDEX(英雄装备!$F:$BZ,MATCH($H48,英雄装备!$F:$F,0),MATCH(O$2,英雄装备!$1:$1,0)-1),装备属性!$A:$C,3,0),VLOOKUP(INDEX(英雄装备!$F:$BZ,MATCH($H48,英雄装备!$F:$F,0),MATCH(O$2,英雄装备!$1:$1,0)),装备属性!$A:$C,3,0))</f>
        <v>63</v>
      </c>
      <c r="P48" s="51">
        <f>MAX(VLOOKUP(INDEX(英雄装备!$F:$BZ,MATCH($H48,英雄装备!$F:$F,0),MATCH(P$2,英雄装备!$1:$1,0)-5),装备属性!$A:$C,3,0),VLOOKUP(INDEX(英雄装备!$F:$BZ,MATCH($H48,英雄装备!$F:$F,0),MATCH(P$2,英雄装备!$1:$1,0)-4),装备属性!$A:$C,3,0),VLOOKUP(INDEX(英雄装备!$F:$BZ,MATCH($H48,英雄装备!$F:$F,0),MATCH(P$2,英雄装备!$1:$1,0)-3),装备属性!$A:$C,3,0),VLOOKUP(INDEX(英雄装备!$F:$BZ,MATCH($H48,英雄装备!$F:$F,0),MATCH(P$2,英雄装备!$1:$1,0)-2),装备属性!$A:$C,3,0),VLOOKUP(INDEX(英雄装备!$F:$BZ,MATCH($H48,英雄装备!$F:$F,0),MATCH(P$2,英雄装备!$1:$1,0)-1),装备属性!$A:$C,3,0),VLOOKUP(INDEX(英雄装备!$F:$BZ,MATCH($H48,英雄装备!$F:$F,0),MATCH(P$2,英雄装备!$1:$1,0)),装备属性!$A:$C,3,0))</f>
        <v>74</v>
      </c>
      <c r="Q48" s="51">
        <f>MAX(VLOOKUP(INDEX(英雄装备!$F:$BZ,MATCH($H48,英雄装备!$F:$F,0),MATCH(Q$2,英雄装备!$1:$1,0)-5),装备属性!$A:$C,3,0),VLOOKUP(INDEX(英雄装备!$F:$BZ,MATCH($H48,英雄装备!$F:$F,0),MATCH(Q$2,英雄装备!$1:$1,0)-4),装备属性!$A:$C,3,0),VLOOKUP(INDEX(英雄装备!$F:$BZ,MATCH($H48,英雄装备!$F:$F,0),MATCH(Q$2,英雄装备!$1:$1,0)-3),装备属性!$A:$C,3,0),VLOOKUP(INDEX(英雄装备!$F:$BZ,MATCH($H48,英雄装备!$F:$F,0),MATCH(Q$2,英雄装备!$1:$1,0)-2),装备属性!$A:$C,3,0),VLOOKUP(INDEX(英雄装备!$F:$BZ,MATCH($H48,英雄装备!$F:$F,0),MATCH(Q$2,英雄装备!$1:$1,0)-1),装备属性!$A:$C,3,0),VLOOKUP(INDEX(英雄装备!$F:$BZ,MATCH($H48,英雄装备!$F:$F,0),MATCH(Q$2,英雄装备!$1:$1,0)),装备属性!$A:$C,3,0))</f>
        <v>78</v>
      </c>
      <c r="R48" s="51">
        <f>MAX(VLOOKUP(INDEX(英雄装备!$F:$BZ,MATCH($H48,英雄装备!$F:$F,0),MATCH(R$2,英雄装备!$1:$1,0)-5),装备属性!$A:$C,3,0),VLOOKUP(INDEX(英雄装备!$F:$BZ,MATCH($H48,英雄装备!$F:$F,0),MATCH(R$2,英雄装备!$1:$1,0)-4),装备属性!$A:$C,3,0),VLOOKUP(INDEX(英雄装备!$F:$BZ,MATCH($H48,英雄装备!$F:$F,0),MATCH(R$2,英雄装备!$1:$1,0)-3),装备属性!$A:$C,3,0),VLOOKUP(INDEX(英雄装备!$F:$BZ,MATCH($H48,英雄装备!$F:$F,0),MATCH(R$2,英雄装备!$1:$1,0)-2),装备属性!$A:$C,3,0),VLOOKUP(INDEX(英雄装备!$F:$BZ,MATCH($H48,英雄装备!$F:$F,0),MATCH(R$2,英雄装备!$1:$1,0)-1),装备属性!$A:$C,3,0),VLOOKUP(INDEX(英雄装备!$F:$BZ,MATCH($H48,英雄装备!$F:$F,0),MATCH(R$2,英雄装备!$1:$1,0)),装备属性!$A:$C,3,0))</f>
        <v>72</v>
      </c>
      <c r="S48" s="51">
        <f>MAX(VLOOKUP(INDEX(英雄装备!$F:$BZ,MATCH($H48,英雄装备!$F:$F,0),MATCH(S$2,英雄装备!$1:$1,0)-5),装备属性!$A:$C,3,0),VLOOKUP(INDEX(英雄装备!$F:$BZ,MATCH($H48,英雄装备!$F:$F,0),MATCH(S$2,英雄装备!$1:$1,0)-4),装备属性!$A:$C,3,0),VLOOKUP(INDEX(英雄装备!$F:$BZ,MATCH($H48,英雄装备!$F:$F,0),MATCH(S$2,英雄装备!$1:$1,0)-3),装备属性!$A:$C,3,0),VLOOKUP(INDEX(英雄装备!$F:$BZ,MATCH($H48,英雄装备!$F:$F,0),MATCH(S$2,英雄装备!$1:$1,0)-2),装备属性!$A:$C,3,0),VLOOKUP(INDEX(英雄装备!$F:$BZ,MATCH($H48,英雄装备!$F:$F,0),MATCH(S$2,英雄装备!$1:$1,0)-1),装备属性!$A:$C,3,0),VLOOKUP(INDEX(英雄装备!$F:$BZ,MATCH($H48,英雄装备!$F:$F,0),MATCH(S$2,英雄装备!$1:$1,0)),装备属性!$A:$C,3,0))</f>
        <v>85</v>
      </c>
      <c r="T48" s="51">
        <f>MAX(VLOOKUP(INDEX(英雄装备!$F:$BZ,MATCH($H48,英雄装备!$F:$F,0),MATCH(T$2,英雄装备!$1:$1,0)-5),装备属性!$A:$C,3,0),VLOOKUP(INDEX(英雄装备!$F:$BZ,MATCH($H48,英雄装备!$F:$F,0),MATCH(T$2,英雄装备!$1:$1,0)-4),装备属性!$A:$C,3,0),VLOOKUP(INDEX(英雄装备!$F:$BZ,MATCH($H48,英雄装备!$F:$F,0),MATCH(T$2,英雄装备!$1:$1,0)-3),装备属性!$A:$C,3,0),VLOOKUP(INDEX(英雄装备!$F:$BZ,MATCH($H48,英雄装备!$F:$F,0),MATCH(T$2,英雄装备!$1:$1,0)-2),装备属性!$A:$C,3,0),VLOOKUP(INDEX(英雄装备!$F:$BZ,MATCH($H48,英雄装备!$F:$F,0),MATCH(T$2,英雄装备!$1:$1,0)-1),装备属性!$A:$C,3,0))</f>
        <v>87</v>
      </c>
      <c r="V48" s="151">
        <v>7</v>
      </c>
      <c r="W48" s="151" t="str">
        <f>IF($V$2&lt;7,"","紫")</f>
        <v>紫</v>
      </c>
      <c r="X48" s="151" t="str">
        <f t="shared" si="6"/>
        <v>魔王刀锋</v>
      </c>
      <c r="Y48" s="151" t="str">
        <f t="shared" si="6"/>
        <v>强袭</v>
      </c>
      <c r="Z48" s="151" t="str">
        <f t="shared" si="6"/>
        <v>林肯</v>
      </c>
      <c r="AA48" s="151" t="str">
        <f t="shared" si="6"/>
        <v>冲锋盾</v>
      </c>
      <c r="AB48" s="151" t="str">
        <f t="shared" si="6"/>
        <v>圣殿指环</v>
      </c>
      <c r="AC48" s="151" t="str">
        <f t="shared" si="6"/>
        <v>飞鞋</v>
      </c>
      <c r="AF48" s="151">
        <v>5</v>
      </c>
      <c r="AG48" s="151" t="str">
        <f>Y5</f>
        <v>黑黄</v>
      </c>
      <c r="AH48" s="151">
        <f>VLOOKUP($AG48,装备属性!$A:$Y,5,0)</f>
        <v>10</v>
      </c>
      <c r="AI48" s="151">
        <f>VLOOKUP($AG48,装备属性!$A:$Y,6,0)</f>
        <v>0</v>
      </c>
      <c r="AJ48" s="151">
        <f>VLOOKUP($AG48,装备属性!$A:$Y,7,0)</f>
        <v>0</v>
      </c>
      <c r="AK48" s="151">
        <f>VLOOKUP($AG48,装备属性!$A:$Y,8,0)</f>
        <v>0</v>
      </c>
      <c r="AL48" s="151">
        <f>VLOOKUP($AG48,装备属性!$A:$Y,9,0)</f>
        <v>24</v>
      </c>
      <c r="AM48" s="151">
        <f>VLOOKUP($AG48,装备属性!$A:$Y,10,0)</f>
        <v>0</v>
      </c>
      <c r="AN48" s="151">
        <f>VLOOKUP($AG48,装备属性!$A:$Y,11,0)</f>
        <v>0</v>
      </c>
      <c r="AO48" s="151">
        <f>VLOOKUP($AG48,装备属性!$A:$Y,12,0)</f>
        <v>10</v>
      </c>
      <c r="AP48" s="151">
        <f>VLOOKUP($AG48,装备属性!$A:$Y,13,0)</f>
        <v>0</v>
      </c>
      <c r="AQ48" s="151">
        <f>VLOOKUP($AG48,装备属性!$A:$Y,14,0)</f>
        <v>0</v>
      </c>
      <c r="AR48" s="151">
        <f>VLOOKUP($AG48,装备属性!$A:$Y,15,0)</f>
        <v>0</v>
      </c>
      <c r="AS48" s="151">
        <f>VLOOKUP($AG48,装备属性!$A:$Y,16,0)</f>
        <v>0</v>
      </c>
      <c r="AT48" s="151">
        <f>VLOOKUP($AG48,装备属性!$A:$Y,17,0)</f>
        <v>0</v>
      </c>
      <c r="AU48" s="151">
        <f>VLOOKUP($AG48,装备属性!$A:$Y,18,0)</f>
        <v>0</v>
      </c>
      <c r="AV48" s="151">
        <f>VLOOKUP($AG48,装备属性!$A:$Y,19,0)</f>
        <v>0</v>
      </c>
      <c r="AW48" s="151">
        <f>VLOOKUP($AG48,装备属性!$A:$Y,20,0)</f>
        <v>0</v>
      </c>
      <c r="AX48" s="151">
        <f>VLOOKUP($AG48,装备属性!$A:$Y,21,0)</f>
        <v>0</v>
      </c>
      <c r="AY48" s="151">
        <f>VLOOKUP($AG48,装备属性!$A:$Y,22,0)</f>
        <v>0</v>
      </c>
      <c r="AZ48" s="151">
        <f>VLOOKUP($AG48,装备属性!$A:$Y,23,0)</f>
        <v>0</v>
      </c>
      <c r="BA48" s="151">
        <f>VLOOKUP($AG48,装备属性!$A:$Y,24,0)</f>
        <v>0</v>
      </c>
      <c r="BB48" s="151">
        <f>VLOOKUP($AG48,装备属性!$A:$Y,25,0)</f>
        <v>0</v>
      </c>
    </row>
    <row r="49" spans="2:54">
      <c r="B49" s="151" t="s">
        <v>1814</v>
      </c>
      <c r="H49" s="50" t="s">
        <v>1306</v>
      </c>
      <c r="I49" s="51">
        <f>MAX(VLOOKUP(INDEX(英雄装备!$F:$BZ,MATCH($H49,英雄装备!$F:$F,0),MATCH(I$2,英雄装备!$1:$1,0)-5),装备属性!$A:$C,3,0),VLOOKUP(INDEX(英雄装备!$F:$BZ,MATCH($H49,英雄装备!$F:$F,0),MATCH(I$2,英雄装备!$1:$1,0)-4),装备属性!$A:$C,3,0),VLOOKUP(INDEX(英雄装备!$F:$BZ,MATCH($H49,英雄装备!$F:$F,0),MATCH(I$2,英雄装备!$1:$1,0)-3),装备属性!$A:$C,3,0),VLOOKUP(INDEX(英雄装备!$F:$BZ,MATCH($H49,英雄装备!$F:$F,0),MATCH(I$2,英雄装备!$1:$1,0)-2),装备属性!$A:$C,3,0),VLOOKUP(INDEX(英雄装备!$F:$BZ,MATCH($H49,英雄装备!$F:$F,0),MATCH(I$2,英雄装备!$1:$1,0)-1),装备属性!$A:$C,3,0),VLOOKUP(INDEX(英雄装备!$F:$BZ,MATCH($H49,英雄装备!$F:$F,0),MATCH(I$2,英雄装备!$1:$1,0)),装备属性!$A:$C,3,0))</f>
        <v>2</v>
      </c>
      <c r="J49" s="51">
        <f>MAX(VLOOKUP(INDEX(英雄装备!$F:$BZ,MATCH($H49,英雄装备!$F:$F,0),MATCH(J$2,英雄装备!$1:$1,0)-5),装备属性!$A:$C,3,0),VLOOKUP(INDEX(英雄装备!$F:$BZ,MATCH($H49,英雄装备!$F:$F,0),MATCH(J$2,英雄装备!$1:$1,0)-4),装备属性!$A:$C,3,0),VLOOKUP(INDEX(英雄装备!$F:$BZ,MATCH($H49,英雄装备!$F:$F,0),MATCH(J$2,英雄装备!$1:$1,0)-3),装备属性!$A:$C,3,0),VLOOKUP(INDEX(英雄装备!$F:$BZ,MATCH($H49,英雄装备!$F:$F,0),MATCH(J$2,英雄装备!$1:$1,0)-2),装备属性!$A:$C,3,0),VLOOKUP(INDEX(英雄装备!$F:$BZ,MATCH($H49,英雄装备!$F:$F,0),MATCH(J$2,英雄装备!$1:$1,0)-1),装备属性!$A:$C,3,0),VLOOKUP(INDEX(英雄装备!$F:$BZ,MATCH($H49,英雄装备!$F:$F,0),MATCH(J$2,英雄装备!$1:$1,0)),装备属性!$A:$C,3,0))</f>
        <v>10</v>
      </c>
      <c r="K49" s="51">
        <f>MAX(VLOOKUP(INDEX(英雄装备!$F:$BZ,MATCH($H49,英雄装备!$F:$F,0),MATCH(K$2,英雄装备!$1:$1,0)-5),装备属性!$A:$C,3,0),VLOOKUP(INDEX(英雄装备!$F:$BZ,MATCH($H49,英雄装备!$F:$F,0),MATCH(K$2,英雄装备!$1:$1,0)-4),装备属性!$A:$C,3,0),VLOOKUP(INDEX(英雄装备!$F:$BZ,MATCH($H49,英雄装备!$F:$F,0),MATCH(K$2,英雄装备!$1:$1,0)-3),装备属性!$A:$C,3,0),VLOOKUP(INDEX(英雄装备!$F:$BZ,MATCH($H49,英雄装备!$F:$F,0),MATCH(K$2,英雄装备!$1:$1,0)-2),装备属性!$A:$C,3,0),VLOOKUP(INDEX(英雄装备!$F:$BZ,MATCH($H49,英雄装备!$F:$F,0),MATCH(K$2,英雄装备!$1:$1,0)-1),装备属性!$A:$C,3,0),VLOOKUP(INDEX(英雄装备!$F:$BZ,MATCH($H49,英雄装备!$F:$F,0),MATCH(K$2,英雄装备!$1:$1,0)),装备属性!$A:$C,3,0))</f>
        <v>20</v>
      </c>
      <c r="L49" s="51">
        <f>MAX(VLOOKUP(INDEX(英雄装备!$F:$BZ,MATCH($H49,英雄装备!$F:$F,0),MATCH(L$2,英雄装备!$1:$1,0)-5),装备属性!$A:$C,3,0),VLOOKUP(INDEX(英雄装备!$F:$BZ,MATCH($H49,英雄装备!$F:$F,0),MATCH(L$2,英雄装备!$1:$1,0)-4),装备属性!$A:$C,3,0),VLOOKUP(INDEX(英雄装备!$F:$BZ,MATCH($H49,英雄装备!$F:$F,0),MATCH(L$2,英雄装备!$1:$1,0)-3),装备属性!$A:$C,3,0),VLOOKUP(INDEX(英雄装备!$F:$BZ,MATCH($H49,英雄装备!$F:$F,0),MATCH(L$2,英雄装备!$1:$1,0)-2),装备属性!$A:$C,3,0),VLOOKUP(INDEX(英雄装备!$F:$BZ,MATCH($H49,英雄装备!$F:$F,0),MATCH(L$2,英雄装备!$1:$1,0)-1),装备属性!$A:$C,3,0),VLOOKUP(INDEX(英雄装备!$F:$BZ,MATCH($H49,英雄装备!$F:$F,0),MATCH(L$2,英雄装备!$1:$1,0)),装备属性!$A:$C,3,0))</f>
        <v>36</v>
      </c>
      <c r="M49" s="51">
        <f>MAX(VLOOKUP(INDEX(英雄装备!$F:$BZ,MATCH($H49,英雄装备!$F:$F,0),MATCH(M$2,英雄装备!$1:$1,0)-5),装备属性!$A:$C,3,0),VLOOKUP(INDEX(英雄装备!$F:$BZ,MATCH($H49,英雄装备!$F:$F,0),MATCH(M$2,英雄装备!$1:$1,0)-4),装备属性!$A:$C,3,0),VLOOKUP(INDEX(英雄装备!$F:$BZ,MATCH($H49,英雄装备!$F:$F,0),MATCH(M$2,英雄装备!$1:$1,0)-3),装备属性!$A:$C,3,0),VLOOKUP(INDEX(英雄装备!$F:$BZ,MATCH($H49,英雄装备!$F:$F,0),MATCH(M$2,英雄装备!$1:$1,0)-2),装备属性!$A:$C,3,0),VLOOKUP(INDEX(英雄装备!$F:$BZ,MATCH($H49,英雄装备!$F:$F,0),MATCH(M$2,英雄装备!$1:$1,0)-1),装备属性!$A:$C,3,0),VLOOKUP(INDEX(英雄装备!$F:$BZ,MATCH($H49,英雄装备!$F:$F,0),MATCH(M$2,英雄装备!$1:$1,0)),装备属性!$A:$C,3,0))</f>
        <v>43</v>
      </c>
      <c r="N49" s="51">
        <f>MAX(VLOOKUP(INDEX(英雄装备!$F:$BZ,MATCH($H49,英雄装备!$F:$F,0),MATCH(N$2,英雄装备!$1:$1,0)-5),装备属性!$A:$C,3,0),VLOOKUP(INDEX(英雄装备!$F:$BZ,MATCH($H49,英雄装备!$F:$F,0),MATCH(N$2,英雄装备!$1:$1,0)-4),装备属性!$A:$C,3,0),VLOOKUP(INDEX(英雄装备!$F:$BZ,MATCH($H49,英雄装备!$F:$F,0),MATCH(N$2,英雄装备!$1:$1,0)-3),装备属性!$A:$C,3,0),VLOOKUP(INDEX(英雄装备!$F:$BZ,MATCH($H49,英雄装备!$F:$F,0),MATCH(N$2,英雄装备!$1:$1,0)-2),装备属性!$A:$C,3,0),VLOOKUP(INDEX(英雄装备!$F:$BZ,MATCH($H49,英雄装备!$F:$F,0),MATCH(N$2,英雄装备!$1:$1,0)-1),装备属性!$A:$C,3,0),VLOOKUP(INDEX(英雄装备!$F:$BZ,MATCH($H49,英雄装备!$F:$F,0),MATCH(N$2,英雄装备!$1:$1,0)),装备属性!$A:$C,3,0))</f>
        <v>51</v>
      </c>
      <c r="O49" s="51">
        <f>MAX(VLOOKUP(INDEX(英雄装备!$F:$BZ,MATCH($H49,英雄装备!$F:$F,0),MATCH(O$2,英雄装备!$1:$1,0)-5),装备属性!$A:$C,3,0),VLOOKUP(INDEX(英雄装备!$F:$BZ,MATCH($H49,英雄装备!$F:$F,0),MATCH(O$2,英雄装备!$1:$1,0)-4),装备属性!$A:$C,3,0),VLOOKUP(INDEX(英雄装备!$F:$BZ,MATCH($H49,英雄装备!$F:$F,0),MATCH(O$2,英雄装备!$1:$1,0)-3),装备属性!$A:$C,3,0),VLOOKUP(INDEX(英雄装备!$F:$BZ,MATCH($H49,英雄装备!$F:$F,0),MATCH(O$2,英雄装备!$1:$1,0)-2),装备属性!$A:$C,3,0),VLOOKUP(INDEX(英雄装备!$F:$BZ,MATCH($H49,英雄装备!$F:$F,0),MATCH(O$2,英雄装备!$1:$1,0)-1),装备属性!$A:$C,3,0),VLOOKUP(INDEX(英雄装备!$F:$BZ,MATCH($H49,英雄装备!$F:$F,0),MATCH(O$2,英雄装备!$1:$1,0)),装备属性!$A:$C,3,0))</f>
        <v>59</v>
      </c>
      <c r="P49" s="51">
        <f>MAX(VLOOKUP(INDEX(英雄装备!$F:$BZ,MATCH($H49,英雄装备!$F:$F,0),MATCH(P$2,英雄装备!$1:$1,0)-5),装备属性!$A:$C,3,0),VLOOKUP(INDEX(英雄装备!$F:$BZ,MATCH($H49,英雄装备!$F:$F,0),MATCH(P$2,英雄装备!$1:$1,0)-4),装备属性!$A:$C,3,0),VLOOKUP(INDEX(英雄装备!$F:$BZ,MATCH($H49,英雄装备!$F:$F,0),MATCH(P$2,英雄装备!$1:$1,0)-3),装备属性!$A:$C,3,0),VLOOKUP(INDEX(英雄装备!$F:$BZ,MATCH($H49,英雄装备!$F:$F,0),MATCH(P$2,英雄装备!$1:$1,0)-2),装备属性!$A:$C,3,0),VLOOKUP(INDEX(英雄装备!$F:$BZ,MATCH($H49,英雄装备!$F:$F,0),MATCH(P$2,英雄装备!$1:$1,0)-1),装备属性!$A:$C,3,0),VLOOKUP(INDEX(英雄装备!$F:$BZ,MATCH($H49,英雄装备!$F:$F,0),MATCH(P$2,英雄装备!$1:$1,0)),装备属性!$A:$C,3,0))</f>
        <v>72</v>
      </c>
      <c r="Q49" s="51">
        <f>MAX(VLOOKUP(INDEX(英雄装备!$F:$BZ,MATCH($H49,英雄装备!$F:$F,0),MATCH(Q$2,英雄装备!$1:$1,0)-5),装备属性!$A:$C,3,0),VLOOKUP(INDEX(英雄装备!$F:$BZ,MATCH($H49,英雄装备!$F:$F,0),MATCH(Q$2,英雄装备!$1:$1,0)-4),装备属性!$A:$C,3,0),VLOOKUP(INDEX(英雄装备!$F:$BZ,MATCH($H49,英雄装备!$F:$F,0),MATCH(Q$2,英雄装备!$1:$1,0)-3),装备属性!$A:$C,3,0),VLOOKUP(INDEX(英雄装备!$F:$BZ,MATCH($H49,英雄装备!$F:$F,0),MATCH(Q$2,英雄装备!$1:$1,0)-2),装备属性!$A:$C,3,0),VLOOKUP(INDEX(英雄装备!$F:$BZ,MATCH($H49,英雄装备!$F:$F,0),MATCH(Q$2,英雄装备!$1:$1,0)-1),装备属性!$A:$C,3,0),VLOOKUP(INDEX(英雄装备!$F:$BZ,MATCH($H49,英雄装备!$F:$F,0),MATCH(Q$2,英雄装备!$1:$1,0)),装备属性!$A:$C,3,0))</f>
        <v>80</v>
      </c>
      <c r="R49" s="51">
        <f>MAX(VLOOKUP(INDEX(英雄装备!$F:$BZ,MATCH($H49,英雄装备!$F:$F,0),MATCH(R$2,英雄装备!$1:$1,0)-5),装备属性!$A:$C,3,0),VLOOKUP(INDEX(英雄装备!$F:$BZ,MATCH($H49,英雄装备!$F:$F,0),MATCH(R$2,英雄装备!$1:$1,0)-4),装备属性!$A:$C,3,0),VLOOKUP(INDEX(英雄装备!$F:$BZ,MATCH($H49,英雄装备!$F:$F,0),MATCH(R$2,英雄装备!$1:$1,0)-3),装备属性!$A:$C,3,0),VLOOKUP(INDEX(英雄装备!$F:$BZ,MATCH($H49,英雄装备!$F:$F,0),MATCH(R$2,英雄装备!$1:$1,0)-2),装备属性!$A:$C,3,0),VLOOKUP(INDEX(英雄装备!$F:$BZ,MATCH($H49,英雄装备!$F:$F,0),MATCH(R$2,英雄装备!$1:$1,0)-1),装备属性!$A:$C,3,0),VLOOKUP(INDEX(英雄装备!$F:$BZ,MATCH($H49,英雄装备!$F:$F,0),MATCH(R$2,英雄装备!$1:$1,0)),装备属性!$A:$C,3,0))</f>
        <v>80</v>
      </c>
      <c r="S49" s="51">
        <f>MAX(VLOOKUP(INDEX(英雄装备!$F:$BZ,MATCH($H49,英雄装备!$F:$F,0),MATCH(S$2,英雄装备!$1:$1,0)-5),装备属性!$A:$C,3,0),VLOOKUP(INDEX(英雄装备!$F:$BZ,MATCH($H49,英雄装备!$F:$F,0),MATCH(S$2,英雄装备!$1:$1,0)-4),装备属性!$A:$C,3,0),VLOOKUP(INDEX(英雄装备!$F:$BZ,MATCH($H49,英雄装备!$F:$F,0),MATCH(S$2,英雄装备!$1:$1,0)-3),装备属性!$A:$C,3,0),VLOOKUP(INDEX(英雄装备!$F:$BZ,MATCH($H49,英雄装备!$F:$F,0),MATCH(S$2,英雄装备!$1:$1,0)-2),装备属性!$A:$C,3,0),VLOOKUP(INDEX(英雄装备!$F:$BZ,MATCH($H49,英雄装备!$F:$F,0),MATCH(S$2,英雄装备!$1:$1,0)-1),装备属性!$A:$C,3,0),VLOOKUP(INDEX(英雄装备!$F:$BZ,MATCH($H49,英雄装备!$F:$F,0),MATCH(S$2,英雄装备!$1:$1,0)),装备属性!$A:$C,3,0))</f>
        <v>85</v>
      </c>
      <c r="T49" s="51">
        <f>MAX(VLOOKUP(INDEX(英雄装备!$F:$BZ,MATCH($H49,英雄装备!$F:$F,0),MATCH(T$2,英雄装备!$1:$1,0)-5),装备属性!$A:$C,3,0),VLOOKUP(INDEX(英雄装备!$F:$BZ,MATCH($H49,英雄装备!$F:$F,0),MATCH(T$2,英雄装备!$1:$1,0)-4),装备属性!$A:$C,3,0),VLOOKUP(INDEX(英雄装备!$F:$BZ,MATCH($H49,英雄装备!$F:$F,0),MATCH(T$2,英雄装备!$1:$1,0)-3),装备属性!$A:$C,3,0),VLOOKUP(INDEX(英雄装备!$F:$BZ,MATCH($H49,英雄装备!$F:$F,0),MATCH(T$2,英雄装备!$1:$1,0)-2),装备属性!$A:$C,3,0),VLOOKUP(INDEX(英雄装备!$F:$BZ,MATCH($H49,英雄装备!$F:$F,0),MATCH(T$2,英雄装备!$1:$1,0)-1),装备属性!$A:$C,3,0))</f>
        <v>88</v>
      </c>
      <c r="V49" s="151">
        <v>8</v>
      </c>
      <c r="W49" s="151" t="str">
        <f>IF($V$2&lt;8,"","紫+1")</f>
        <v>紫+1</v>
      </c>
      <c r="X49" s="151" t="str">
        <f t="shared" si="6"/>
        <v>蝴蝶</v>
      </c>
      <c r="Y49" s="151" t="str">
        <f t="shared" si="6"/>
        <v>鬼手</v>
      </c>
      <c r="Z49" s="151" t="str">
        <f t="shared" si="6"/>
        <v>狂战斧</v>
      </c>
      <c r="AA49" s="151" t="str">
        <f t="shared" si="6"/>
        <v>暗灭</v>
      </c>
      <c r="AB49" s="151" t="str">
        <f t="shared" si="6"/>
        <v>阔剑</v>
      </c>
      <c r="AC49" s="151" t="str">
        <f t="shared" si="6"/>
        <v>飞鞋</v>
      </c>
      <c r="AF49" s="151">
        <v>5</v>
      </c>
      <c r="AG49" s="151" t="str">
        <f>Z5</f>
        <v>散华</v>
      </c>
      <c r="AH49" s="151">
        <f>VLOOKUP($AG49,装备属性!$A:$Y,5,0)</f>
        <v>16</v>
      </c>
      <c r="AI49" s="151">
        <f>VLOOKUP($AG49,装备属性!$A:$Y,6,0)</f>
        <v>0</v>
      </c>
      <c r="AJ49" s="151">
        <f>VLOOKUP($AG49,装备属性!$A:$Y,7,0)</f>
        <v>0</v>
      </c>
      <c r="AK49" s="151">
        <f>VLOOKUP($AG49,装备属性!$A:$Y,8,0)</f>
        <v>0</v>
      </c>
      <c r="AL49" s="151">
        <f>VLOOKUP($AG49,装备属性!$A:$Y,9,0)</f>
        <v>10</v>
      </c>
      <c r="AM49" s="151">
        <f>VLOOKUP($AG49,装备属性!$A:$Y,10,0)</f>
        <v>0</v>
      </c>
      <c r="AN49" s="151">
        <f>VLOOKUP($AG49,装备属性!$A:$Y,11,0)</f>
        <v>0</v>
      </c>
      <c r="AO49" s="151">
        <f>VLOOKUP($AG49,装备属性!$A:$Y,12,0)</f>
        <v>0</v>
      </c>
      <c r="AP49" s="151">
        <f>VLOOKUP($AG49,装备属性!$A:$Y,13,0)</f>
        <v>0</v>
      </c>
      <c r="AQ49" s="151">
        <f>VLOOKUP($AG49,装备属性!$A:$Y,14,0)</f>
        <v>0</v>
      </c>
      <c r="AR49" s="151">
        <f>VLOOKUP($AG49,装备属性!$A:$Y,15,0)</f>
        <v>0</v>
      </c>
      <c r="AS49" s="151">
        <f>VLOOKUP($AG49,装备属性!$A:$Y,16,0)</f>
        <v>0</v>
      </c>
      <c r="AT49" s="151">
        <f>VLOOKUP($AG49,装备属性!$A:$Y,17,0)</f>
        <v>0</v>
      </c>
      <c r="AU49" s="151">
        <f>VLOOKUP($AG49,装备属性!$A:$Y,18,0)</f>
        <v>0</v>
      </c>
      <c r="AV49" s="151">
        <f>VLOOKUP($AG49,装备属性!$A:$Y,19,0)</f>
        <v>0</v>
      </c>
      <c r="AW49" s="151">
        <f>VLOOKUP($AG49,装备属性!$A:$Y,20,0)</f>
        <v>0</v>
      </c>
      <c r="AX49" s="151">
        <f>VLOOKUP($AG49,装备属性!$A:$Y,21,0)</f>
        <v>0</v>
      </c>
      <c r="AY49" s="151">
        <f>VLOOKUP($AG49,装备属性!$A:$Y,22,0)</f>
        <v>0</v>
      </c>
      <c r="AZ49" s="151">
        <f>VLOOKUP($AG49,装备属性!$A:$Y,23,0)</f>
        <v>0</v>
      </c>
      <c r="BA49" s="151">
        <f>VLOOKUP($AG49,装备属性!$A:$Y,24,0)</f>
        <v>0</v>
      </c>
      <c r="BB49" s="151">
        <f>VLOOKUP($AG49,装备属性!$A:$Y,25,0)</f>
        <v>0</v>
      </c>
    </row>
    <row r="50" spans="2:54">
      <c r="B50" s="151" t="s">
        <v>2012</v>
      </c>
      <c r="H50" s="109" t="s">
        <v>1346</v>
      </c>
      <c r="I50" s="51">
        <f>MAX(VLOOKUP(INDEX(英雄装备!$F:$BZ,MATCH($H50,英雄装备!$F:$F,0),MATCH(I$2,英雄装备!$1:$1,0)-5),装备属性!$A:$C,3,0),VLOOKUP(INDEX(英雄装备!$F:$BZ,MATCH($H50,英雄装备!$F:$F,0),MATCH(I$2,英雄装备!$1:$1,0)-4),装备属性!$A:$C,3,0),VLOOKUP(INDEX(英雄装备!$F:$BZ,MATCH($H50,英雄装备!$F:$F,0),MATCH(I$2,英雄装备!$1:$1,0)-3),装备属性!$A:$C,3,0),VLOOKUP(INDEX(英雄装备!$F:$BZ,MATCH($H50,英雄装备!$F:$F,0),MATCH(I$2,英雄装备!$1:$1,0)-2),装备属性!$A:$C,3,0),VLOOKUP(INDEX(英雄装备!$F:$BZ,MATCH($H50,英雄装备!$F:$F,0),MATCH(I$2,英雄装备!$1:$1,0)-1),装备属性!$A:$C,3,0),VLOOKUP(INDEX(英雄装备!$F:$BZ,MATCH($H50,英雄装备!$F:$F,0),MATCH(I$2,英雄装备!$1:$1,0)),装备属性!$A:$C,3,0))</f>
        <v>2</v>
      </c>
      <c r="J50" s="51">
        <f>MAX(VLOOKUP(INDEX(英雄装备!$F:$BZ,MATCH($H50,英雄装备!$F:$F,0),MATCH(J$2,英雄装备!$1:$1,0)-5),装备属性!$A:$C,3,0),VLOOKUP(INDEX(英雄装备!$F:$BZ,MATCH($H50,英雄装备!$F:$F,0),MATCH(J$2,英雄装备!$1:$1,0)-4),装备属性!$A:$C,3,0),VLOOKUP(INDEX(英雄装备!$F:$BZ,MATCH($H50,英雄装备!$F:$F,0),MATCH(J$2,英雄装备!$1:$1,0)-3),装备属性!$A:$C,3,0),VLOOKUP(INDEX(英雄装备!$F:$BZ,MATCH($H50,英雄装备!$F:$F,0),MATCH(J$2,英雄装备!$1:$1,0)-2),装备属性!$A:$C,3,0),VLOOKUP(INDEX(英雄装备!$F:$BZ,MATCH($H50,英雄装备!$F:$F,0),MATCH(J$2,英雄装备!$1:$1,0)-1),装备属性!$A:$C,3,0),VLOOKUP(INDEX(英雄装备!$F:$BZ,MATCH($H50,英雄装备!$F:$F,0),MATCH(J$2,英雄装备!$1:$1,0)),装备属性!$A:$C,3,0))</f>
        <v>11</v>
      </c>
      <c r="K50" s="51">
        <f>MAX(VLOOKUP(INDEX(英雄装备!$F:$BZ,MATCH($H50,英雄装备!$F:$F,0),MATCH(K$2,英雄装备!$1:$1,0)-5),装备属性!$A:$C,3,0),VLOOKUP(INDEX(英雄装备!$F:$BZ,MATCH($H50,英雄装备!$F:$F,0),MATCH(K$2,英雄装备!$1:$1,0)-4),装备属性!$A:$C,3,0),VLOOKUP(INDEX(英雄装备!$F:$BZ,MATCH($H50,英雄装备!$F:$F,0),MATCH(K$2,英雄装备!$1:$1,0)-3),装备属性!$A:$C,3,0),VLOOKUP(INDEX(英雄装备!$F:$BZ,MATCH($H50,英雄装备!$F:$F,0),MATCH(K$2,英雄装备!$1:$1,0)-2),装备属性!$A:$C,3,0),VLOOKUP(INDEX(英雄装备!$F:$BZ,MATCH($H50,英雄装备!$F:$F,0),MATCH(K$2,英雄装备!$1:$1,0)-1),装备属性!$A:$C,3,0),VLOOKUP(INDEX(英雄装备!$F:$BZ,MATCH($H50,英雄装备!$F:$F,0),MATCH(K$2,英雄装备!$1:$1,0)),装备属性!$A:$C,3,0))</f>
        <v>24</v>
      </c>
      <c r="L50" s="51">
        <f>MAX(VLOOKUP(INDEX(英雄装备!$F:$BZ,MATCH($H50,英雄装备!$F:$F,0),MATCH(L$2,英雄装备!$1:$1,0)-5),装备属性!$A:$C,3,0),VLOOKUP(INDEX(英雄装备!$F:$BZ,MATCH($H50,英雄装备!$F:$F,0),MATCH(L$2,英雄装备!$1:$1,0)-4),装备属性!$A:$C,3,0),VLOOKUP(INDEX(英雄装备!$F:$BZ,MATCH($H50,英雄装备!$F:$F,0),MATCH(L$2,英雄装备!$1:$1,0)-3),装备属性!$A:$C,3,0),VLOOKUP(INDEX(英雄装备!$F:$BZ,MATCH($H50,英雄装备!$F:$F,0),MATCH(L$2,英雄装备!$1:$1,0)-2),装备属性!$A:$C,3,0),VLOOKUP(INDEX(英雄装备!$F:$BZ,MATCH($H50,英雄装备!$F:$F,0),MATCH(L$2,英雄装备!$1:$1,0)-1),装备属性!$A:$C,3,0),VLOOKUP(INDEX(英雄装备!$F:$BZ,MATCH($H50,英雄装备!$F:$F,0),MATCH(L$2,英雄装备!$1:$1,0)),装备属性!$A:$C,3,0))</f>
        <v>37</v>
      </c>
      <c r="M50" s="51">
        <f>MAX(VLOOKUP(INDEX(英雄装备!$F:$BZ,MATCH($H50,英雄装备!$F:$F,0),MATCH(M$2,英雄装备!$1:$1,0)-5),装备属性!$A:$C,3,0),VLOOKUP(INDEX(英雄装备!$F:$BZ,MATCH($H50,英雄装备!$F:$F,0),MATCH(M$2,英雄装备!$1:$1,0)-4),装备属性!$A:$C,3,0),VLOOKUP(INDEX(英雄装备!$F:$BZ,MATCH($H50,英雄装备!$F:$F,0),MATCH(M$2,英雄装备!$1:$1,0)-3),装备属性!$A:$C,3,0),VLOOKUP(INDEX(英雄装备!$F:$BZ,MATCH($H50,英雄装备!$F:$F,0),MATCH(M$2,英雄装备!$1:$1,0)-2),装备属性!$A:$C,3,0),VLOOKUP(INDEX(英雄装备!$F:$BZ,MATCH($H50,英雄装备!$F:$F,0),MATCH(M$2,英雄装备!$1:$1,0)-1),装备属性!$A:$C,3,0),VLOOKUP(INDEX(英雄装备!$F:$BZ,MATCH($H50,英雄装备!$F:$F,0),MATCH(M$2,英雄装备!$1:$1,0)),装备属性!$A:$C,3,0))</f>
        <v>44</v>
      </c>
      <c r="N50" s="51">
        <f>MAX(VLOOKUP(INDEX(英雄装备!$F:$BZ,MATCH($H50,英雄装备!$F:$F,0),MATCH(N$2,英雄装备!$1:$1,0)-5),装备属性!$A:$C,3,0),VLOOKUP(INDEX(英雄装备!$F:$BZ,MATCH($H50,英雄装备!$F:$F,0),MATCH(N$2,英雄装备!$1:$1,0)-4),装备属性!$A:$C,3,0),VLOOKUP(INDEX(英雄装备!$F:$BZ,MATCH($H50,英雄装备!$F:$F,0),MATCH(N$2,英雄装备!$1:$1,0)-3),装备属性!$A:$C,3,0),VLOOKUP(INDEX(英雄装备!$F:$BZ,MATCH($H50,英雄装备!$F:$F,0),MATCH(N$2,英雄装备!$1:$1,0)-2),装备属性!$A:$C,3,0),VLOOKUP(INDEX(英雄装备!$F:$BZ,MATCH($H50,英雄装备!$F:$F,0),MATCH(N$2,英雄装备!$1:$1,0)-1),装备属性!$A:$C,3,0),VLOOKUP(INDEX(英雄装备!$F:$BZ,MATCH($H50,英雄装备!$F:$F,0),MATCH(N$2,英雄装备!$1:$1,0)),装备属性!$A:$C,3,0))</f>
        <v>53</v>
      </c>
      <c r="O50" s="51">
        <f>MAX(VLOOKUP(INDEX(英雄装备!$F:$BZ,MATCH($H50,英雄装备!$F:$F,0),MATCH(O$2,英雄装备!$1:$1,0)-5),装备属性!$A:$C,3,0),VLOOKUP(INDEX(英雄装备!$F:$BZ,MATCH($H50,英雄装备!$F:$F,0),MATCH(O$2,英雄装备!$1:$1,0)-4),装备属性!$A:$C,3,0),VLOOKUP(INDEX(英雄装备!$F:$BZ,MATCH($H50,英雄装备!$F:$F,0),MATCH(O$2,英雄装备!$1:$1,0)-3),装备属性!$A:$C,3,0),VLOOKUP(INDEX(英雄装备!$F:$BZ,MATCH($H50,英雄装备!$F:$F,0),MATCH(O$2,英雄装备!$1:$1,0)-2),装备属性!$A:$C,3,0),VLOOKUP(INDEX(英雄装备!$F:$BZ,MATCH($H50,英雄装备!$F:$F,0),MATCH(O$2,英雄装备!$1:$1,0)-1),装备属性!$A:$C,3,0),VLOOKUP(INDEX(英雄装备!$F:$BZ,MATCH($H50,英雄装备!$F:$F,0),MATCH(O$2,英雄装备!$1:$1,0)),装备属性!$A:$C,3,0))</f>
        <v>64</v>
      </c>
      <c r="P50" s="51">
        <f>MAX(VLOOKUP(INDEX(英雄装备!$F:$BZ,MATCH($H50,英雄装备!$F:$F,0),MATCH(P$2,英雄装备!$1:$1,0)-5),装备属性!$A:$C,3,0),VLOOKUP(INDEX(英雄装备!$F:$BZ,MATCH($H50,英雄装备!$F:$F,0),MATCH(P$2,英雄装备!$1:$1,0)-4),装备属性!$A:$C,3,0),VLOOKUP(INDEX(英雄装备!$F:$BZ,MATCH($H50,英雄装备!$F:$F,0),MATCH(P$2,英雄装备!$1:$1,0)-3),装备属性!$A:$C,3,0),VLOOKUP(INDEX(英雄装备!$F:$BZ,MATCH($H50,英雄装备!$F:$F,0),MATCH(P$2,英雄装备!$1:$1,0)-2),装备属性!$A:$C,3,0),VLOOKUP(INDEX(英雄装备!$F:$BZ,MATCH($H50,英雄装备!$F:$F,0),MATCH(P$2,英雄装备!$1:$1,0)-1),装备属性!$A:$C,3,0),VLOOKUP(INDEX(英雄装备!$F:$BZ,MATCH($H50,英雄装备!$F:$F,0),MATCH(P$2,英雄装备!$1:$1,0)),装备属性!$A:$C,3,0))</f>
        <v>73</v>
      </c>
      <c r="Q50" s="51">
        <f>MAX(VLOOKUP(INDEX(英雄装备!$F:$BZ,MATCH($H50,英雄装备!$F:$F,0),MATCH(Q$2,英雄装备!$1:$1,0)-5),装备属性!$A:$C,3,0),VLOOKUP(INDEX(英雄装备!$F:$BZ,MATCH($H50,英雄装备!$F:$F,0),MATCH(Q$2,英雄装备!$1:$1,0)-4),装备属性!$A:$C,3,0),VLOOKUP(INDEX(英雄装备!$F:$BZ,MATCH($H50,英雄装备!$F:$F,0),MATCH(Q$2,英雄装备!$1:$1,0)-3),装备属性!$A:$C,3,0),VLOOKUP(INDEX(英雄装备!$F:$BZ,MATCH($H50,英雄装备!$F:$F,0),MATCH(Q$2,英雄装备!$1:$1,0)-2),装备属性!$A:$C,3,0),VLOOKUP(INDEX(英雄装备!$F:$BZ,MATCH($H50,英雄装备!$F:$F,0),MATCH(Q$2,英雄装备!$1:$1,0)-1),装备属性!$A:$C,3,0),VLOOKUP(INDEX(英雄装备!$F:$BZ,MATCH($H50,英雄装备!$F:$F,0),MATCH(Q$2,英雄装备!$1:$1,0)),装备属性!$A:$C,3,0))</f>
        <v>80</v>
      </c>
      <c r="R50" s="51">
        <f>MAX(VLOOKUP(INDEX(英雄装备!$F:$BZ,MATCH($H50,英雄装备!$F:$F,0),MATCH(R$2,英雄装备!$1:$1,0)-5),装备属性!$A:$C,3,0),VLOOKUP(INDEX(英雄装备!$F:$BZ,MATCH($H50,英雄装备!$F:$F,0),MATCH(R$2,英雄装备!$1:$1,0)-4),装备属性!$A:$C,3,0),VLOOKUP(INDEX(英雄装备!$F:$BZ,MATCH($H50,英雄装备!$F:$F,0),MATCH(R$2,英雄装备!$1:$1,0)-3),装备属性!$A:$C,3,0),VLOOKUP(INDEX(英雄装备!$F:$BZ,MATCH($H50,英雄装备!$F:$F,0),MATCH(R$2,英雄装备!$1:$1,0)-2),装备属性!$A:$C,3,0),VLOOKUP(INDEX(英雄装备!$F:$BZ,MATCH($H50,英雄装备!$F:$F,0),MATCH(R$2,英雄装备!$1:$1,0)-1),装备属性!$A:$C,3,0),VLOOKUP(INDEX(英雄装备!$F:$BZ,MATCH($H50,英雄装备!$F:$F,0),MATCH(R$2,英雄装备!$1:$1,0)),装备属性!$A:$C,3,0))</f>
        <v>79</v>
      </c>
      <c r="S50" s="51">
        <f>MAX(VLOOKUP(INDEX(英雄装备!$F:$BZ,MATCH($H50,英雄装备!$F:$F,0),MATCH(S$2,英雄装备!$1:$1,0)-5),装备属性!$A:$C,3,0),VLOOKUP(INDEX(英雄装备!$F:$BZ,MATCH($H50,英雄装备!$F:$F,0),MATCH(S$2,英雄装备!$1:$1,0)-4),装备属性!$A:$C,3,0),VLOOKUP(INDEX(英雄装备!$F:$BZ,MATCH($H50,英雄装备!$F:$F,0),MATCH(S$2,英雄装备!$1:$1,0)-3),装备属性!$A:$C,3,0),VLOOKUP(INDEX(英雄装备!$F:$BZ,MATCH($H50,英雄装备!$F:$F,0),MATCH(S$2,英雄装备!$1:$1,0)-2),装备属性!$A:$C,3,0),VLOOKUP(INDEX(英雄装备!$F:$BZ,MATCH($H50,英雄装备!$F:$F,0),MATCH(S$2,英雄装备!$1:$1,0)-1),装备属性!$A:$C,3,0),VLOOKUP(INDEX(英雄装备!$F:$BZ,MATCH($H50,英雄装备!$F:$F,0),MATCH(S$2,英雄装备!$1:$1,0)),装备属性!$A:$C,3,0))</f>
        <v>85</v>
      </c>
      <c r="T50" s="51">
        <f>MAX(VLOOKUP(INDEX(英雄装备!$F:$BZ,MATCH($H50,英雄装备!$F:$F,0),MATCH(T$2,英雄装备!$1:$1,0)-5),装备属性!$A:$C,3,0),VLOOKUP(INDEX(英雄装备!$F:$BZ,MATCH($H50,英雄装备!$F:$F,0),MATCH(T$2,英雄装备!$1:$1,0)-4),装备属性!$A:$C,3,0),VLOOKUP(INDEX(英雄装备!$F:$BZ,MATCH($H50,英雄装备!$F:$F,0),MATCH(T$2,英雄装备!$1:$1,0)-3),装备属性!$A:$C,3,0),VLOOKUP(INDEX(英雄装备!$F:$BZ,MATCH($H50,英雄装备!$F:$F,0),MATCH(T$2,英雄装备!$1:$1,0)-2),装备属性!$A:$C,3,0),VLOOKUP(INDEX(英雄装备!$F:$BZ,MATCH($H50,英雄装备!$F:$F,0),MATCH(T$2,英雄装备!$1:$1,0)-1),装备属性!$A:$C,3,0))</f>
        <v>89</v>
      </c>
      <c r="V50" s="151">
        <v>9</v>
      </c>
      <c r="W50" s="151" t="str">
        <f>IF($V$2&lt;9,"","紫+2")</f>
        <v>紫+2</v>
      </c>
      <c r="X50" s="151" t="str">
        <f t="shared" si="6"/>
        <v>长笛</v>
      </c>
      <c r="Y50" s="151" t="str">
        <f t="shared" si="6"/>
        <v>深渊之刃</v>
      </c>
      <c r="Z50" s="151" t="str">
        <f t="shared" si="6"/>
        <v>秘银锤</v>
      </c>
      <c r="AA50" s="151" t="str">
        <f t="shared" si="6"/>
        <v>洛萨</v>
      </c>
      <c r="AB50" s="151" t="str">
        <f t="shared" si="6"/>
        <v>祭品</v>
      </c>
      <c r="AC50" s="151" t="str">
        <f t="shared" si="6"/>
        <v>飞鞋</v>
      </c>
      <c r="AF50" s="151">
        <v>5</v>
      </c>
      <c r="AG50" s="151" t="str">
        <f>AA5</f>
        <v>魔抗头巾</v>
      </c>
      <c r="AH50" s="151">
        <f>VLOOKUP($AG50,装备属性!$A:$Y,5,0)</f>
        <v>0</v>
      </c>
      <c r="AI50" s="151">
        <f>VLOOKUP($AG50,装备属性!$A:$Y,6,0)</f>
        <v>0</v>
      </c>
      <c r="AJ50" s="151">
        <f>VLOOKUP($AG50,装备属性!$A:$Y,7,0)</f>
        <v>0</v>
      </c>
      <c r="AK50" s="151">
        <f>VLOOKUP($AG50,装备属性!$A:$Y,8,0)</f>
        <v>0</v>
      </c>
      <c r="AL50" s="151">
        <f>VLOOKUP($AG50,装备属性!$A:$Y,9,0)</f>
        <v>0</v>
      </c>
      <c r="AM50" s="151">
        <f>VLOOKUP($AG50,装备属性!$A:$Y,10,0)</f>
        <v>0</v>
      </c>
      <c r="AN50" s="151">
        <f>VLOOKUP($AG50,装备属性!$A:$Y,11,0)</f>
        <v>0</v>
      </c>
      <c r="AO50" s="151">
        <f>VLOOKUP($AG50,装备属性!$A:$Y,12,0)</f>
        <v>12</v>
      </c>
      <c r="AP50" s="151">
        <f>VLOOKUP($AG50,装备属性!$A:$Y,13,0)</f>
        <v>0</v>
      </c>
      <c r="AQ50" s="151">
        <f>VLOOKUP($AG50,装备属性!$A:$Y,14,0)</f>
        <v>0</v>
      </c>
      <c r="AR50" s="151">
        <f>VLOOKUP($AG50,装备属性!$A:$Y,15,0)</f>
        <v>0</v>
      </c>
      <c r="AS50" s="151">
        <f>VLOOKUP($AG50,装备属性!$A:$Y,16,0)</f>
        <v>0</v>
      </c>
      <c r="AT50" s="151">
        <f>VLOOKUP($AG50,装备属性!$A:$Y,17,0)</f>
        <v>0</v>
      </c>
      <c r="AU50" s="151">
        <f>VLOOKUP($AG50,装备属性!$A:$Y,18,0)</f>
        <v>0</v>
      </c>
      <c r="AV50" s="151">
        <f>VLOOKUP($AG50,装备属性!$A:$Y,19,0)</f>
        <v>0</v>
      </c>
      <c r="AW50" s="151">
        <f>VLOOKUP($AG50,装备属性!$A:$Y,20,0)</f>
        <v>180</v>
      </c>
      <c r="AX50" s="151">
        <f>VLOOKUP($AG50,装备属性!$A:$Y,21,0)</f>
        <v>0</v>
      </c>
      <c r="AY50" s="151">
        <f>VLOOKUP($AG50,装备属性!$A:$Y,22,0)</f>
        <v>0</v>
      </c>
      <c r="AZ50" s="151">
        <f>VLOOKUP($AG50,装备属性!$A:$Y,23,0)</f>
        <v>0</v>
      </c>
      <c r="BA50" s="151">
        <f>VLOOKUP($AG50,装备属性!$A:$Y,24,0)</f>
        <v>0</v>
      </c>
      <c r="BB50" s="151">
        <f>VLOOKUP($AG50,装备属性!$A:$Y,25,0)</f>
        <v>0</v>
      </c>
    </row>
    <row r="51" spans="2:54">
      <c r="B51" s="186" t="s">
        <v>2129</v>
      </c>
      <c r="H51" s="119" t="s">
        <v>1814</v>
      </c>
      <c r="I51" s="51">
        <f>MAX(VLOOKUP(INDEX(英雄装备!$F:$BZ,MATCH($H51,英雄装备!$F:$F,0),MATCH(I$2,英雄装备!$1:$1,0)-5),装备属性!$A:$C,3,0),VLOOKUP(INDEX(英雄装备!$F:$BZ,MATCH($H51,英雄装备!$F:$F,0),MATCH(I$2,英雄装备!$1:$1,0)-4),装备属性!$A:$C,3,0),VLOOKUP(INDEX(英雄装备!$F:$BZ,MATCH($H51,英雄装备!$F:$F,0),MATCH(I$2,英雄装备!$1:$1,0)-3),装备属性!$A:$C,3,0),VLOOKUP(INDEX(英雄装备!$F:$BZ,MATCH($H51,英雄装备!$F:$F,0),MATCH(I$2,英雄装备!$1:$1,0)-2),装备属性!$A:$C,3,0),VLOOKUP(INDEX(英雄装备!$F:$BZ,MATCH($H51,英雄装备!$F:$F,0),MATCH(I$2,英雄装备!$1:$1,0)-1),装备属性!$A:$C,3,0),VLOOKUP(INDEX(英雄装备!$F:$BZ,MATCH($H51,英雄装备!$F:$F,0),MATCH(I$2,英雄装备!$1:$1,0)),装备属性!$A:$C,3,0))</f>
        <v>2</v>
      </c>
      <c r="J51" s="51">
        <f>MAX(VLOOKUP(INDEX(英雄装备!$F:$BZ,MATCH($H51,英雄装备!$F:$F,0),MATCH(J$2,英雄装备!$1:$1,0)-5),装备属性!$A:$C,3,0),VLOOKUP(INDEX(英雄装备!$F:$BZ,MATCH($H51,英雄装备!$F:$F,0),MATCH(J$2,英雄装备!$1:$1,0)-4),装备属性!$A:$C,3,0),VLOOKUP(INDEX(英雄装备!$F:$BZ,MATCH($H51,英雄装备!$F:$F,0),MATCH(J$2,英雄装备!$1:$1,0)-3),装备属性!$A:$C,3,0),VLOOKUP(INDEX(英雄装备!$F:$BZ,MATCH($H51,英雄装备!$F:$F,0),MATCH(J$2,英雄装备!$1:$1,0)-2),装备属性!$A:$C,3,0),VLOOKUP(INDEX(英雄装备!$F:$BZ,MATCH($H51,英雄装备!$F:$F,0),MATCH(J$2,英雄装备!$1:$1,0)-1),装备属性!$A:$C,3,0),VLOOKUP(INDEX(英雄装备!$F:$BZ,MATCH($H51,英雄装备!$F:$F,0),MATCH(J$2,英雄装备!$1:$1,0)),装备属性!$A:$C,3,0))</f>
        <v>12</v>
      </c>
      <c r="K51" s="51">
        <f>MAX(VLOOKUP(INDEX(英雄装备!$F:$BZ,MATCH($H51,英雄装备!$F:$F,0),MATCH(K$2,英雄装备!$1:$1,0)-5),装备属性!$A:$C,3,0),VLOOKUP(INDEX(英雄装备!$F:$BZ,MATCH($H51,英雄装备!$F:$F,0),MATCH(K$2,英雄装备!$1:$1,0)-4),装备属性!$A:$C,3,0),VLOOKUP(INDEX(英雄装备!$F:$BZ,MATCH($H51,英雄装备!$F:$F,0),MATCH(K$2,英雄装备!$1:$1,0)-3),装备属性!$A:$C,3,0),VLOOKUP(INDEX(英雄装备!$F:$BZ,MATCH($H51,英雄装备!$F:$F,0),MATCH(K$2,英雄装备!$1:$1,0)-2),装备属性!$A:$C,3,0),VLOOKUP(INDEX(英雄装备!$F:$BZ,MATCH($H51,英雄装备!$F:$F,0),MATCH(K$2,英雄装备!$1:$1,0)-1),装备属性!$A:$C,3,0),VLOOKUP(INDEX(英雄装备!$F:$BZ,MATCH($H51,英雄装备!$F:$F,0),MATCH(K$2,英雄装备!$1:$1,0)),装备属性!$A:$C,3,0))</f>
        <v>20</v>
      </c>
      <c r="L51" s="51">
        <f>MAX(VLOOKUP(INDEX(英雄装备!$F:$BZ,MATCH($H51,英雄装备!$F:$F,0),MATCH(L$2,英雄装备!$1:$1,0)-5),装备属性!$A:$C,3,0),VLOOKUP(INDEX(英雄装备!$F:$BZ,MATCH($H51,英雄装备!$F:$F,0),MATCH(L$2,英雄装备!$1:$1,0)-4),装备属性!$A:$C,3,0),VLOOKUP(INDEX(英雄装备!$F:$BZ,MATCH($H51,英雄装备!$F:$F,0),MATCH(L$2,英雄装备!$1:$1,0)-3),装备属性!$A:$C,3,0),VLOOKUP(INDEX(英雄装备!$F:$BZ,MATCH($H51,英雄装备!$F:$F,0),MATCH(L$2,英雄装备!$1:$1,0)-2),装备属性!$A:$C,3,0),VLOOKUP(INDEX(英雄装备!$F:$BZ,MATCH($H51,英雄装备!$F:$F,0),MATCH(L$2,英雄装备!$1:$1,0)-1),装备属性!$A:$C,3,0),VLOOKUP(INDEX(英雄装备!$F:$BZ,MATCH($H51,英雄装备!$F:$F,0),MATCH(L$2,英雄装备!$1:$1,0)),装备属性!$A:$C,3,0))</f>
        <v>36</v>
      </c>
      <c r="M51" s="51">
        <f>MAX(VLOOKUP(INDEX(英雄装备!$F:$BZ,MATCH($H51,英雄装备!$F:$F,0),MATCH(M$2,英雄装备!$1:$1,0)-5),装备属性!$A:$C,3,0),VLOOKUP(INDEX(英雄装备!$F:$BZ,MATCH($H51,英雄装备!$F:$F,0),MATCH(M$2,英雄装备!$1:$1,0)-4),装备属性!$A:$C,3,0),VLOOKUP(INDEX(英雄装备!$F:$BZ,MATCH($H51,英雄装备!$F:$F,0),MATCH(M$2,英雄装备!$1:$1,0)-3),装备属性!$A:$C,3,0),VLOOKUP(INDEX(英雄装备!$F:$BZ,MATCH($H51,英雄装备!$F:$F,0),MATCH(M$2,英雄装备!$1:$1,0)-2),装备属性!$A:$C,3,0),VLOOKUP(INDEX(英雄装备!$F:$BZ,MATCH($H51,英雄装备!$F:$F,0),MATCH(M$2,英雄装备!$1:$1,0)-1),装备属性!$A:$C,3,0),VLOOKUP(INDEX(英雄装备!$F:$BZ,MATCH($H51,英雄装备!$F:$F,0),MATCH(M$2,英雄装备!$1:$1,0)),装备属性!$A:$C,3,0))</f>
        <v>43</v>
      </c>
      <c r="N51" s="51">
        <f>MAX(VLOOKUP(INDEX(英雄装备!$F:$BZ,MATCH($H51,英雄装备!$F:$F,0),MATCH(N$2,英雄装备!$1:$1,0)-5),装备属性!$A:$C,3,0),VLOOKUP(INDEX(英雄装备!$F:$BZ,MATCH($H51,英雄装备!$F:$F,0),MATCH(N$2,英雄装备!$1:$1,0)-4),装备属性!$A:$C,3,0),VLOOKUP(INDEX(英雄装备!$F:$BZ,MATCH($H51,英雄装备!$F:$F,0),MATCH(N$2,英雄装备!$1:$1,0)-3),装备属性!$A:$C,3,0),VLOOKUP(INDEX(英雄装备!$F:$BZ,MATCH($H51,英雄装备!$F:$F,0),MATCH(N$2,英雄装备!$1:$1,0)-2),装备属性!$A:$C,3,0),VLOOKUP(INDEX(英雄装备!$F:$BZ,MATCH($H51,英雄装备!$F:$F,0),MATCH(N$2,英雄装备!$1:$1,0)-1),装备属性!$A:$C,3,0),VLOOKUP(INDEX(英雄装备!$F:$BZ,MATCH($H51,英雄装备!$F:$F,0),MATCH(N$2,英雄装备!$1:$1,0)),装备属性!$A:$C,3,0))</f>
        <v>51</v>
      </c>
      <c r="O51" s="51">
        <f>MAX(VLOOKUP(INDEX(英雄装备!$F:$BZ,MATCH($H51,英雄装备!$F:$F,0),MATCH(O$2,英雄装备!$1:$1,0)-5),装备属性!$A:$C,3,0),VLOOKUP(INDEX(英雄装备!$F:$BZ,MATCH($H51,英雄装备!$F:$F,0),MATCH(O$2,英雄装备!$1:$1,0)-4),装备属性!$A:$C,3,0),VLOOKUP(INDEX(英雄装备!$F:$BZ,MATCH($H51,英雄装备!$F:$F,0),MATCH(O$2,英雄装备!$1:$1,0)-3),装备属性!$A:$C,3,0),VLOOKUP(INDEX(英雄装备!$F:$BZ,MATCH($H51,英雄装备!$F:$F,0),MATCH(O$2,英雄装备!$1:$1,0)-2),装备属性!$A:$C,3,0),VLOOKUP(INDEX(英雄装备!$F:$BZ,MATCH($H51,英雄装备!$F:$F,0),MATCH(O$2,英雄装备!$1:$1,0)-1),装备属性!$A:$C,3,0),VLOOKUP(INDEX(英雄装备!$F:$BZ,MATCH($H51,英雄装备!$F:$F,0),MATCH(O$2,英雄装备!$1:$1,0)),装备属性!$A:$C,3,0))</f>
        <v>59</v>
      </c>
      <c r="P51" s="51">
        <f>MAX(VLOOKUP(INDEX(英雄装备!$F:$BZ,MATCH($H51,英雄装备!$F:$F,0),MATCH(P$2,英雄装备!$1:$1,0)-5),装备属性!$A:$C,3,0),VLOOKUP(INDEX(英雄装备!$F:$BZ,MATCH($H51,英雄装备!$F:$F,0),MATCH(P$2,英雄装备!$1:$1,0)-4),装备属性!$A:$C,3,0),VLOOKUP(INDEX(英雄装备!$F:$BZ,MATCH($H51,英雄装备!$F:$F,0),MATCH(P$2,英雄装备!$1:$1,0)-3),装备属性!$A:$C,3,0),VLOOKUP(INDEX(英雄装备!$F:$BZ,MATCH($H51,英雄装备!$F:$F,0),MATCH(P$2,英雄装备!$1:$1,0)-2),装备属性!$A:$C,3,0),VLOOKUP(INDEX(英雄装备!$F:$BZ,MATCH($H51,英雄装备!$F:$F,0),MATCH(P$2,英雄装备!$1:$1,0)-1),装备属性!$A:$C,3,0),VLOOKUP(INDEX(英雄装备!$F:$BZ,MATCH($H51,英雄装备!$F:$F,0),MATCH(P$2,英雄装备!$1:$1,0)),装备属性!$A:$C,3,0))</f>
        <v>70</v>
      </c>
      <c r="Q51" s="51">
        <f>MAX(VLOOKUP(INDEX(英雄装备!$F:$BZ,MATCH($H51,英雄装备!$F:$F,0),MATCH(Q$2,英雄装备!$1:$1,0)-5),装备属性!$A:$C,3,0),VLOOKUP(INDEX(英雄装备!$F:$BZ,MATCH($H51,英雄装备!$F:$F,0),MATCH(Q$2,英雄装备!$1:$1,0)-4),装备属性!$A:$C,3,0),VLOOKUP(INDEX(英雄装备!$F:$BZ,MATCH($H51,英雄装备!$F:$F,0),MATCH(Q$2,英雄装备!$1:$1,0)-3),装备属性!$A:$C,3,0),VLOOKUP(INDEX(英雄装备!$F:$BZ,MATCH($H51,英雄装备!$F:$F,0),MATCH(Q$2,英雄装备!$1:$1,0)-2),装备属性!$A:$C,3,0),VLOOKUP(INDEX(英雄装备!$F:$BZ,MATCH($H51,英雄装备!$F:$F,0),MATCH(Q$2,英雄装备!$1:$1,0)-1),装备属性!$A:$C,3,0),VLOOKUP(INDEX(英雄装备!$F:$BZ,MATCH($H51,英雄装备!$F:$F,0),MATCH(Q$2,英雄装备!$1:$1,0)),装备属性!$A:$C,3,0))</f>
        <v>80</v>
      </c>
      <c r="R51" s="51">
        <f>MAX(VLOOKUP(INDEX(英雄装备!$F:$BZ,MATCH($H51,英雄装备!$F:$F,0),MATCH(R$2,英雄装备!$1:$1,0)-5),装备属性!$A:$C,3,0),VLOOKUP(INDEX(英雄装备!$F:$BZ,MATCH($H51,英雄装备!$F:$F,0),MATCH(R$2,英雄装备!$1:$1,0)-4),装备属性!$A:$C,3,0),VLOOKUP(INDEX(英雄装备!$F:$BZ,MATCH($H51,英雄装备!$F:$F,0),MATCH(R$2,英雄装备!$1:$1,0)-3),装备属性!$A:$C,3,0),VLOOKUP(INDEX(英雄装备!$F:$BZ,MATCH($H51,英雄装备!$F:$F,0),MATCH(R$2,英雄装备!$1:$1,0)-2),装备属性!$A:$C,3,0),VLOOKUP(INDEX(英雄装备!$F:$BZ,MATCH($H51,英雄装备!$F:$F,0),MATCH(R$2,英雄装备!$1:$1,0)-1),装备属性!$A:$C,3,0),VLOOKUP(INDEX(英雄装备!$F:$BZ,MATCH($H51,英雄装备!$F:$F,0),MATCH(R$2,英雄装备!$1:$1,0)),装备属性!$A:$C,3,0))</f>
        <v>80</v>
      </c>
      <c r="S51" s="51">
        <f>MAX(VLOOKUP(INDEX(英雄装备!$F:$BZ,MATCH($H51,英雄装备!$F:$F,0),MATCH(S$2,英雄装备!$1:$1,0)-5),装备属性!$A:$C,3,0),VLOOKUP(INDEX(英雄装备!$F:$BZ,MATCH($H51,英雄装备!$F:$F,0),MATCH(S$2,英雄装备!$1:$1,0)-4),装备属性!$A:$C,3,0),VLOOKUP(INDEX(英雄装备!$F:$BZ,MATCH($H51,英雄装备!$F:$F,0),MATCH(S$2,英雄装备!$1:$1,0)-3),装备属性!$A:$C,3,0),VLOOKUP(INDEX(英雄装备!$F:$BZ,MATCH($H51,英雄装备!$F:$F,0),MATCH(S$2,英雄装备!$1:$1,0)-2),装备属性!$A:$C,3,0),VLOOKUP(INDEX(英雄装备!$F:$BZ,MATCH($H51,英雄装备!$F:$F,0),MATCH(S$2,英雄装备!$1:$1,0)-1),装备属性!$A:$C,3,0),VLOOKUP(INDEX(英雄装备!$F:$BZ,MATCH($H51,英雄装备!$F:$F,0),MATCH(S$2,英雄装备!$1:$1,0)),装备属性!$A:$C,3,0))</f>
        <v>85</v>
      </c>
      <c r="T51" s="51">
        <f>MAX(VLOOKUP(INDEX(英雄装备!$F:$BZ,MATCH($H51,英雄装备!$F:$F,0),MATCH(T$2,英雄装备!$1:$1,0)-5),装备属性!$A:$C,3,0),VLOOKUP(INDEX(英雄装备!$F:$BZ,MATCH($H51,英雄装备!$F:$F,0),MATCH(T$2,英雄装备!$1:$1,0)-4),装备属性!$A:$C,3,0),VLOOKUP(INDEX(英雄装备!$F:$BZ,MATCH($H51,英雄装备!$F:$F,0),MATCH(T$2,英雄装备!$1:$1,0)-3),装备属性!$A:$C,3,0),VLOOKUP(INDEX(英雄装备!$F:$BZ,MATCH($H51,英雄装备!$F:$F,0),MATCH(T$2,英雄装备!$1:$1,0)-2),装备属性!$A:$C,3,0),VLOOKUP(INDEX(英雄装备!$F:$BZ,MATCH($H51,英雄装备!$F:$F,0),MATCH(T$2,英雄装备!$1:$1,0)-1),装备属性!$A:$C,3,0))</f>
        <v>88</v>
      </c>
      <c r="V51" s="151">
        <v>10</v>
      </c>
      <c r="W51" s="151" t="str">
        <f>IF($V$2&lt;10,"","紫+3")</f>
        <v>紫+3</v>
      </c>
      <c r="X51" s="151" t="str">
        <f t="shared" si="6"/>
        <v>大炮</v>
      </c>
      <c r="Y51" s="151" t="str">
        <f t="shared" si="6"/>
        <v>金箍棒</v>
      </c>
      <c r="Z51" s="151" t="str">
        <f t="shared" si="6"/>
        <v>龙心</v>
      </c>
      <c r="AA51" s="151" t="str">
        <f t="shared" si="6"/>
        <v>黑黄</v>
      </c>
      <c r="AB51" s="151" t="str">
        <f t="shared" si="6"/>
        <v>冲锋盾</v>
      </c>
      <c r="AC51" s="151" t="str">
        <f t="shared" si="6"/>
        <v>飞鞋</v>
      </c>
      <c r="AF51" s="151">
        <v>5</v>
      </c>
      <c r="AG51" s="151" t="str">
        <f>AB5</f>
        <v>天鹰之戒</v>
      </c>
      <c r="AH51" s="151">
        <f>VLOOKUP($AG51,装备属性!$A:$Y,5,0)</f>
        <v>3</v>
      </c>
      <c r="AI51" s="151">
        <f>VLOOKUP($AG51,装备属性!$A:$Y,6,0)</f>
        <v>3</v>
      </c>
      <c r="AJ51" s="151">
        <f>VLOOKUP($AG51,装备属性!$A:$Y,7,0)</f>
        <v>3</v>
      </c>
      <c r="AK51" s="151">
        <f>VLOOKUP($AG51,装备属性!$A:$Y,8,0)</f>
        <v>0</v>
      </c>
      <c r="AL51" s="151">
        <f>VLOOKUP($AG51,装备属性!$A:$Y,9,0)</f>
        <v>0</v>
      </c>
      <c r="AM51" s="151">
        <f>VLOOKUP($AG51,装备属性!$A:$Y,10,0)</f>
        <v>0</v>
      </c>
      <c r="AN51" s="151">
        <f>VLOOKUP($AG51,装备属性!$A:$Y,11,0)</f>
        <v>3</v>
      </c>
      <c r="AO51" s="151">
        <f>VLOOKUP($AG51,装备属性!$A:$Y,12,0)</f>
        <v>0</v>
      </c>
      <c r="AP51" s="151">
        <f>VLOOKUP($AG51,装备属性!$A:$Y,13,0)</f>
        <v>0</v>
      </c>
      <c r="AQ51" s="151">
        <f>VLOOKUP($AG51,装备属性!$A:$Y,14,0)</f>
        <v>0</v>
      </c>
      <c r="AR51" s="151">
        <f>VLOOKUP($AG51,装备属性!$A:$Y,15,0)</f>
        <v>0</v>
      </c>
      <c r="AS51" s="151">
        <f>VLOOKUP($AG51,装备属性!$A:$Y,16,0)</f>
        <v>0</v>
      </c>
      <c r="AT51" s="151">
        <f>VLOOKUP($AG51,装备属性!$A:$Y,17,0)</f>
        <v>0</v>
      </c>
      <c r="AU51" s="151">
        <f>VLOOKUP($AG51,装备属性!$A:$Y,18,0)</f>
        <v>0</v>
      </c>
      <c r="AV51" s="151">
        <f>VLOOKUP($AG51,装备属性!$A:$Y,19,0)</f>
        <v>0</v>
      </c>
      <c r="AW51" s="151">
        <f>VLOOKUP($AG51,装备属性!$A:$Y,20,0)</f>
        <v>0</v>
      </c>
      <c r="AX51" s="151">
        <f>VLOOKUP($AG51,装备属性!$A:$Y,21,0)</f>
        <v>32</v>
      </c>
      <c r="AY51" s="151">
        <f>VLOOKUP($AG51,装备属性!$A:$Y,22,0)</f>
        <v>0</v>
      </c>
      <c r="AZ51" s="151">
        <f>VLOOKUP($AG51,装备属性!$A:$Y,23,0)</f>
        <v>0</v>
      </c>
      <c r="BA51" s="151">
        <f>VLOOKUP($AG51,装备属性!$A:$Y,24,0)</f>
        <v>0</v>
      </c>
      <c r="BB51" s="151">
        <f>VLOOKUP($AG51,装备属性!$A:$Y,25,0)</f>
        <v>0</v>
      </c>
    </row>
    <row r="52" spans="2:54">
      <c r="H52" s="119" t="s">
        <v>2012</v>
      </c>
      <c r="I52" s="51">
        <f>MAX(VLOOKUP(INDEX(英雄装备!$F:$BZ,MATCH($H52,英雄装备!$F:$F,0),MATCH(I$2,英雄装备!$1:$1,0)-5),装备属性!$A:$C,3,0),VLOOKUP(INDEX(英雄装备!$F:$BZ,MATCH($H52,英雄装备!$F:$F,0),MATCH(I$2,英雄装备!$1:$1,0)-4),装备属性!$A:$C,3,0),VLOOKUP(INDEX(英雄装备!$F:$BZ,MATCH($H52,英雄装备!$F:$F,0),MATCH(I$2,英雄装备!$1:$1,0)-3),装备属性!$A:$C,3,0),VLOOKUP(INDEX(英雄装备!$F:$BZ,MATCH($H52,英雄装备!$F:$F,0),MATCH(I$2,英雄装备!$1:$1,0)-2),装备属性!$A:$C,3,0),VLOOKUP(INDEX(英雄装备!$F:$BZ,MATCH($H52,英雄装备!$F:$F,0),MATCH(I$2,英雄装备!$1:$1,0)-1),装备属性!$A:$C,3,0),VLOOKUP(INDEX(英雄装备!$F:$BZ,MATCH($H52,英雄装备!$F:$F,0),MATCH(I$2,英雄装备!$1:$1,0)),装备属性!$A:$C,3,0))</f>
        <v>2</v>
      </c>
      <c r="J52" s="51">
        <f>MAX(VLOOKUP(INDEX(英雄装备!$F:$BZ,MATCH($H52,英雄装备!$F:$F,0),MATCH(J$2,英雄装备!$1:$1,0)-5),装备属性!$A:$C,3,0),VLOOKUP(INDEX(英雄装备!$F:$BZ,MATCH($H52,英雄装备!$F:$F,0),MATCH(J$2,英雄装备!$1:$1,0)-4),装备属性!$A:$C,3,0),VLOOKUP(INDEX(英雄装备!$F:$BZ,MATCH($H52,英雄装备!$F:$F,0),MATCH(J$2,英雄装备!$1:$1,0)-3),装备属性!$A:$C,3,0),VLOOKUP(INDEX(英雄装备!$F:$BZ,MATCH($H52,英雄装备!$F:$F,0),MATCH(J$2,英雄装备!$1:$1,0)-2),装备属性!$A:$C,3,0),VLOOKUP(INDEX(英雄装备!$F:$BZ,MATCH($H52,英雄装备!$F:$F,0),MATCH(J$2,英雄装备!$1:$1,0)-1),装备属性!$A:$C,3,0),VLOOKUP(INDEX(英雄装备!$F:$BZ,MATCH($H52,英雄装备!$F:$F,0),MATCH(J$2,英雄装备!$1:$1,0)),装备属性!$A:$C,3,0))</f>
        <v>10</v>
      </c>
      <c r="K52" s="51">
        <f>MAX(VLOOKUP(INDEX(英雄装备!$F:$BZ,MATCH($H52,英雄装备!$F:$F,0),MATCH(K$2,英雄装备!$1:$1,0)-5),装备属性!$A:$C,3,0),VLOOKUP(INDEX(英雄装备!$F:$BZ,MATCH($H52,英雄装备!$F:$F,0),MATCH(K$2,英雄装备!$1:$1,0)-4),装备属性!$A:$C,3,0),VLOOKUP(INDEX(英雄装备!$F:$BZ,MATCH($H52,英雄装备!$F:$F,0),MATCH(K$2,英雄装备!$1:$1,0)-3),装备属性!$A:$C,3,0),VLOOKUP(INDEX(英雄装备!$F:$BZ,MATCH($H52,英雄装备!$F:$F,0),MATCH(K$2,英雄装备!$1:$1,0)-2),装备属性!$A:$C,3,0),VLOOKUP(INDEX(英雄装备!$F:$BZ,MATCH($H52,英雄装备!$F:$F,0),MATCH(K$2,英雄装备!$1:$1,0)-1),装备属性!$A:$C,3,0),VLOOKUP(INDEX(英雄装备!$F:$BZ,MATCH($H52,英雄装备!$F:$F,0),MATCH(K$2,英雄装备!$1:$1,0)),装备属性!$A:$C,3,0))</f>
        <v>20</v>
      </c>
      <c r="L52" s="51">
        <f>MAX(VLOOKUP(INDEX(英雄装备!$F:$BZ,MATCH($H52,英雄装备!$F:$F,0),MATCH(L$2,英雄装备!$1:$1,0)-5),装备属性!$A:$C,3,0),VLOOKUP(INDEX(英雄装备!$F:$BZ,MATCH($H52,英雄装备!$F:$F,0),MATCH(L$2,英雄装备!$1:$1,0)-4),装备属性!$A:$C,3,0),VLOOKUP(INDEX(英雄装备!$F:$BZ,MATCH($H52,英雄装备!$F:$F,0),MATCH(L$2,英雄装备!$1:$1,0)-3),装备属性!$A:$C,3,0),VLOOKUP(INDEX(英雄装备!$F:$BZ,MATCH($H52,英雄装备!$F:$F,0),MATCH(L$2,英雄装备!$1:$1,0)-2),装备属性!$A:$C,3,0),VLOOKUP(INDEX(英雄装备!$F:$BZ,MATCH($H52,英雄装备!$F:$F,0),MATCH(L$2,英雄装备!$1:$1,0)-1),装备属性!$A:$C,3,0),VLOOKUP(INDEX(英雄装备!$F:$BZ,MATCH($H52,英雄装备!$F:$F,0),MATCH(L$2,英雄装备!$1:$1,0)),装备属性!$A:$C,3,0))</f>
        <v>35</v>
      </c>
      <c r="M52" s="51">
        <f>MAX(VLOOKUP(INDEX(英雄装备!$F:$BZ,MATCH($H52,英雄装备!$F:$F,0),MATCH(M$2,英雄装备!$1:$1,0)-5),装备属性!$A:$C,3,0),VLOOKUP(INDEX(英雄装备!$F:$BZ,MATCH($H52,英雄装备!$F:$F,0),MATCH(M$2,英雄装备!$1:$1,0)-4),装备属性!$A:$C,3,0),VLOOKUP(INDEX(英雄装备!$F:$BZ,MATCH($H52,英雄装备!$F:$F,0),MATCH(M$2,英雄装备!$1:$1,0)-3),装备属性!$A:$C,3,0),VLOOKUP(INDEX(英雄装备!$F:$BZ,MATCH($H52,英雄装备!$F:$F,0),MATCH(M$2,英雄装备!$1:$1,0)-2),装备属性!$A:$C,3,0),VLOOKUP(INDEX(英雄装备!$F:$BZ,MATCH($H52,英雄装备!$F:$F,0),MATCH(M$2,英雄装备!$1:$1,0)-1),装备属性!$A:$C,3,0),VLOOKUP(INDEX(英雄装备!$F:$BZ,MATCH($H52,英雄装备!$F:$F,0),MATCH(M$2,英雄装备!$1:$1,0)),装备属性!$A:$C,3,0))</f>
        <v>44</v>
      </c>
      <c r="N52" s="51">
        <f>MAX(VLOOKUP(INDEX(英雄装备!$F:$BZ,MATCH($H52,英雄装备!$F:$F,0),MATCH(N$2,英雄装备!$1:$1,0)-5),装备属性!$A:$C,3,0),VLOOKUP(INDEX(英雄装备!$F:$BZ,MATCH($H52,英雄装备!$F:$F,0),MATCH(N$2,英雄装备!$1:$1,0)-4),装备属性!$A:$C,3,0),VLOOKUP(INDEX(英雄装备!$F:$BZ,MATCH($H52,英雄装备!$F:$F,0),MATCH(N$2,英雄装备!$1:$1,0)-3),装备属性!$A:$C,3,0),VLOOKUP(INDEX(英雄装备!$F:$BZ,MATCH($H52,英雄装备!$F:$F,0),MATCH(N$2,英雄装备!$1:$1,0)-2),装备属性!$A:$C,3,0),VLOOKUP(INDEX(英雄装备!$F:$BZ,MATCH($H52,英雄装备!$F:$F,0),MATCH(N$2,英雄装备!$1:$1,0)-1),装备属性!$A:$C,3,0),VLOOKUP(INDEX(英雄装备!$F:$BZ,MATCH($H52,英雄装备!$F:$F,0),MATCH(N$2,英雄装备!$1:$1,0)),装备属性!$A:$C,3,0))</f>
        <v>53</v>
      </c>
      <c r="O52" s="51">
        <f>MAX(VLOOKUP(INDEX(英雄装备!$F:$BZ,MATCH($H52,英雄装备!$F:$F,0),MATCH(O$2,英雄装备!$1:$1,0)-5),装备属性!$A:$C,3,0),VLOOKUP(INDEX(英雄装备!$F:$BZ,MATCH($H52,英雄装备!$F:$F,0),MATCH(O$2,英雄装备!$1:$1,0)-4),装备属性!$A:$C,3,0),VLOOKUP(INDEX(英雄装备!$F:$BZ,MATCH($H52,英雄装备!$F:$F,0),MATCH(O$2,英雄装备!$1:$1,0)-3),装备属性!$A:$C,3,0),VLOOKUP(INDEX(英雄装备!$F:$BZ,MATCH($H52,英雄装备!$F:$F,0),MATCH(O$2,英雄装备!$1:$1,0)-2),装备属性!$A:$C,3,0),VLOOKUP(INDEX(英雄装备!$F:$BZ,MATCH($H52,英雄装备!$F:$F,0),MATCH(O$2,英雄装备!$1:$1,0)-1),装备属性!$A:$C,3,0),VLOOKUP(INDEX(英雄装备!$F:$BZ,MATCH($H52,英雄装备!$F:$F,0),MATCH(O$2,英雄装备!$1:$1,0)),装备属性!$A:$C,3,0))</f>
        <v>64</v>
      </c>
      <c r="P52" s="51">
        <f>MAX(VLOOKUP(INDEX(英雄装备!$F:$BZ,MATCH($H52,英雄装备!$F:$F,0),MATCH(P$2,英雄装备!$1:$1,0)-5),装备属性!$A:$C,3,0),VLOOKUP(INDEX(英雄装备!$F:$BZ,MATCH($H52,英雄装备!$F:$F,0),MATCH(P$2,英雄装备!$1:$1,0)-4),装备属性!$A:$C,3,0),VLOOKUP(INDEX(英雄装备!$F:$BZ,MATCH($H52,英雄装备!$F:$F,0),MATCH(P$2,英雄装备!$1:$1,0)-3),装备属性!$A:$C,3,0),VLOOKUP(INDEX(英雄装备!$F:$BZ,MATCH($H52,英雄装备!$F:$F,0),MATCH(P$2,英雄装备!$1:$1,0)-2),装备属性!$A:$C,3,0),VLOOKUP(INDEX(英雄装备!$F:$BZ,MATCH($H52,英雄装备!$F:$F,0),MATCH(P$2,英雄装备!$1:$1,0)-1),装备属性!$A:$C,3,0),VLOOKUP(INDEX(英雄装备!$F:$BZ,MATCH($H52,英雄装备!$F:$F,0),MATCH(P$2,英雄装备!$1:$1,0)),装备属性!$A:$C,3,0))</f>
        <v>73</v>
      </c>
      <c r="Q52" s="51">
        <f>MAX(VLOOKUP(INDEX(英雄装备!$F:$BZ,MATCH($H52,英雄装备!$F:$F,0),MATCH(Q$2,英雄装备!$1:$1,0)-5),装备属性!$A:$C,3,0),VLOOKUP(INDEX(英雄装备!$F:$BZ,MATCH($H52,英雄装备!$F:$F,0),MATCH(Q$2,英雄装备!$1:$1,0)-4),装备属性!$A:$C,3,0),VLOOKUP(INDEX(英雄装备!$F:$BZ,MATCH($H52,英雄装备!$F:$F,0),MATCH(Q$2,英雄装备!$1:$1,0)-3),装备属性!$A:$C,3,0),VLOOKUP(INDEX(英雄装备!$F:$BZ,MATCH($H52,英雄装备!$F:$F,0),MATCH(Q$2,英雄装备!$1:$1,0)-2),装备属性!$A:$C,3,0),VLOOKUP(INDEX(英雄装备!$F:$BZ,MATCH($H52,英雄装备!$F:$F,0),MATCH(Q$2,英雄装备!$1:$1,0)-1),装备属性!$A:$C,3,0),VLOOKUP(INDEX(英雄装备!$F:$BZ,MATCH($H52,英雄装备!$F:$F,0),MATCH(Q$2,英雄装备!$1:$1,0)),装备属性!$A:$C,3,0))</f>
        <v>79</v>
      </c>
      <c r="R52" s="51">
        <f>MAX(VLOOKUP(INDEX(英雄装备!$F:$BZ,MATCH($H52,英雄装备!$F:$F,0),MATCH(R$2,英雄装备!$1:$1,0)-5),装备属性!$A:$C,3,0),VLOOKUP(INDEX(英雄装备!$F:$BZ,MATCH($H52,英雄装备!$F:$F,0),MATCH(R$2,英雄装备!$1:$1,0)-4),装备属性!$A:$C,3,0),VLOOKUP(INDEX(英雄装备!$F:$BZ,MATCH($H52,英雄装备!$F:$F,0),MATCH(R$2,英雄装备!$1:$1,0)-3),装备属性!$A:$C,3,0),VLOOKUP(INDEX(英雄装备!$F:$BZ,MATCH($H52,英雄装备!$F:$F,0),MATCH(R$2,英雄装备!$1:$1,0)-2),装备属性!$A:$C,3,0),VLOOKUP(INDEX(英雄装备!$F:$BZ,MATCH($H52,英雄装备!$F:$F,0),MATCH(R$2,英雄装备!$1:$1,0)-1),装备属性!$A:$C,3,0),VLOOKUP(INDEX(英雄装备!$F:$BZ,MATCH($H52,英雄装备!$F:$F,0),MATCH(R$2,英雄装备!$1:$1,0)),装备属性!$A:$C,3,0))</f>
        <v>72</v>
      </c>
      <c r="S52" s="51">
        <f>MAX(VLOOKUP(INDEX(英雄装备!$F:$BZ,MATCH($H52,英雄装备!$F:$F,0),MATCH(S$2,英雄装备!$1:$1,0)-5),装备属性!$A:$C,3,0),VLOOKUP(INDEX(英雄装备!$F:$BZ,MATCH($H52,英雄装备!$F:$F,0),MATCH(S$2,英雄装备!$1:$1,0)-4),装备属性!$A:$C,3,0),VLOOKUP(INDEX(英雄装备!$F:$BZ,MATCH($H52,英雄装备!$F:$F,0),MATCH(S$2,英雄装备!$1:$1,0)-3),装备属性!$A:$C,3,0),VLOOKUP(INDEX(英雄装备!$F:$BZ,MATCH($H52,英雄装备!$F:$F,0),MATCH(S$2,英雄装备!$1:$1,0)-2),装备属性!$A:$C,3,0),VLOOKUP(INDEX(英雄装备!$F:$BZ,MATCH($H52,英雄装备!$F:$F,0),MATCH(S$2,英雄装备!$1:$1,0)-1),装备属性!$A:$C,3,0),VLOOKUP(INDEX(英雄装备!$F:$BZ,MATCH($H52,英雄装备!$F:$F,0),MATCH(S$2,英雄装备!$1:$1,0)),装备属性!$A:$C,3,0))</f>
        <v>84</v>
      </c>
      <c r="T52" s="51">
        <f>MAX(VLOOKUP(INDEX(英雄装备!$F:$BZ,MATCH($H52,英雄装备!$F:$F,0),MATCH(T$2,英雄装备!$1:$1,0)-5),装备属性!$A:$C,3,0),VLOOKUP(INDEX(英雄装备!$F:$BZ,MATCH($H52,英雄装备!$F:$F,0),MATCH(T$2,英雄装备!$1:$1,0)-4),装备属性!$A:$C,3,0),VLOOKUP(INDEX(英雄装备!$F:$BZ,MATCH($H52,英雄装备!$F:$F,0),MATCH(T$2,英雄装备!$1:$1,0)-3),装备属性!$A:$C,3,0),VLOOKUP(INDEX(英雄装备!$F:$BZ,MATCH($H52,英雄装备!$F:$F,0),MATCH(T$2,英雄装备!$1:$1,0)-2),装备属性!$A:$C,3,0),VLOOKUP(INDEX(英雄装备!$F:$BZ,MATCH($H52,英雄装备!$F:$F,0),MATCH(T$2,英雄装备!$1:$1,0)-1),装备属性!$A:$C,3,0))</f>
        <v>89</v>
      </c>
      <c r="V52" s="151">
        <v>11</v>
      </c>
      <c r="W52" s="151" t="str">
        <f>IF($V$2&lt;11,"","紫+4")</f>
        <v>紫+4</v>
      </c>
      <c r="X52" s="151" t="str">
        <f t="shared" si="6"/>
        <v>欺诈者之剑</v>
      </c>
      <c r="Y52" s="151" t="str">
        <f t="shared" si="6"/>
        <v>鹰羽指环</v>
      </c>
      <c r="Z52" s="151" t="str">
        <f t="shared" si="6"/>
        <v>撒旦</v>
      </c>
      <c r="AA52" s="151" t="str">
        <f t="shared" si="6"/>
        <v>龙心</v>
      </c>
      <c r="AB52" s="151" t="str">
        <f t="shared" si="6"/>
        <v>射手指环</v>
      </c>
      <c r="AC52" s="151" t="str">
        <f t="shared" si="6"/>
        <v>疾行鞋</v>
      </c>
      <c r="AF52" s="151">
        <v>5</v>
      </c>
      <c r="AG52" s="151" t="str">
        <f>AC5</f>
        <v>相位鞋</v>
      </c>
      <c r="AH52" s="151">
        <f>VLOOKUP($AG52,装备属性!$A:$Y,5,0)</f>
        <v>9</v>
      </c>
      <c r="AI52" s="151">
        <f>VLOOKUP($AG52,装备属性!$A:$Y,6,0)</f>
        <v>9</v>
      </c>
      <c r="AJ52" s="151">
        <f>VLOOKUP($AG52,装备属性!$A:$Y,7,0)</f>
        <v>9</v>
      </c>
      <c r="AK52" s="151">
        <f>VLOOKUP($AG52,装备属性!$A:$Y,8,0)</f>
        <v>0</v>
      </c>
      <c r="AL52" s="151">
        <f>VLOOKUP($AG52,装备属性!$A:$Y,9,0)</f>
        <v>24</v>
      </c>
      <c r="AM52" s="151">
        <f>VLOOKUP($AG52,装备属性!$A:$Y,10,0)</f>
        <v>0</v>
      </c>
      <c r="AN52" s="151">
        <f>VLOOKUP($AG52,装备属性!$A:$Y,11,0)</f>
        <v>0</v>
      </c>
      <c r="AO52" s="151">
        <f>VLOOKUP($AG52,装备属性!$A:$Y,12,0)</f>
        <v>0</v>
      </c>
      <c r="AP52" s="151">
        <f>VLOOKUP($AG52,装备属性!$A:$Y,13,0)</f>
        <v>0</v>
      </c>
      <c r="AQ52" s="151">
        <f>VLOOKUP($AG52,装备属性!$A:$Y,14,0)</f>
        <v>0</v>
      </c>
      <c r="AR52" s="151">
        <f>VLOOKUP($AG52,装备属性!$A:$Y,15,0)</f>
        <v>0</v>
      </c>
      <c r="AS52" s="151">
        <f>VLOOKUP($AG52,装备属性!$A:$Y,16,0)</f>
        <v>0</v>
      </c>
      <c r="AT52" s="151">
        <f>VLOOKUP($AG52,装备属性!$A:$Y,17,0)</f>
        <v>0</v>
      </c>
      <c r="AU52" s="151">
        <f>VLOOKUP($AG52,装备属性!$A:$Y,18,0)</f>
        <v>0</v>
      </c>
      <c r="AV52" s="151">
        <f>VLOOKUP($AG52,装备属性!$A:$Y,19,0)</f>
        <v>0</v>
      </c>
      <c r="AW52" s="151">
        <f>VLOOKUP($AG52,装备属性!$A:$Y,20,0)</f>
        <v>0</v>
      </c>
      <c r="AX52" s="151">
        <f>VLOOKUP($AG52,装备属性!$A:$Y,21,0)</f>
        <v>0</v>
      </c>
      <c r="AY52" s="151">
        <f>VLOOKUP($AG52,装备属性!$A:$Y,22,0)</f>
        <v>0</v>
      </c>
      <c r="AZ52" s="151">
        <f>VLOOKUP($AG52,装备属性!$A:$Y,23,0)</f>
        <v>0</v>
      </c>
      <c r="BA52" s="151">
        <f>VLOOKUP($AG52,装备属性!$A:$Y,24,0)</f>
        <v>0</v>
      </c>
      <c r="BB52" s="151">
        <f>VLOOKUP($AG52,装备属性!$A:$Y,25,0)</f>
        <v>0</v>
      </c>
    </row>
    <row r="53" spans="2:54">
      <c r="H53" s="119" t="s">
        <v>2129</v>
      </c>
      <c r="I53" s="51">
        <f>MAX(VLOOKUP(INDEX(英雄装备!$F:$BZ,MATCH($H53,英雄装备!$F:$F,0),MATCH(I$2,英雄装备!$1:$1,0)-5),装备属性!$A:$C,3,0),VLOOKUP(INDEX(英雄装备!$F:$BZ,MATCH($H53,英雄装备!$F:$F,0),MATCH(I$2,英雄装备!$1:$1,0)-4),装备属性!$A:$C,3,0),VLOOKUP(INDEX(英雄装备!$F:$BZ,MATCH($H53,英雄装备!$F:$F,0),MATCH(I$2,英雄装备!$1:$1,0)-3),装备属性!$A:$C,3,0),VLOOKUP(INDEX(英雄装备!$F:$BZ,MATCH($H53,英雄装备!$F:$F,0),MATCH(I$2,英雄装备!$1:$1,0)-2),装备属性!$A:$C,3,0),VLOOKUP(INDEX(英雄装备!$F:$BZ,MATCH($H53,英雄装备!$F:$F,0),MATCH(I$2,英雄装备!$1:$1,0)-1),装备属性!$A:$C,3,0),VLOOKUP(INDEX(英雄装备!$F:$BZ,MATCH($H53,英雄装备!$F:$F,0),MATCH(I$2,英雄装备!$1:$1,0)),装备属性!$A:$C,3,0))</f>
        <v>2</v>
      </c>
      <c r="J53" s="51">
        <f>MAX(VLOOKUP(INDEX(英雄装备!$F:$BZ,MATCH($H53,英雄装备!$F:$F,0),MATCH(J$2,英雄装备!$1:$1,0)-5),装备属性!$A:$C,3,0),VLOOKUP(INDEX(英雄装备!$F:$BZ,MATCH($H53,英雄装备!$F:$F,0),MATCH(J$2,英雄装备!$1:$1,0)-4),装备属性!$A:$C,3,0),VLOOKUP(INDEX(英雄装备!$F:$BZ,MATCH($H53,英雄装备!$F:$F,0),MATCH(J$2,英雄装备!$1:$1,0)-3),装备属性!$A:$C,3,0),VLOOKUP(INDEX(英雄装备!$F:$BZ,MATCH($H53,英雄装备!$F:$F,0),MATCH(J$2,英雄装备!$1:$1,0)-2),装备属性!$A:$C,3,0),VLOOKUP(INDEX(英雄装备!$F:$BZ,MATCH($H53,英雄装备!$F:$F,0),MATCH(J$2,英雄装备!$1:$1,0)-1),装备属性!$A:$C,3,0),VLOOKUP(INDEX(英雄装备!$F:$BZ,MATCH($H53,英雄装备!$F:$F,0),MATCH(J$2,英雄装备!$1:$1,0)),装备属性!$A:$C,3,0))</f>
        <v>12</v>
      </c>
      <c r="K53" s="51">
        <f>MAX(VLOOKUP(INDEX(英雄装备!$F:$BZ,MATCH($H53,英雄装备!$F:$F,0),MATCH(K$2,英雄装备!$1:$1,0)-5),装备属性!$A:$C,3,0),VLOOKUP(INDEX(英雄装备!$F:$BZ,MATCH($H53,英雄装备!$F:$F,0),MATCH(K$2,英雄装备!$1:$1,0)-4),装备属性!$A:$C,3,0),VLOOKUP(INDEX(英雄装备!$F:$BZ,MATCH($H53,英雄装备!$F:$F,0),MATCH(K$2,英雄装备!$1:$1,0)-3),装备属性!$A:$C,3,0),VLOOKUP(INDEX(英雄装备!$F:$BZ,MATCH($H53,英雄装备!$F:$F,0),MATCH(K$2,英雄装备!$1:$1,0)-2),装备属性!$A:$C,3,0),VLOOKUP(INDEX(英雄装备!$F:$BZ,MATCH($H53,英雄装备!$F:$F,0),MATCH(K$2,英雄装备!$1:$1,0)-1),装备属性!$A:$C,3,0),VLOOKUP(INDEX(英雄装备!$F:$BZ,MATCH($H53,英雄装备!$F:$F,0),MATCH(K$2,英雄装备!$1:$1,0)),装备属性!$A:$C,3,0))</f>
        <v>20</v>
      </c>
      <c r="L53" s="51">
        <f>MAX(VLOOKUP(INDEX(英雄装备!$F:$BZ,MATCH($H53,英雄装备!$F:$F,0),MATCH(L$2,英雄装备!$1:$1,0)-5),装备属性!$A:$C,3,0),VLOOKUP(INDEX(英雄装备!$F:$BZ,MATCH($H53,英雄装备!$F:$F,0),MATCH(L$2,英雄装备!$1:$1,0)-4),装备属性!$A:$C,3,0),VLOOKUP(INDEX(英雄装备!$F:$BZ,MATCH($H53,英雄装备!$F:$F,0),MATCH(L$2,英雄装备!$1:$1,0)-3),装备属性!$A:$C,3,0),VLOOKUP(INDEX(英雄装备!$F:$BZ,MATCH($H53,英雄装备!$F:$F,0),MATCH(L$2,英雄装备!$1:$1,0)-2),装备属性!$A:$C,3,0),VLOOKUP(INDEX(英雄装备!$F:$BZ,MATCH($H53,英雄装备!$F:$F,0),MATCH(L$2,英雄装备!$1:$1,0)-1),装备属性!$A:$C,3,0),VLOOKUP(INDEX(英雄装备!$F:$BZ,MATCH($H53,英雄装备!$F:$F,0),MATCH(L$2,英雄装备!$1:$1,0)),装备属性!$A:$C,3,0))</f>
        <v>35</v>
      </c>
      <c r="M53" s="51">
        <f>MAX(VLOOKUP(INDEX(英雄装备!$F:$BZ,MATCH($H53,英雄装备!$F:$F,0),MATCH(M$2,英雄装备!$1:$1,0)-5),装备属性!$A:$C,3,0),VLOOKUP(INDEX(英雄装备!$F:$BZ,MATCH($H53,英雄装备!$F:$F,0),MATCH(M$2,英雄装备!$1:$1,0)-4),装备属性!$A:$C,3,0),VLOOKUP(INDEX(英雄装备!$F:$BZ,MATCH($H53,英雄装备!$F:$F,0),MATCH(M$2,英雄装备!$1:$1,0)-3),装备属性!$A:$C,3,0),VLOOKUP(INDEX(英雄装备!$F:$BZ,MATCH($H53,英雄装备!$F:$F,0),MATCH(M$2,英雄装备!$1:$1,0)-2),装备属性!$A:$C,3,0),VLOOKUP(INDEX(英雄装备!$F:$BZ,MATCH($H53,英雄装备!$F:$F,0),MATCH(M$2,英雄装备!$1:$1,0)-1),装备属性!$A:$C,3,0),VLOOKUP(INDEX(英雄装备!$F:$BZ,MATCH($H53,英雄装备!$F:$F,0),MATCH(M$2,英雄装备!$1:$1,0)),装备属性!$A:$C,3,0))</f>
        <v>43</v>
      </c>
      <c r="N53" s="51">
        <f>MAX(VLOOKUP(INDEX(英雄装备!$F:$BZ,MATCH($H53,英雄装备!$F:$F,0),MATCH(N$2,英雄装备!$1:$1,0)-5),装备属性!$A:$C,3,0),VLOOKUP(INDEX(英雄装备!$F:$BZ,MATCH($H53,英雄装备!$F:$F,0),MATCH(N$2,英雄装备!$1:$1,0)-4),装备属性!$A:$C,3,0),VLOOKUP(INDEX(英雄装备!$F:$BZ,MATCH($H53,英雄装备!$F:$F,0),MATCH(N$2,英雄装备!$1:$1,0)-3),装备属性!$A:$C,3,0),VLOOKUP(INDEX(英雄装备!$F:$BZ,MATCH($H53,英雄装备!$F:$F,0),MATCH(N$2,英雄装备!$1:$1,0)-2),装备属性!$A:$C,3,0),VLOOKUP(INDEX(英雄装备!$F:$BZ,MATCH($H53,英雄装备!$F:$F,0),MATCH(N$2,英雄装备!$1:$1,0)-1),装备属性!$A:$C,3,0),VLOOKUP(INDEX(英雄装备!$F:$BZ,MATCH($H53,英雄装备!$F:$F,0),MATCH(N$2,英雄装备!$1:$1,0)),装备属性!$A:$C,3,0))</f>
        <v>52</v>
      </c>
      <c r="O53" s="51">
        <f>MAX(VLOOKUP(INDEX(英雄装备!$F:$BZ,MATCH($H53,英雄装备!$F:$F,0),MATCH(O$2,英雄装备!$1:$1,0)-5),装备属性!$A:$C,3,0),VLOOKUP(INDEX(英雄装备!$F:$BZ,MATCH($H53,英雄装备!$F:$F,0),MATCH(O$2,英雄装备!$1:$1,0)-4),装备属性!$A:$C,3,0),VLOOKUP(INDEX(英雄装备!$F:$BZ,MATCH($H53,英雄装备!$F:$F,0),MATCH(O$2,英雄装备!$1:$1,0)-3),装备属性!$A:$C,3,0),VLOOKUP(INDEX(英雄装备!$F:$BZ,MATCH($H53,英雄装备!$F:$F,0),MATCH(O$2,英雄装备!$1:$1,0)-2),装备属性!$A:$C,3,0),VLOOKUP(INDEX(英雄装备!$F:$BZ,MATCH($H53,英雄装备!$F:$F,0),MATCH(O$2,英雄装备!$1:$1,0)-1),装备属性!$A:$C,3,0),VLOOKUP(INDEX(英雄装备!$F:$BZ,MATCH($H53,英雄装备!$F:$F,0),MATCH(O$2,英雄装备!$1:$1,0)),装备属性!$A:$C,3,0))</f>
        <v>59</v>
      </c>
      <c r="P53" s="51">
        <f>MAX(VLOOKUP(INDEX(英雄装备!$F:$BZ,MATCH($H53,英雄装备!$F:$F,0),MATCH(P$2,英雄装备!$1:$1,0)-5),装备属性!$A:$C,3,0),VLOOKUP(INDEX(英雄装备!$F:$BZ,MATCH($H53,英雄装备!$F:$F,0),MATCH(P$2,英雄装备!$1:$1,0)-4),装备属性!$A:$C,3,0),VLOOKUP(INDEX(英雄装备!$F:$BZ,MATCH($H53,英雄装备!$F:$F,0),MATCH(P$2,英雄装备!$1:$1,0)-3),装备属性!$A:$C,3,0),VLOOKUP(INDEX(英雄装备!$F:$BZ,MATCH($H53,英雄装备!$F:$F,0),MATCH(P$2,英雄装备!$1:$1,0)-2),装备属性!$A:$C,3,0),VLOOKUP(INDEX(英雄装备!$F:$BZ,MATCH($H53,英雄装备!$F:$F,0),MATCH(P$2,英雄装备!$1:$1,0)-1),装备属性!$A:$C,3,0),VLOOKUP(INDEX(英雄装备!$F:$BZ,MATCH($H53,英雄装备!$F:$F,0),MATCH(P$2,英雄装备!$1:$1,0)),装备属性!$A:$C,3,0))</f>
        <v>70</v>
      </c>
      <c r="Q53" s="51">
        <f>MAX(VLOOKUP(INDEX(英雄装备!$F:$BZ,MATCH($H53,英雄装备!$F:$F,0),MATCH(Q$2,英雄装备!$1:$1,0)-5),装备属性!$A:$C,3,0),VLOOKUP(INDEX(英雄装备!$F:$BZ,MATCH($H53,英雄装备!$F:$F,0),MATCH(Q$2,英雄装备!$1:$1,0)-4),装备属性!$A:$C,3,0),VLOOKUP(INDEX(英雄装备!$F:$BZ,MATCH($H53,英雄装备!$F:$F,0),MATCH(Q$2,英雄装备!$1:$1,0)-3),装备属性!$A:$C,3,0),VLOOKUP(INDEX(英雄装备!$F:$BZ,MATCH($H53,英雄装备!$F:$F,0),MATCH(Q$2,英雄装备!$1:$1,0)-2),装备属性!$A:$C,3,0),VLOOKUP(INDEX(英雄装备!$F:$BZ,MATCH($H53,英雄装备!$F:$F,0),MATCH(Q$2,英雄装备!$1:$1,0)-1),装备属性!$A:$C,3,0),VLOOKUP(INDEX(英雄装备!$F:$BZ,MATCH($H53,英雄装备!$F:$F,0),MATCH(Q$2,英雄装备!$1:$1,0)),装备属性!$A:$C,3,0))</f>
        <v>78</v>
      </c>
      <c r="R53" s="51">
        <f>MAX(VLOOKUP(INDEX(英雄装备!$F:$BZ,MATCH($H53,英雄装备!$F:$F,0),MATCH(R$2,英雄装备!$1:$1,0)-5),装备属性!$A:$C,3,0),VLOOKUP(INDEX(英雄装备!$F:$BZ,MATCH($H53,英雄装备!$F:$F,0),MATCH(R$2,英雄装备!$1:$1,0)-4),装备属性!$A:$C,3,0),VLOOKUP(INDEX(英雄装备!$F:$BZ,MATCH($H53,英雄装备!$F:$F,0),MATCH(R$2,英雄装备!$1:$1,0)-3),装备属性!$A:$C,3,0),VLOOKUP(INDEX(英雄装备!$F:$BZ,MATCH($H53,英雄装备!$F:$F,0),MATCH(R$2,英雄装备!$1:$1,0)-2),装备属性!$A:$C,3,0),VLOOKUP(INDEX(英雄装备!$F:$BZ,MATCH($H53,英雄装备!$F:$F,0),MATCH(R$2,英雄装备!$1:$1,0)-1),装备属性!$A:$C,3,0),VLOOKUP(INDEX(英雄装备!$F:$BZ,MATCH($H53,英雄装备!$F:$F,0),MATCH(R$2,英雄装备!$1:$1,0)),装备属性!$A:$C,3,0))</f>
        <v>70</v>
      </c>
      <c r="S53" s="51">
        <f>MAX(VLOOKUP(INDEX(英雄装备!$F:$BZ,MATCH($H53,英雄装备!$F:$F,0),MATCH(S$2,英雄装备!$1:$1,0)-5),装备属性!$A:$C,3,0),VLOOKUP(INDEX(英雄装备!$F:$BZ,MATCH($H53,英雄装备!$F:$F,0),MATCH(S$2,英雄装备!$1:$1,0)-4),装备属性!$A:$C,3,0),VLOOKUP(INDEX(英雄装备!$F:$BZ,MATCH($H53,英雄装备!$F:$F,0),MATCH(S$2,英雄装备!$1:$1,0)-3),装备属性!$A:$C,3,0),VLOOKUP(INDEX(英雄装备!$F:$BZ,MATCH($H53,英雄装备!$F:$F,0),MATCH(S$2,英雄装备!$1:$1,0)-2),装备属性!$A:$C,3,0),VLOOKUP(INDEX(英雄装备!$F:$BZ,MATCH($H53,英雄装备!$F:$F,0),MATCH(S$2,英雄装备!$1:$1,0)-1),装备属性!$A:$C,3,0),VLOOKUP(INDEX(英雄装备!$F:$BZ,MATCH($H53,英雄装备!$F:$F,0),MATCH(S$2,英雄装备!$1:$1,0)),装备属性!$A:$C,3,0))</f>
        <v>85</v>
      </c>
      <c r="T53" s="51">
        <f>MAX(VLOOKUP(INDEX(英雄装备!$F:$BZ,MATCH($H53,英雄装备!$F:$F,0),MATCH(T$2,英雄装备!$1:$1,0)-5),装备属性!$A:$C,3,0),VLOOKUP(INDEX(英雄装备!$F:$BZ,MATCH($H53,英雄装备!$F:$F,0),MATCH(T$2,英雄装备!$1:$1,0)-4),装备属性!$A:$C,3,0),VLOOKUP(INDEX(英雄装备!$F:$BZ,MATCH($H53,英雄装备!$F:$F,0),MATCH(T$2,英雄装备!$1:$1,0)-3),装备属性!$A:$C,3,0),VLOOKUP(INDEX(英雄装备!$F:$BZ,MATCH($H53,英雄装备!$F:$F,0),MATCH(T$2,英雄装备!$1:$1,0)-2),装备属性!$A:$C,3,0),VLOOKUP(INDEX(英雄装备!$F:$BZ,MATCH($H53,英雄装备!$F:$F,0),MATCH(T$2,英雄装备!$1:$1,0)-1),装备属性!$A:$C,3,0))</f>
        <v>87</v>
      </c>
      <c r="V53" s="151">
        <v>12</v>
      </c>
      <c r="W53" s="151" t="str">
        <f>IF($V$2&lt;12,"","橙")</f>
        <v/>
      </c>
      <c r="X53" s="151" t="str">
        <f t="shared" si="6"/>
        <v/>
      </c>
      <c r="Y53" s="151" t="str">
        <f t="shared" si="6"/>
        <v/>
      </c>
      <c r="Z53" s="151" t="str">
        <f t="shared" si="6"/>
        <v/>
      </c>
      <c r="AA53" s="151" t="str">
        <f t="shared" si="6"/>
        <v/>
      </c>
      <c r="AB53" s="151" t="str">
        <f t="shared" si="6"/>
        <v/>
      </c>
      <c r="AC53" s="151" t="str">
        <f t="shared" si="6"/>
        <v/>
      </c>
      <c r="AF53" s="151">
        <v>6</v>
      </c>
      <c r="AG53" s="151" t="str">
        <f>X6</f>
        <v>分身斧</v>
      </c>
      <c r="AH53" s="151">
        <f>VLOOKUP($AG53,装备属性!$A:$Y,5,0)</f>
        <v>10</v>
      </c>
      <c r="AI53" s="151">
        <f>VLOOKUP($AG53,装备属性!$A:$Y,6,0)</f>
        <v>26</v>
      </c>
      <c r="AJ53" s="151">
        <f>VLOOKUP($AG53,装备属性!$A:$Y,7,0)</f>
        <v>10</v>
      </c>
      <c r="AK53" s="151">
        <f>VLOOKUP($AG53,装备属性!$A:$Y,8,0)</f>
        <v>250</v>
      </c>
      <c r="AL53" s="151">
        <f>VLOOKUP($AG53,装备属性!$A:$Y,9,0)</f>
        <v>0</v>
      </c>
      <c r="AM53" s="151">
        <f>VLOOKUP($AG53,装备属性!$A:$Y,10,0)</f>
        <v>0</v>
      </c>
      <c r="AN53" s="151">
        <f>VLOOKUP($AG53,装备属性!$A:$Y,11,0)</f>
        <v>0</v>
      </c>
      <c r="AO53" s="151">
        <f>VLOOKUP($AG53,装备属性!$A:$Y,12,0)</f>
        <v>0</v>
      </c>
      <c r="AP53" s="151">
        <f>VLOOKUP($AG53,装备属性!$A:$Y,13,0)</f>
        <v>16</v>
      </c>
      <c r="AQ53" s="151">
        <f>VLOOKUP($AG53,装备属性!$A:$Y,14,0)</f>
        <v>0</v>
      </c>
      <c r="AR53" s="151">
        <f>VLOOKUP($AG53,装备属性!$A:$Y,15,0)</f>
        <v>0</v>
      </c>
      <c r="AS53" s="151">
        <f>VLOOKUP($AG53,装备属性!$A:$Y,16,0)</f>
        <v>0</v>
      </c>
      <c r="AT53" s="151">
        <f>VLOOKUP($AG53,装备属性!$A:$Y,17,0)</f>
        <v>0</v>
      </c>
      <c r="AU53" s="151">
        <f>VLOOKUP($AG53,装备属性!$A:$Y,18,0)</f>
        <v>0</v>
      </c>
      <c r="AV53" s="151">
        <f>VLOOKUP($AG53,装备属性!$A:$Y,19,0)</f>
        <v>0</v>
      </c>
      <c r="AW53" s="151">
        <f>VLOOKUP($AG53,装备属性!$A:$Y,20,0)</f>
        <v>0</v>
      </c>
      <c r="AX53" s="151">
        <f>VLOOKUP($AG53,装备属性!$A:$Y,21,0)</f>
        <v>0</v>
      </c>
      <c r="AY53" s="151">
        <f>VLOOKUP($AG53,装备属性!$A:$Y,22,0)</f>
        <v>0</v>
      </c>
      <c r="AZ53" s="151">
        <f>VLOOKUP($AG53,装备属性!$A:$Y,23,0)</f>
        <v>0</v>
      </c>
      <c r="BA53" s="151">
        <f>VLOOKUP($AG53,装备属性!$A:$Y,24,0)</f>
        <v>0</v>
      </c>
      <c r="BB53" s="151">
        <f>VLOOKUP($AG53,装备属性!$A:$Y,25,0)</f>
        <v>0</v>
      </c>
    </row>
    <row r="54" spans="2:54">
      <c r="AF54" s="151">
        <v>6</v>
      </c>
      <c r="AG54" s="151" t="str">
        <f>Y6</f>
        <v>暗灭</v>
      </c>
      <c r="AH54" s="151">
        <f>VLOOKUP($AG54,装备属性!$A:$Y,5,0)</f>
        <v>0</v>
      </c>
      <c r="AI54" s="151">
        <f>VLOOKUP($AG54,装备属性!$A:$Y,6,0)</f>
        <v>0</v>
      </c>
      <c r="AJ54" s="151">
        <f>VLOOKUP($AG54,装备属性!$A:$Y,7,0)</f>
        <v>0</v>
      </c>
      <c r="AK54" s="151">
        <f>VLOOKUP($AG54,装备属性!$A:$Y,8,0)</f>
        <v>0</v>
      </c>
      <c r="AL54" s="151">
        <f>VLOOKUP($AG54,装备属性!$A:$Y,9,0)</f>
        <v>60</v>
      </c>
      <c r="AM54" s="151">
        <f>VLOOKUP($AG54,装备属性!$A:$Y,10,0)</f>
        <v>0</v>
      </c>
      <c r="AN54" s="151">
        <f>VLOOKUP($AG54,装备属性!$A:$Y,11,0)</f>
        <v>0</v>
      </c>
      <c r="AO54" s="151">
        <f>VLOOKUP($AG54,装备属性!$A:$Y,12,0)</f>
        <v>0</v>
      </c>
      <c r="AP54" s="151">
        <f>VLOOKUP($AG54,装备属性!$A:$Y,13,0)</f>
        <v>0</v>
      </c>
      <c r="AQ54" s="151">
        <f>VLOOKUP($AG54,装备属性!$A:$Y,14,0)</f>
        <v>7</v>
      </c>
      <c r="AR54" s="151">
        <f>VLOOKUP($AG54,装备属性!$A:$Y,15,0)</f>
        <v>0</v>
      </c>
      <c r="AS54" s="151">
        <f>VLOOKUP($AG54,装备属性!$A:$Y,16,0)</f>
        <v>0</v>
      </c>
      <c r="AT54" s="151">
        <f>VLOOKUP($AG54,装备属性!$A:$Y,17,0)</f>
        <v>0</v>
      </c>
      <c r="AU54" s="151">
        <f>VLOOKUP($AG54,装备属性!$A:$Y,18,0)</f>
        <v>0</v>
      </c>
      <c r="AV54" s="151">
        <f>VLOOKUP($AG54,装备属性!$A:$Y,19,0)</f>
        <v>0</v>
      </c>
      <c r="AW54" s="151">
        <f>VLOOKUP($AG54,装备属性!$A:$Y,20,0)</f>
        <v>0</v>
      </c>
      <c r="AX54" s="151">
        <f>VLOOKUP($AG54,装备属性!$A:$Y,21,0)</f>
        <v>0</v>
      </c>
      <c r="AY54" s="151">
        <f>VLOOKUP($AG54,装备属性!$A:$Y,22,0)</f>
        <v>0</v>
      </c>
      <c r="AZ54" s="151">
        <f>VLOOKUP($AG54,装备属性!$A:$Y,23,0)</f>
        <v>0</v>
      </c>
      <c r="BA54" s="151">
        <f>VLOOKUP($AG54,装备属性!$A:$Y,24,0)</f>
        <v>0</v>
      </c>
      <c r="BB54" s="151">
        <f>VLOOKUP($AG54,装备属性!$A:$Y,25,0)</f>
        <v>0</v>
      </c>
    </row>
    <row r="55" spans="2:54">
      <c r="AF55" s="151">
        <v>6</v>
      </c>
      <c r="AG55" s="151" t="str">
        <f>Z6</f>
        <v>双刀</v>
      </c>
      <c r="AH55" s="151">
        <f>VLOOKUP($AG55,装备属性!$A:$Y,5,0)</f>
        <v>16</v>
      </c>
      <c r="AI55" s="151">
        <f>VLOOKUP($AG55,装备属性!$A:$Y,6,0)</f>
        <v>16</v>
      </c>
      <c r="AJ55" s="151">
        <f>VLOOKUP($AG55,装备属性!$A:$Y,7,0)</f>
        <v>0</v>
      </c>
      <c r="AK55" s="151">
        <f>VLOOKUP($AG55,装备属性!$A:$Y,8,0)</f>
        <v>0</v>
      </c>
      <c r="AL55" s="151">
        <f>VLOOKUP($AG55,装备属性!$A:$Y,9,0)</f>
        <v>12</v>
      </c>
      <c r="AM55" s="151">
        <f>VLOOKUP($AG55,装备属性!$A:$Y,10,0)</f>
        <v>0</v>
      </c>
      <c r="AN55" s="151">
        <f>VLOOKUP($AG55,装备属性!$A:$Y,11,0)</f>
        <v>0</v>
      </c>
      <c r="AO55" s="151">
        <f>VLOOKUP($AG55,装备属性!$A:$Y,12,0)</f>
        <v>0</v>
      </c>
      <c r="AP55" s="151">
        <f>VLOOKUP($AG55,装备属性!$A:$Y,13,0)</f>
        <v>12</v>
      </c>
      <c r="AQ55" s="151">
        <f>VLOOKUP($AG55,装备属性!$A:$Y,14,0)</f>
        <v>0</v>
      </c>
      <c r="AR55" s="151">
        <f>VLOOKUP($AG55,装备属性!$A:$Y,15,0)</f>
        <v>0</v>
      </c>
      <c r="AS55" s="151">
        <f>VLOOKUP($AG55,装备属性!$A:$Y,16,0)</f>
        <v>0</v>
      </c>
      <c r="AT55" s="151">
        <f>VLOOKUP($AG55,装备属性!$A:$Y,17,0)</f>
        <v>0</v>
      </c>
      <c r="AU55" s="151">
        <f>VLOOKUP($AG55,装备属性!$A:$Y,18,0)</f>
        <v>0</v>
      </c>
      <c r="AV55" s="151">
        <f>VLOOKUP($AG55,装备属性!$A:$Y,19,0)</f>
        <v>0</v>
      </c>
      <c r="AW55" s="151">
        <f>VLOOKUP($AG55,装备属性!$A:$Y,20,0)</f>
        <v>0</v>
      </c>
      <c r="AX55" s="151">
        <f>VLOOKUP($AG55,装备属性!$A:$Y,21,0)</f>
        <v>0</v>
      </c>
      <c r="AY55" s="151">
        <f>VLOOKUP($AG55,装备属性!$A:$Y,22,0)</f>
        <v>0</v>
      </c>
      <c r="AZ55" s="151">
        <f>VLOOKUP($AG55,装备属性!$A:$Y,23,0)</f>
        <v>0</v>
      </c>
      <c r="BA55" s="151">
        <f>VLOOKUP($AG55,装备属性!$A:$Y,24,0)</f>
        <v>0</v>
      </c>
      <c r="BB55" s="151">
        <f>VLOOKUP($AG55,装备属性!$A:$Y,25,0)</f>
        <v>0</v>
      </c>
    </row>
    <row r="56" spans="2:54">
      <c r="V56" s="48" t="s">
        <v>1083</v>
      </c>
      <c r="AF56" s="151">
        <v>6</v>
      </c>
      <c r="AG56" s="151" t="str">
        <f>AA6</f>
        <v>板甲</v>
      </c>
      <c r="AH56" s="151">
        <f>VLOOKUP($AG56,装备属性!$A:$Y,5,0)</f>
        <v>0</v>
      </c>
      <c r="AI56" s="151">
        <f>VLOOKUP($AG56,装备属性!$A:$Y,6,0)</f>
        <v>0</v>
      </c>
      <c r="AJ56" s="151">
        <f>VLOOKUP($AG56,装备属性!$A:$Y,7,0)</f>
        <v>0</v>
      </c>
      <c r="AK56" s="151">
        <f>VLOOKUP($AG56,装备属性!$A:$Y,8,0)</f>
        <v>0</v>
      </c>
      <c r="AL56" s="151">
        <f>VLOOKUP($AG56,装备属性!$A:$Y,9,0)</f>
        <v>0</v>
      </c>
      <c r="AM56" s="151">
        <f>VLOOKUP($AG56,装备属性!$A:$Y,10,0)</f>
        <v>0</v>
      </c>
      <c r="AN56" s="151">
        <f>VLOOKUP($AG56,装备属性!$A:$Y,11,0)</f>
        <v>10</v>
      </c>
      <c r="AO56" s="151">
        <f>VLOOKUP($AG56,装备属性!$A:$Y,12,0)</f>
        <v>0</v>
      </c>
      <c r="AP56" s="151">
        <f>VLOOKUP($AG56,装备属性!$A:$Y,13,0)</f>
        <v>0</v>
      </c>
      <c r="AQ56" s="151">
        <f>VLOOKUP($AG56,装备属性!$A:$Y,14,0)</f>
        <v>0</v>
      </c>
      <c r="AR56" s="151">
        <f>VLOOKUP($AG56,装备属性!$A:$Y,15,0)</f>
        <v>0</v>
      </c>
      <c r="AS56" s="151">
        <f>VLOOKUP($AG56,装备属性!$A:$Y,16,0)</f>
        <v>0</v>
      </c>
      <c r="AT56" s="151">
        <f>VLOOKUP($AG56,装备属性!$A:$Y,17,0)</f>
        <v>0</v>
      </c>
      <c r="AU56" s="151">
        <f>VLOOKUP($AG56,装备属性!$A:$Y,18,0)</f>
        <v>0</v>
      </c>
      <c r="AV56" s="151">
        <f>VLOOKUP($AG56,装备属性!$A:$Y,19,0)</f>
        <v>0</v>
      </c>
      <c r="AW56" s="151">
        <f>VLOOKUP($AG56,装备属性!$A:$Y,20,0)</f>
        <v>0</v>
      </c>
      <c r="AX56" s="151">
        <f>VLOOKUP($AG56,装备属性!$A:$Y,21,0)</f>
        <v>0</v>
      </c>
      <c r="AY56" s="151">
        <f>VLOOKUP($AG56,装备属性!$A:$Y,22,0)</f>
        <v>0</v>
      </c>
      <c r="AZ56" s="151">
        <f>VLOOKUP($AG56,装备属性!$A:$Y,23,0)</f>
        <v>0</v>
      </c>
      <c r="BA56" s="151">
        <f>VLOOKUP($AG56,装备属性!$A:$Y,24,0)</f>
        <v>0</v>
      </c>
      <c r="BB56" s="151">
        <f>VLOOKUP($AG56,装备属性!$A:$Y,25,0)</f>
        <v>0</v>
      </c>
    </row>
    <row r="57" spans="2:54">
      <c r="V57" s="151" t="s">
        <v>1074</v>
      </c>
      <c r="W57" s="151" t="s">
        <v>1084</v>
      </c>
      <c r="X57" s="151" t="s">
        <v>1085</v>
      </c>
      <c r="Y57" s="151" t="s">
        <v>1086</v>
      </c>
      <c r="Z57" s="151" t="s">
        <v>1087</v>
      </c>
      <c r="AA57" s="151" t="s">
        <v>1913</v>
      </c>
      <c r="AF57" s="151">
        <v>6</v>
      </c>
      <c r="AG57" s="151" t="str">
        <f>AB6</f>
        <v>祭品</v>
      </c>
      <c r="AH57" s="151">
        <f>VLOOKUP($AG57,装备属性!$A:$Y,5,0)</f>
        <v>0</v>
      </c>
      <c r="AI57" s="151">
        <f>VLOOKUP($AG57,装备属性!$A:$Y,6,0)</f>
        <v>0</v>
      </c>
      <c r="AJ57" s="151">
        <f>VLOOKUP($AG57,装备属性!$A:$Y,7,0)</f>
        <v>0</v>
      </c>
      <c r="AK57" s="151">
        <f>VLOOKUP($AG57,装备属性!$A:$Y,8,0)</f>
        <v>0</v>
      </c>
      <c r="AL57" s="151">
        <f>VLOOKUP($AG57,装备属性!$A:$Y,9,0)</f>
        <v>0</v>
      </c>
      <c r="AM57" s="151">
        <f>VLOOKUP($AG57,装备属性!$A:$Y,10,0)</f>
        <v>0</v>
      </c>
      <c r="AN57" s="151">
        <f>VLOOKUP($AG57,装备属性!$A:$Y,11,0)</f>
        <v>5</v>
      </c>
      <c r="AO57" s="151">
        <f>VLOOKUP($AG57,装备属性!$A:$Y,12,0)</f>
        <v>0</v>
      </c>
      <c r="AP57" s="151">
        <f>VLOOKUP($AG57,装备属性!$A:$Y,13,0)</f>
        <v>15</v>
      </c>
      <c r="AQ57" s="151">
        <f>VLOOKUP($AG57,装备属性!$A:$Y,14,0)</f>
        <v>0</v>
      </c>
      <c r="AR57" s="151">
        <f>VLOOKUP($AG57,装备属性!$A:$Y,15,0)</f>
        <v>0</v>
      </c>
      <c r="AS57" s="151">
        <f>VLOOKUP($AG57,装备属性!$A:$Y,16,0)</f>
        <v>0</v>
      </c>
      <c r="AT57" s="151">
        <f>VLOOKUP($AG57,装备属性!$A:$Y,17,0)</f>
        <v>16</v>
      </c>
      <c r="AU57" s="151">
        <f>VLOOKUP($AG57,装备属性!$A:$Y,18,0)</f>
        <v>0</v>
      </c>
      <c r="AV57" s="151">
        <f>VLOOKUP($AG57,装备属性!$A:$Y,19,0)</f>
        <v>0</v>
      </c>
      <c r="AW57" s="151">
        <f>VLOOKUP($AG57,装备属性!$A:$Y,20,0)</f>
        <v>0</v>
      </c>
      <c r="AX57" s="151">
        <f>VLOOKUP($AG57,装备属性!$A:$Y,21,0)</f>
        <v>40</v>
      </c>
      <c r="AY57" s="151">
        <f>VLOOKUP($AG57,装备属性!$A:$Y,22,0)</f>
        <v>0</v>
      </c>
      <c r="AZ57" s="151">
        <f>VLOOKUP($AG57,装备属性!$A:$Y,23,0)</f>
        <v>0</v>
      </c>
      <c r="BA57" s="151">
        <f>VLOOKUP($AG57,装备属性!$A:$Y,24,0)</f>
        <v>0</v>
      </c>
      <c r="BB57" s="151">
        <f>VLOOKUP($AG57,装备属性!$A:$Y,25,0)</f>
        <v>0</v>
      </c>
    </row>
    <row r="58" spans="2:54">
      <c r="V58" s="151" t="s">
        <v>1091</v>
      </c>
      <c r="W58" s="151" t="s">
        <v>1091</v>
      </c>
      <c r="X58" s="151" t="s">
        <v>1091</v>
      </c>
      <c r="Y58" s="151" t="s">
        <v>1091</v>
      </c>
      <c r="Z58" s="151" t="s">
        <v>1091</v>
      </c>
      <c r="AA58" s="151" t="s">
        <v>1091</v>
      </c>
      <c r="AF58" s="151">
        <v>6</v>
      </c>
      <c r="AG58" s="151" t="str">
        <f>AC6</f>
        <v>相位鞋</v>
      </c>
      <c r="AH58" s="151">
        <f>VLOOKUP($AG58,装备属性!$A:$Y,5,0)</f>
        <v>9</v>
      </c>
      <c r="AI58" s="151">
        <f>VLOOKUP($AG58,装备属性!$A:$Y,6,0)</f>
        <v>9</v>
      </c>
      <c r="AJ58" s="151">
        <f>VLOOKUP($AG58,装备属性!$A:$Y,7,0)</f>
        <v>9</v>
      </c>
      <c r="AK58" s="151">
        <f>VLOOKUP($AG58,装备属性!$A:$Y,8,0)</f>
        <v>0</v>
      </c>
      <c r="AL58" s="151">
        <f>VLOOKUP($AG58,装备属性!$A:$Y,9,0)</f>
        <v>24</v>
      </c>
      <c r="AM58" s="151">
        <f>VLOOKUP($AG58,装备属性!$A:$Y,10,0)</f>
        <v>0</v>
      </c>
      <c r="AN58" s="151">
        <f>VLOOKUP($AG58,装备属性!$A:$Y,11,0)</f>
        <v>0</v>
      </c>
      <c r="AO58" s="151">
        <f>VLOOKUP($AG58,装备属性!$A:$Y,12,0)</f>
        <v>0</v>
      </c>
      <c r="AP58" s="151">
        <f>VLOOKUP($AG58,装备属性!$A:$Y,13,0)</f>
        <v>0</v>
      </c>
      <c r="AQ58" s="151">
        <f>VLOOKUP($AG58,装备属性!$A:$Y,14,0)</f>
        <v>0</v>
      </c>
      <c r="AR58" s="151">
        <f>VLOOKUP($AG58,装备属性!$A:$Y,15,0)</f>
        <v>0</v>
      </c>
      <c r="AS58" s="151">
        <f>VLOOKUP($AG58,装备属性!$A:$Y,16,0)</f>
        <v>0</v>
      </c>
      <c r="AT58" s="151">
        <f>VLOOKUP($AG58,装备属性!$A:$Y,17,0)</f>
        <v>0</v>
      </c>
      <c r="AU58" s="151">
        <f>VLOOKUP($AG58,装备属性!$A:$Y,18,0)</f>
        <v>0</v>
      </c>
      <c r="AV58" s="151">
        <f>VLOOKUP($AG58,装备属性!$A:$Y,19,0)</f>
        <v>0</v>
      </c>
      <c r="AW58" s="151">
        <f>VLOOKUP($AG58,装备属性!$A:$Y,20,0)</f>
        <v>0</v>
      </c>
      <c r="AX58" s="151">
        <f>VLOOKUP($AG58,装备属性!$A:$Y,21,0)</f>
        <v>0</v>
      </c>
      <c r="AY58" s="151">
        <f>VLOOKUP($AG58,装备属性!$A:$Y,22,0)</f>
        <v>0</v>
      </c>
      <c r="AZ58" s="151">
        <f>VLOOKUP($AG58,装备属性!$A:$Y,23,0)</f>
        <v>0</v>
      </c>
      <c r="BA58" s="151">
        <f>VLOOKUP($AG58,装备属性!$A:$Y,24,0)</f>
        <v>0</v>
      </c>
      <c r="BB58" s="151">
        <f>VLOOKUP($AG58,装备属性!$A:$Y,25,0)</f>
        <v>0</v>
      </c>
    </row>
    <row r="59" spans="2:54">
      <c r="X59" s="151" t="s">
        <v>1089</v>
      </c>
      <c r="Y59" s="151" t="s">
        <v>1088</v>
      </c>
      <c r="Z59" s="151" t="s">
        <v>1089</v>
      </c>
      <c r="AA59" s="151" t="s">
        <v>1089</v>
      </c>
      <c r="AF59" s="151">
        <v>7</v>
      </c>
      <c r="AG59" s="151" t="str">
        <f>X7</f>
        <v>魔王刀锋</v>
      </c>
      <c r="AH59" s="151">
        <f>VLOOKUP($AG59,装备属性!$A:$Y,5,0)</f>
        <v>0</v>
      </c>
      <c r="AI59" s="151">
        <f>VLOOKUP($AG59,装备属性!$A:$Y,6,0)</f>
        <v>0</v>
      </c>
      <c r="AJ59" s="151">
        <f>VLOOKUP($AG59,装备属性!$A:$Y,7,0)</f>
        <v>0</v>
      </c>
      <c r="AK59" s="151">
        <f>VLOOKUP($AG59,装备属性!$A:$Y,8,0)</f>
        <v>0</v>
      </c>
      <c r="AL59" s="151">
        <f>VLOOKUP($AG59,装备属性!$A:$Y,9,0)</f>
        <v>46</v>
      </c>
      <c r="AM59" s="151">
        <f>VLOOKUP($AG59,装备属性!$A:$Y,10,0)</f>
        <v>0</v>
      </c>
      <c r="AN59" s="151">
        <f>VLOOKUP($AG59,装备属性!$A:$Y,11,0)</f>
        <v>0</v>
      </c>
      <c r="AO59" s="151">
        <f>VLOOKUP($AG59,装备属性!$A:$Y,12,0)</f>
        <v>0</v>
      </c>
      <c r="AP59" s="151">
        <f>VLOOKUP($AG59,装备属性!$A:$Y,13,0)</f>
        <v>0</v>
      </c>
      <c r="AQ59" s="151">
        <f>VLOOKUP($AG59,装备属性!$A:$Y,14,0)</f>
        <v>0</v>
      </c>
      <c r="AR59" s="151">
        <f>VLOOKUP($AG59,装备属性!$A:$Y,15,0)</f>
        <v>0</v>
      </c>
      <c r="AS59" s="151">
        <f>VLOOKUP($AG59,装备属性!$A:$Y,16,0)</f>
        <v>0</v>
      </c>
      <c r="AT59" s="151">
        <f>VLOOKUP($AG59,装备属性!$A:$Y,17,0)</f>
        <v>0</v>
      </c>
      <c r="AU59" s="151">
        <f>VLOOKUP($AG59,装备属性!$A:$Y,18,0)</f>
        <v>0</v>
      </c>
      <c r="AV59" s="151">
        <f>VLOOKUP($AG59,装备属性!$A:$Y,19,0)</f>
        <v>0</v>
      </c>
      <c r="AW59" s="151">
        <f>VLOOKUP($AG59,装备属性!$A:$Y,20,0)</f>
        <v>0</v>
      </c>
      <c r="AX59" s="151">
        <f>VLOOKUP($AG59,装备属性!$A:$Y,21,0)</f>
        <v>0</v>
      </c>
      <c r="AY59" s="151">
        <f>VLOOKUP($AG59,装备属性!$A:$Y,22,0)</f>
        <v>0</v>
      </c>
      <c r="AZ59" s="151">
        <f>VLOOKUP($AG59,装备属性!$A:$Y,23,0)</f>
        <v>0</v>
      </c>
      <c r="BA59" s="151">
        <f>VLOOKUP($AG59,装备属性!$A:$Y,24,0)</f>
        <v>0</v>
      </c>
      <c r="BB59" s="151">
        <f>VLOOKUP($AG59,装备属性!$A:$Y,25,0)</f>
        <v>0</v>
      </c>
    </row>
    <row r="60" spans="2:54">
      <c r="Y60" s="151" t="s">
        <v>1092</v>
      </c>
      <c r="Z60" s="151" t="s">
        <v>1092</v>
      </c>
      <c r="AA60" s="151" t="s">
        <v>1092</v>
      </c>
      <c r="AF60" s="151">
        <v>7</v>
      </c>
      <c r="AG60" s="151" t="str">
        <f>Y7</f>
        <v>强袭</v>
      </c>
      <c r="AH60" s="151">
        <f>VLOOKUP($AG60,装备属性!$A:$Y,5,0)</f>
        <v>0</v>
      </c>
      <c r="AI60" s="151">
        <f>VLOOKUP($AG60,装备属性!$A:$Y,6,0)</f>
        <v>0</v>
      </c>
      <c r="AJ60" s="151">
        <f>VLOOKUP($AG60,装备属性!$A:$Y,7,0)</f>
        <v>0</v>
      </c>
      <c r="AK60" s="151">
        <f>VLOOKUP($AG60,装备属性!$A:$Y,8,0)</f>
        <v>0</v>
      </c>
      <c r="AL60" s="151">
        <f>VLOOKUP($AG60,装备属性!$A:$Y,9,0)</f>
        <v>0</v>
      </c>
      <c r="AM60" s="151">
        <f>VLOOKUP($AG60,装备属性!$A:$Y,10,0)</f>
        <v>0</v>
      </c>
      <c r="AN60" s="151">
        <f>VLOOKUP($AG60,装备属性!$A:$Y,11,0)</f>
        <v>15</v>
      </c>
      <c r="AO60" s="151">
        <f>VLOOKUP($AG60,装备属性!$A:$Y,12,0)</f>
        <v>0</v>
      </c>
      <c r="AP60" s="151">
        <f>VLOOKUP($AG60,装备属性!$A:$Y,13,0)</f>
        <v>35</v>
      </c>
      <c r="AQ60" s="151">
        <f>VLOOKUP($AG60,装备属性!$A:$Y,14,0)</f>
        <v>5</v>
      </c>
      <c r="AR60" s="151">
        <f>VLOOKUP($AG60,装备属性!$A:$Y,15,0)</f>
        <v>0</v>
      </c>
      <c r="AS60" s="151">
        <f>VLOOKUP($AG60,装备属性!$A:$Y,16,0)</f>
        <v>0</v>
      </c>
      <c r="AT60" s="151">
        <f>VLOOKUP($AG60,装备属性!$A:$Y,17,0)</f>
        <v>0</v>
      </c>
      <c r="AU60" s="151">
        <f>VLOOKUP($AG60,装备属性!$A:$Y,18,0)</f>
        <v>0</v>
      </c>
      <c r="AV60" s="151">
        <f>VLOOKUP($AG60,装备属性!$A:$Y,19,0)</f>
        <v>0</v>
      </c>
      <c r="AW60" s="151">
        <f>VLOOKUP($AG60,装备属性!$A:$Y,20,0)</f>
        <v>0</v>
      </c>
      <c r="AX60" s="151">
        <f>VLOOKUP($AG60,装备属性!$A:$Y,21,0)</f>
        <v>0</v>
      </c>
      <c r="AY60" s="151">
        <f>VLOOKUP($AG60,装备属性!$A:$Y,22,0)</f>
        <v>0</v>
      </c>
      <c r="AZ60" s="151">
        <f>VLOOKUP($AG60,装备属性!$A:$Y,23,0)</f>
        <v>0</v>
      </c>
      <c r="BA60" s="151">
        <f>VLOOKUP($AG60,装备属性!$A:$Y,24,0)</f>
        <v>0</v>
      </c>
      <c r="BB60" s="151">
        <f>VLOOKUP($AG60,装备属性!$A:$Y,25,0)</f>
        <v>0</v>
      </c>
    </row>
    <row r="61" spans="2:54">
      <c r="Y61" s="151" t="s">
        <v>1090</v>
      </c>
      <c r="Z61" s="151" t="s">
        <v>1090</v>
      </c>
      <c r="AA61" s="151" t="s">
        <v>1090</v>
      </c>
      <c r="AF61" s="151">
        <v>7</v>
      </c>
      <c r="AG61" s="151" t="str">
        <f>Z7</f>
        <v>林肯</v>
      </c>
      <c r="AH61" s="151">
        <f>VLOOKUP($AG61,装备属性!$A:$Y,5,0)</f>
        <v>15</v>
      </c>
      <c r="AI61" s="151">
        <f>VLOOKUP($AG61,装备属性!$A:$Y,6,0)</f>
        <v>15</v>
      </c>
      <c r="AJ61" s="151">
        <f>VLOOKUP($AG61,装备属性!$A:$Y,7,0)</f>
        <v>15</v>
      </c>
      <c r="AK61" s="151">
        <f>VLOOKUP($AG61,装备属性!$A:$Y,8,0)</f>
        <v>0</v>
      </c>
      <c r="AL61" s="151">
        <f>VLOOKUP($AG61,装备属性!$A:$Y,9,0)</f>
        <v>10</v>
      </c>
      <c r="AM61" s="151">
        <f>VLOOKUP($AG61,装备属性!$A:$Y,10,0)</f>
        <v>0</v>
      </c>
      <c r="AN61" s="151">
        <f>VLOOKUP($AG61,装备属性!$A:$Y,11,0)</f>
        <v>0</v>
      </c>
      <c r="AO61" s="151">
        <f>VLOOKUP($AG61,装备属性!$A:$Y,12,0)</f>
        <v>15</v>
      </c>
      <c r="AP61" s="151">
        <f>VLOOKUP($AG61,装备属性!$A:$Y,13,0)</f>
        <v>0</v>
      </c>
      <c r="AQ61" s="151">
        <f>VLOOKUP($AG61,装备属性!$A:$Y,14,0)</f>
        <v>0</v>
      </c>
      <c r="AR61" s="151">
        <f>VLOOKUP($AG61,装备属性!$A:$Y,15,0)</f>
        <v>0</v>
      </c>
      <c r="AS61" s="151">
        <f>VLOOKUP($AG61,装备属性!$A:$Y,16,0)</f>
        <v>0</v>
      </c>
      <c r="AT61" s="151">
        <f>VLOOKUP($AG61,装备属性!$A:$Y,17,0)</f>
        <v>0</v>
      </c>
      <c r="AU61" s="151">
        <f>VLOOKUP($AG61,装备属性!$A:$Y,18,0)</f>
        <v>0</v>
      </c>
      <c r="AV61" s="151">
        <f>VLOOKUP($AG61,装备属性!$A:$Y,19,0)</f>
        <v>0</v>
      </c>
      <c r="AW61" s="151">
        <f>VLOOKUP($AG61,装备属性!$A:$Y,20,0)</f>
        <v>0</v>
      </c>
      <c r="AX61" s="151">
        <f>VLOOKUP($AG61,装备属性!$A:$Y,21,0)</f>
        <v>0</v>
      </c>
      <c r="AY61" s="151">
        <f>VLOOKUP($AG61,装备属性!$A:$Y,22,0)</f>
        <v>0</v>
      </c>
      <c r="AZ61" s="151">
        <f>VLOOKUP($AG61,装备属性!$A:$Y,23,0)</f>
        <v>0</v>
      </c>
      <c r="BA61" s="151">
        <f>VLOOKUP($AG61,装备属性!$A:$Y,24,0)</f>
        <v>0</v>
      </c>
      <c r="BB61" s="151">
        <f>VLOOKUP($AG61,装备属性!$A:$Y,25,0)</f>
        <v>0</v>
      </c>
    </row>
    <row r="62" spans="2:54" ht="13.5" customHeight="1">
      <c r="Z62" s="151" t="s">
        <v>1093</v>
      </c>
      <c r="AA62" s="151" t="s">
        <v>1093</v>
      </c>
      <c r="AF62" s="151">
        <v>7</v>
      </c>
      <c r="AG62" s="151" t="str">
        <f>AA7</f>
        <v>冲锋盾</v>
      </c>
      <c r="AH62" s="151">
        <f>VLOOKUP($AG62,装备属性!$A:$Y,5,0)</f>
        <v>0</v>
      </c>
      <c r="AI62" s="151">
        <f>VLOOKUP($AG62,装备属性!$A:$Y,6,0)</f>
        <v>0</v>
      </c>
      <c r="AJ62" s="151">
        <f>VLOOKUP($AG62,装备属性!$A:$Y,7,0)</f>
        <v>0</v>
      </c>
      <c r="AK62" s="151">
        <f>VLOOKUP($AG62,装备属性!$A:$Y,8,0)</f>
        <v>280</v>
      </c>
      <c r="AL62" s="151">
        <f>VLOOKUP($AG62,装备属性!$A:$Y,9,0)</f>
        <v>0</v>
      </c>
      <c r="AM62" s="151">
        <f>VLOOKUP($AG62,装备属性!$A:$Y,10,0)</f>
        <v>0</v>
      </c>
      <c r="AN62" s="151">
        <f>VLOOKUP($AG62,装备属性!$A:$Y,11,0)</f>
        <v>4</v>
      </c>
      <c r="AO62" s="151">
        <f>VLOOKUP($AG62,装备属性!$A:$Y,12,0)</f>
        <v>0</v>
      </c>
      <c r="AP62" s="151">
        <f>VLOOKUP($AG62,装备属性!$A:$Y,13,0)</f>
        <v>0</v>
      </c>
      <c r="AQ62" s="151">
        <f>VLOOKUP($AG62,装备属性!$A:$Y,14,0)</f>
        <v>0</v>
      </c>
      <c r="AR62" s="151">
        <f>VLOOKUP($AG62,装备属性!$A:$Y,15,0)</f>
        <v>0</v>
      </c>
      <c r="AS62" s="151">
        <f>VLOOKUP($AG62,装备属性!$A:$Y,16,0)</f>
        <v>0</v>
      </c>
      <c r="AT62" s="151">
        <f>VLOOKUP($AG62,装备属性!$A:$Y,17,0)</f>
        <v>0</v>
      </c>
      <c r="AU62" s="151">
        <f>VLOOKUP($AG62,装备属性!$A:$Y,18,0)</f>
        <v>0</v>
      </c>
      <c r="AV62" s="151">
        <f>VLOOKUP($AG62,装备属性!$A:$Y,19,0)</f>
        <v>0</v>
      </c>
      <c r="AW62" s="151">
        <f>VLOOKUP($AG62,装备属性!$A:$Y,20,0)</f>
        <v>240</v>
      </c>
      <c r="AX62" s="151">
        <f>VLOOKUP($AG62,装备属性!$A:$Y,21,0)</f>
        <v>0</v>
      </c>
      <c r="AY62" s="151">
        <f>VLOOKUP($AG62,装备属性!$A:$Y,22,0)</f>
        <v>0</v>
      </c>
      <c r="AZ62" s="151">
        <f>VLOOKUP($AG62,装备属性!$A:$Y,23,0)</f>
        <v>0</v>
      </c>
      <c r="BA62" s="151">
        <f>VLOOKUP($AG62,装备属性!$A:$Y,24,0)</f>
        <v>0</v>
      </c>
      <c r="BB62" s="151">
        <f>VLOOKUP($AG62,装备属性!$A:$Y,25,0)</f>
        <v>0</v>
      </c>
    </row>
    <row r="63" spans="2:54" ht="13.5" customHeight="1">
      <c r="Z63" s="151" t="s">
        <v>1094</v>
      </c>
      <c r="AA63" s="151" t="s">
        <v>1094</v>
      </c>
      <c r="AF63" s="151">
        <v>7</v>
      </c>
      <c r="AG63" s="151" t="str">
        <f>AB7</f>
        <v>圣殿指环</v>
      </c>
      <c r="AH63" s="151">
        <f>VLOOKUP($AG63,装备属性!$A:$Y,5,0)</f>
        <v>0</v>
      </c>
      <c r="AI63" s="151">
        <f>VLOOKUP($AG63,装备属性!$A:$Y,6,0)</f>
        <v>0</v>
      </c>
      <c r="AJ63" s="151">
        <f>VLOOKUP($AG63,装备属性!$A:$Y,7,0)</f>
        <v>0</v>
      </c>
      <c r="AK63" s="151">
        <f>VLOOKUP($AG63,装备属性!$A:$Y,8,0)</f>
        <v>0</v>
      </c>
      <c r="AL63" s="151">
        <f>VLOOKUP($AG63,装备属性!$A:$Y,9,0)</f>
        <v>0</v>
      </c>
      <c r="AM63" s="151">
        <f>VLOOKUP($AG63,装备属性!$A:$Y,10,0)</f>
        <v>0</v>
      </c>
      <c r="AN63" s="151">
        <f>VLOOKUP($AG63,装备属性!$A:$Y,11,0)</f>
        <v>2</v>
      </c>
      <c r="AO63" s="151">
        <f>VLOOKUP($AG63,装备属性!$A:$Y,12,0)</f>
        <v>0</v>
      </c>
      <c r="AP63" s="151">
        <f>VLOOKUP($AG63,装备属性!$A:$Y,13,0)</f>
        <v>0</v>
      </c>
      <c r="AQ63" s="151">
        <f>VLOOKUP($AG63,装备属性!$A:$Y,14,0)</f>
        <v>0</v>
      </c>
      <c r="AR63" s="151">
        <f>VLOOKUP($AG63,装备属性!$A:$Y,15,0)</f>
        <v>0</v>
      </c>
      <c r="AS63" s="151">
        <f>VLOOKUP($AG63,装备属性!$A:$Y,16,0)</f>
        <v>0</v>
      </c>
      <c r="AT63" s="151">
        <f>VLOOKUP($AG63,装备属性!$A:$Y,17,0)</f>
        <v>0</v>
      </c>
      <c r="AU63" s="151">
        <f>VLOOKUP($AG63,装备属性!$A:$Y,18,0)</f>
        <v>0</v>
      </c>
      <c r="AV63" s="151">
        <f>VLOOKUP($AG63,装备属性!$A:$Y,19,0)</f>
        <v>0</v>
      </c>
      <c r="AW63" s="151">
        <f>VLOOKUP($AG63,装备属性!$A:$Y,20,0)</f>
        <v>0</v>
      </c>
      <c r="AX63" s="151">
        <f>VLOOKUP($AG63,装备属性!$A:$Y,21,0)</f>
        <v>30</v>
      </c>
      <c r="AY63" s="151">
        <f>VLOOKUP($AG63,装备属性!$A:$Y,22,0)</f>
        <v>0</v>
      </c>
      <c r="AZ63" s="151">
        <f>VLOOKUP($AG63,装备属性!$A:$Y,23,0)</f>
        <v>0</v>
      </c>
      <c r="BA63" s="151">
        <f>VLOOKUP($AG63,装备属性!$A:$Y,24,0)</f>
        <v>0</v>
      </c>
      <c r="BB63" s="151">
        <f>VLOOKUP($AG63,装备属性!$A:$Y,25,0)</f>
        <v>0</v>
      </c>
    </row>
    <row r="64" spans="2:54">
      <c r="AF64" s="151">
        <v>7</v>
      </c>
      <c r="AG64" s="151" t="str">
        <f>AC7</f>
        <v>飞鞋</v>
      </c>
      <c r="AH64" s="151">
        <f>VLOOKUP($AG64,装备属性!$A:$Y,5,0)</f>
        <v>25</v>
      </c>
      <c r="AI64" s="151">
        <f>VLOOKUP($AG64,装备属性!$A:$Y,6,0)</f>
        <v>25</v>
      </c>
      <c r="AJ64" s="151">
        <f>VLOOKUP($AG64,装备属性!$A:$Y,7,0)</f>
        <v>25</v>
      </c>
      <c r="AK64" s="151">
        <f>VLOOKUP($AG64,装备属性!$A:$Y,8,0)</f>
        <v>0</v>
      </c>
      <c r="AL64" s="151">
        <f>VLOOKUP($AG64,装备属性!$A:$Y,9,0)</f>
        <v>0</v>
      </c>
      <c r="AM64" s="151">
        <f>VLOOKUP($AG64,装备属性!$A:$Y,10,0)</f>
        <v>0</v>
      </c>
      <c r="AN64" s="151">
        <f>VLOOKUP($AG64,装备属性!$A:$Y,11,0)</f>
        <v>0</v>
      </c>
      <c r="AO64" s="151">
        <f>VLOOKUP($AG64,装备属性!$A:$Y,12,0)</f>
        <v>0</v>
      </c>
      <c r="AP64" s="151">
        <f>VLOOKUP($AG64,装备属性!$A:$Y,13,0)</f>
        <v>0</v>
      </c>
      <c r="AQ64" s="151">
        <f>VLOOKUP($AG64,装备属性!$A:$Y,14,0)</f>
        <v>0</v>
      </c>
      <c r="AR64" s="151">
        <f>VLOOKUP($AG64,装备属性!$A:$Y,15,0)</f>
        <v>0</v>
      </c>
      <c r="AS64" s="151">
        <f>VLOOKUP($AG64,装备属性!$A:$Y,16,0)</f>
        <v>0</v>
      </c>
      <c r="AT64" s="151">
        <f>VLOOKUP($AG64,装备属性!$A:$Y,17,0)</f>
        <v>0</v>
      </c>
      <c r="AU64" s="151">
        <f>VLOOKUP($AG64,装备属性!$A:$Y,18,0)</f>
        <v>0</v>
      </c>
      <c r="AV64" s="151">
        <f>VLOOKUP($AG64,装备属性!$A:$Y,19,0)</f>
        <v>0</v>
      </c>
      <c r="AW64" s="151">
        <f>VLOOKUP($AG64,装备属性!$A:$Y,20,0)</f>
        <v>0</v>
      </c>
      <c r="AX64" s="151">
        <f>VLOOKUP($AG64,装备属性!$A:$Y,21,0)</f>
        <v>0</v>
      </c>
      <c r="AY64" s="151">
        <f>VLOOKUP($AG64,装备属性!$A:$Y,22,0)</f>
        <v>0</v>
      </c>
      <c r="AZ64" s="151">
        <f>VLOOKUP($AG64,装备属性!$A:$Y,23,0)</f>
        <v>0</v>
      </c>
      <c r="BA64" s="151">
        <f>VLOOKUP($AG64,装备属性!$A:$Y,24,0)</f>
        <v>0</v>
      </c>
      <c r="BB64" s="151">
        <f>VLOOKUP($AG64,装备属性!$A:$Y,25,0)</f>
        <v>0</v>
      </c>
    </row>
    <row r="65" spans="21:54">
      <c r="V65" s="151" t="s">
        <v>1091</v>
      </c>
      <c r="W65" s="151" t="s">
        <v>1089</v>
      </c>
      <c r="X65" s="151" t="s">
        <v>1092</v>
      </c>
      <c r="Y65" s="151" t="s">
        <v>1090</v>
      </c>
      <c r="Z65" s="151" t="s">
        <v>1093</v>
      </c>
      <c r="AA65" s="151" t="s">
        <v>1094</v>
      </c>
      <c r="AF65" s="151">
        <v>8</v>
      </c>
      <c r="AG65" s="151" t="str">
        <f>X8</f>
        <v>蝴蝶</v>
      </c>
      <c r="AH65" s="151">
        <f>VLOOKUP($AG65,装备属性!$A:$Y,5,0)</f>
        <v>0</v>
      </c>
      <c r="AI65" s="151">
        <f>VLOOKUP($AG65,装备属性!$A:$Y,6,0)</f>
        <v>30</v>
      </c>
      <c r="AJ65" s="151">
        <f>VLOOKUP($AG65,装备属性!$A:$Y,7,0)</f>
        <v>0</v>
      </c>
      <c r="AK65" s="151">
        <f>VLOOKUP($AG65,装备属性!$A:$Y,8,0)</f>
        <v>0</v>
      </c>
      <c r="AL65" s="151">
        <f>VLOOKUP($AG65,装备属性!$A:$Y,9,0)</f>
        <v>30</v>
      </c>
      <c r="AM65" s="151">
        <f>VLOOKUP($AG65,装备属性!$A:$Y,10,0)</f>
        <v>0</v>
      </c>
      <c r="AN65" s="151">
        <f>VLOOKUP($AG65,装备属性!$A:$Y,11,0)</f>
        <v>0</v>
      </c>
      <c r="AO65" s="151">
        <f>VLOOKUP($AG65,装备属性!$A:$Y,12,0)</f>
        <v>0</v>
      </c>
      <c r="AP65" s="151">
        <f>VLOOKUP($AG65,装备属性!$A:$Y,13,0)</f>
        <v>30</v>
      </c>
      <c r="AQ65" s="151">
        <f>VLOOKUP($AG65,装备属性!$A:$Y,14,0)</f>
        <v>0</v>
      </c>
      <c r="AR65" s="151">
        <f>VLOOKUP($AG65,装备属性!$A:$Y,15,0)</f>
        <v>0</v>
      </c>
      <c r="AS65" s="151">
        <f>VLOOKUP($AG65,装备属性!$A:$Y,16,0)</f>
        <v>0</v>
      </c>
      <c r="AT65" s="151">
        <f>VLOOKUP($AG65,装备属性!$A:$Y,17,0)</f>
        <v>0</v>
      </c>
      <c r="AU65" s="151">
        <f>VLOOKUP($AG65,装备属性!$A:$Y,18,0)</f>
        <v>0</v>
      </c>
      <c r="AV65" s="151">
        <f>VLOOKUP($AG65,装备属性!$A:$Y,19,0)</f>
        <v>30</v>
      </c>
      <c r="AW65" s="151">
        <f>VLOOKUP($AG65,装备属性!$A:$Y,20,0)</f>
        <v>0</v>
      </c>
      <c r="AX65" s="151">
        <f>VLOOKUP($AG65,装备属性!$A:$Y,21,0)</f>
        <v>0</v>
      </c>
      <c r="AY65" s="151">
        <f>VLOOKUP($AG65,装备属性!$A:$Y,22,0)</f>
        <v>0</v>
      </c>
      <c r="AZ65" s="151">
        <f>VLOOKUP($AG65,装备属性!$A:$Y,23,0)</f>
        <v>0</v>
      </c>
      <c r="BA65" s="151">
        <f>VLOOKUP($AG65,装备属性!$A:$Y,24,0)</f>
        <v>0</v>
      </c>
      <c r="BB65" s="151">
        <f>VLOOKUP($AG65,装备属性!$A:$Y,25,0)</f>
        <v>0</v>
      </c>
    </row>
    <row r="66" spans="21:54">
      <c r="V66" s="151">
        <v>0</v>
      </c>
      <c r="W66" s="151">
        <v>1</v>
      </c>
      <c r="X66" s="151">
        <v>2</v>
      </c>
      <c r="Y66" s="151">
        <v>3</v>
      </c>
      <c r="Z66" s="151">
        <v>4</v>
      </c>
      <c r="AA66" s="151">
        <v>5</v>
      </c>
      <c r="AF66" s="151">
        <v>8</v>
      </c>
      <c r="AG66" s="151" t="str">
        <f>Y8</f>
        <v>鬼手</v>
      </c>
      <c r="AH66" s="151">
        <f>VLOOKUP($AG66,装备属性!$A:$Y,5,0)</f>
        <v>25</v>
      </c>
      <c r="AI66" s="151">
        <f>VLOOKUP($AG66,装备属性!$A:$Y,6,0)</f>
        <v>0</v>
      </c>
      <c r="AJ66" s="151">
        <f>VLOOKUP($AG66,装备属性!$A:$Y,7,0)</f>
        <v>0</v>
      </c>
      <c r="AK66" s="151">
        <f>VLOOKUP($AG66,装备属性!$A:$Y,8,0)</f>
        <v>0</v>
      </c>
      <c r="AL66" s="151">
        <f>VLOOKUP($AG66,装备属性!$A:$Y,9,0)</f>
        <v>9</v>
      </c>
      <c r="AM66" s="151">
        <f>VLOOKUP($AG66,装备属性!$A:$Y,10,0)</f>
        <v>0</v>
      </c>
      <c r="AN66" s="151">
        <f>VLOOKUP($AG66,装备属性!$A:$Y,11,0)</f>
        <v>5</v>
      </c>
      <c r="AO66" s="151">
        <f>VLOOKUP($AG66,装备属性!$A:$Y,12,0)</f>
        <v>0</v>
      </c>
      <c r="AP66" s="151">
        <f>VLOOKUP($AG66,装备属性!$A:$Y,13,0)</f>
        <v>10</v>
      </c>
      <c r="AQ66" s="151">
        <f>VLOOKUP($AG66,装备属性!$A:$Y,14,0)</f>
        <v>0</v>
      </c>
      <c r="AR66" s="151">
        <f>VLOOKUP($AG66,装备属性!$A:$Y,15,0)</f>
        <v>0</v>
      </c>
      <c r="AS66" s="151">
        <f>VLOOKUP($AG66,装备属性!$A:$Y,16,0)</f>
        <v>0</v>
      </c>
      <c r="AT66" s="151">
        <f>VLOOKUP($AG66,装备属性!$A:$Y,17,0)</f>
        <v>0</v>
      </c>
      <c r="AU66" s="151">
        <f>VLOOKUP($AG66,装备属性!$A:$Y,18,0)</f>
        <v>0</v>
      </c>
      <c r="AV66" s="151">
        <f>VLOOKUP($AG66,装备属性!$A:$Y,19,0)</f>
        <v>0</v>
      </c>
      <c r="AW66" s="151">
        <f>VLOOKUP($AG66,装备属性!$A:$Y,20,0)</f>
        <v>0</v>
      </c>
      <c r="AX66" s="151">
        <f>VLOOKUP($AG66,装备属性!$A:$Y,21,0)</f>
        <v>0</v>
      </c>
      <c r="AY66" s="151">
        <f>VLOOKUP($AG66,装备属性!$A:$Y,22,0)</f>
        <v>0</v>
      </c>
      <c r="AZ66" s="151">
        <f>VLOOKUP($AG66,装备属性!$A:$Y,23,0)</f>
        <v>0</v>
      </c>
      <c r="BA66" s="151">
        <f>VLOOKUP($AG66,装备属性!$A:$Y,24,0)</f>
        <v>0</v>
      </c>
      <c r="BB66" s="151">
        <f>VLOOKUP($AG66,装备属性!$A:$Y,25,0)</f>
        <v>0</v>
      </c>
    </row>
    <row r="67" spans="21:54">
      <c r="AF67" s="151">
        <v>8</v>
      </c>
      <c r="AG67" s="151" t="str">
        <f>Z8</f>
        <v>狂战斧</v>
      </c>
      <c r="AH67" s="151">
        <f>VLOOKUP($AG67,装备属性!$A:$Y,5,0)</f>
        <v>0</v>
      </c>
      <c r="AI67" s="151">
        <f>VLOOKUP($AG67,装备属性!$A:$Y,6,0)</f>
        <v>0</v>
      </c>
      <c r="AJ67" s="151">
        <f>VLOOKUP($AG67,装备属性!$A:$Y,7,0)</f>
        <v>0</v>
      </c>
      <c r="AK67" s="151">
        <f>VLOOKUP($AG67,装备属性!$A:$Y,8,0)</f>
        <v>0</v>
      </c>
      <c r="AL67" s="151">
        <f>VLOOKUP($AG67,装备属性!$A:$Y,9,0)</f>
        <v>65</v>
      </c>
      <c r="AM67" s="151">
        <f>VLOOKUP($AG67,装备属性!$A:$Y,10,0)</f>
        <v>0</v>
      </c>
      <c r="AN67" s="151">
        <f>VLOOKUP($AG67,装备属性!$A:$Y,11,0)</f>
        <v>0</v>
      </c>
      <c r="AO67" s="151">
        <f>VLOOKUP($AG67,装备属性!$A:$Y,12,0)</f>
        <v>0</v>
      </c>
      <c r="AP67" s="151">
        <f>VLOOKUP($AG67,装备属性!$A:$Y,13,0)</f>
        <v>0</v>
      </c>
      <c r="AQ67" s="151">
        <f>VLOOKUP($AG67,装备属性!$A:$Y,14,0)</f>
        <v>0</v>
      </c>
      <c r="AR67" s="151">
        <f>VLOOKUP($AG67,装备属性!$A:$Y,15,0)</f>
        <v>0</v>
      </c>
      <c r="AS67" s="151">
        <f>VLOOKUP($AG67,装备属性!$A:$Y,16,0)</f>
        <v>0</v>
      </c>
      <c r="AT67" s="151">
        <f>VLOOKUP($AG67,装备属性!$A:$Y,17,0)</f>
        <v>0</v>
      </c>
      <c r="AU67" s="151">
        <f>VLOOKUP($AG67,装备属性!$A:$Y,18,0)</f>
        <v>0</v>
      </c>
      <c r="AV67" s="151">
        <f>VLOOKUP($AG67,装备属性!$A:$Y,19,0)</f>
        <v>0</v>
      </c>
      <c r="AW67" s="151">
        <f>VLOOKUP($AG67,装备属性!$A:$Y,20,0)</f>
        <v>140</v>
      </c>
      <c r="AX67" s="151">
        <f>VLOOKUP($AG67,装备属性!$A:$Y,21,0)</f>
        <v>50</v>
      </c>
      <c r="AY67" s="151">
        <f>VLOOKUP($AG67,装备属性!$A:$Y,22,0)</f>
        <v>0</v>
      </c>
      <c r="AZ67" s="151">
        <f>VLOOKUP($AG67,装备属性!$A:$Y,23,0)</f>
        <v>0</v>
      </c>
      <c r="BA67" s="151">
        <f>VLOOKUP($AG67,装备属性!$A:$Y,24,0)</f>
        <v>0</v>
      </c>
      <c r="BB67" s="151">
        <f>VLOOKUP($AG67,装备属性!$A:$Y,25,0)</f>
        <v>0</v>
      </c>
    </row>
    <row r="68" spans="21:54">
      <c r="AF68" s="151">
        <v>8</v>
      </c>
      <c r="AG68" s="151" t="str">
        <f>AA8</f>
        <v>暗灭</v>
      </c>
      <c r="AH68" s="151">
        <f>VLOOKUP($AG68,装备属性!$A:$Y,5,0)</f>
        <v>0</v>
      </c>
      <c r="AI68" s="151">
        <f>VLOOKUP($AG68,装备属性!$A:$Y,6,0)</f>
        <v>0</v>
      </c>
      <c r="AJ68" s="151">
        <f>VLOOKUP($AG68,装备属性!$A:$Y,7,0)</f>
        <v>0</v>
      </c>
      <c r="AK68" s="151">
        <f>VLOOKUP($AG68,装备属性!$A:$Y,8,0)</f>
        <v>0</v>
      </c>
      <c r="AL68" s="151">
        <f>VLOOKUP($AG68,装备属性!$A:$Y,9,0)</f>
        <v>60</v>
      </c>
      <c r="AM68" s="151">
        <f>VLOOKUP($AG68,装备属性!$A:$Y,10,0)</f>
        <v>0</v>
      </c>
      <c r="AN68" s="151">
        <f>VLOOKUP($AG68,装备属性!$A:$Y,11,0)</f>
        <v>0</v>
      </c>
      <c r="AO68" s="151">
        <f>VLOOKUP($AG68,装备属性!$A:$Y,12,0)</f>
        <v>0</v>
      </c>
      <c r="AP68" s="151">
        <f>VLOOKUP($AG68,装备属性!$A:$Y,13,0)</f>
        <v>0</v>
      </c>
      <c r="AQ68" s="151">
        <f>VLOOKUP($AG68,装备属性!$A:$Y,14,0)</f>
        <v>7</v>
      </c>
      <c r="AR68" s="151">
        <f>VLOOKUP($AG68,装备属性!$A:$Y,15,0)</f>
        <v>0</v>
      </c>
      <c r="AS68" s="151">
        <f>VLOOKUP($AG68,装备属性!$A:$Y,16,0)</f>
        <v>0</v>
      </c>
      <c r="AT68" s="151">
        <f>VLOOKUP($AG68,装备属性!$A:$Y,17,0)</f>
        <v>0</v>
      </c>
      <c r="AU68" s="151">
        <f>VLOOKUP($AG68,装备属性!$A:$Y,18,0)</f>
        <v>0</v>
      </c>
      <c r="AV68" s="151">
        <f>VLOOKUP($AG68,装备属性!$A:$Y,19,0)</f>
        <v>0</v>
      </c>
      <c r="AW68" s="151">
        <f>VLOOKUP($AG68,装备属性!$A:$Y,20,0)</f>
        <v>0</v>
      </c>
      <c r="AX68" s="151">
        <f>VLOOKUP($AG68,装备属性!$A:$Y,21,0)</f>
        <v>0</v>
      </c>
      <c r="AY68" s="151">
        <f>VLOOKUP($AG68,装备属性!$A:$Y,22,0)</f>
        <v>0</v>
      </c>
      <c r="AZ68" s="151">
        <f>VLOOKUP($AG68,装备属性!$A:$Y,23,0)</f>
        <v>0</v>
      </c>
      <c r="BA68" s="151">
        <f>VLOOKUP($AG68,装备属性!$A:$Y,24,0)</f>
        <v>0</v>
      </c>
      <c r="BB68" s="151">
        <f>VLOOKUP($AG68,装备属性!$A:$Y,25,0)</f>
        <v>0</v>
      </c>
    </row>
    <row r="69" spans="21:54">
      <c r="V69" s="48" t="s">
        <v>1104</v>
      </c>
      <c r="AF69" s="151">
        <v>8</v>
      </c>
      <c r="AG69" s="151" t="str">
        <f>AB8</f>
        <v>阔剑</v>
      </c>
      <c r="AH69" s="151">
        <f>VLOOKUP($AG69,装备属性!$A:$Y,5,0)</f>
        <v>0</v>
      </c>
      <c r="AI69" s="151">
        <f>VLOOKUP($AG69,装备属性!$A:$Y,6,0)</f>
        <v>0</v>
      </c>
      <c r="AJ69" s="151">
        <f>VLOOKUP($AG69,装备属性!$A:$Y,7,0)</f>
        <v>0</v>
      </c>
      <c r="AK69" s="151">
        <f>VLOOKUP($AG69,装备属性!$A:$Y,8,0)</f>
        <v>0</v>
      </c>
      <c r="AL69" s="151">
        <f>VLOOKUP($AG69,装备属性!$A:$Y,9,0)</f>
        <v>18</v>
      </c>
      <c r="AM69" s="151">
        <f>VLOOKUP($AG69,装备属性!$A:$Y,10,0)</f>
        <v>0</v>
      </c>
      <c r="AN69" s="151">
        <f>VLOOKUP($AG69,装备属性!$A:$Y,11,0)</f>
        <v>0</v>
      </c>
      <c r="AO69" s="151">
        <f>VLOOKUP($AG69,装备属性!$A:$Y,12,0)</f>
        <v>0</v>
      </c>
      <c r="AP69" s="151">
        <f>VLOOKUP($AG69,装备属性!$A:$Y,13,0)</f>
        <v>0</v>
      </c>
      <c r="AQ69" s="151">
        <f>VLOOKUP($AG69,装备属性!$A:$Y,14,0)</f>
        <v>0</v>
      </c>
      <c r="AR69" s="151">
        <f>VLOOKUP($AG69,装备属性!$A:$Y,15,0)</f>
        <v>0</v>
      </c>
      <c r="AS69" s="151">
        <f>VLOOKUP($AG69,装备属性!$A:$Y,16,0)</f>
        <v>0</v>
      </c>
      <c r="AT69" s="151">
        <f>VLOOKUP($AG69,装备属性!$A:$Y,17,0)</f>
        <v>0</v>
      </c>
      <c r="AU69" s="151">
        <f>VLOOKUP($AG69,装备属性!$A:$Y,18,0)</f>
        <v>0</v>
      </c>
      <c r="AV69" s="151">
        <f>VLOOKUP($AG69,装备属性!$A:$Y,19,0)</f>
        <v>0</v>
      </c>
      <c r="AW69" s="151">
        <f>VLOOKUP($AG69,装备属性!$A:$Y,20,0)</f>
        <v>0</v>
      </c>
      <c r="AX69" s="151">
        <f>VLOOKUP($AG69,装备属性!$A:$Y,21,0)</f>
        <v>0</v>
      </c>
      <c r="AY69" s="151">
        <f>VLOOKUP($AG69,装备属性!$A:$Y,22,0)</f>
        <v>0</v>
      </c>
      <c r="AZ69" s="151">
        <f>VLOOKUP($AG69,装备属性!$A:$Y,23,0)</f>
        <v>0</v>
      </c>
      <c r="BA69" s="151">
        <f>VLOOKUP($AG69,装备属性!$A:$Y,24,0)</f>
        <v>0</v>
      </c>
      <c r="BB69" s="151">
        <f>VLOOKUP($AG69,装备属性!$A:$Y,25,0)</f>
        <v>0</v>
      </c>
    </row>
    <row r="70" spans="21:54">
      <c r="U70" s="75" t="s">
        <v>1255</v>
      </c>
      <c r="V70" s="56" t="str">
        <f>IF(COUNTIF(英雄对比!C12:H13,"")=0,"","装备信息填写不全，会造成计算错误")</f>
        <v/>
      </c>
      <c r="AF70" s="151">
        <v>8</v>
      </c>
      <c r="AG70" s="151" t="str">
        <f>AC8</f>
        <v>飞鞋</v>
      </c>
      <c r="AH70" s="151">
        <f>VLOOKUP($AG70,装备属性!$A:$Y,5,0)</f>
        <v>25</v>
      </c>
      <c r="AI70" s="151">
        <f>VLOOKUP($AG70,装备属性!$A:$Y,6,0)</f>
        <v>25</v>
      </c>
      <c r="AJ70" s="151">
        <f>VLOOKUP($AG70,装备属性!$A:$Y,7,0)</f>
        <v>25</v>
      </c>
      <c r="AK70" s="151">
        <f>VLOOKUP($AG70,装备属性!$A:$Y,8,0)</f>
        <v>0</v>
      </c>
      <c r="AL70" s="151">
        <f>VLOOKUP($AG70,装备属性!$A:$Y,9,0)</f>
        <v>0</v>
      </c>
      <c r="AM70" s="151">
        <f>VLOOKUP($AG70,装备属性!$A:$Y,10,0)</f>
        <v>0</v>
      </c>
      <c r="AN70" s="151">
        <f>VLOOKUP($AG70,装备属性!$A:$Y,11,0)</f>
        <v>0</v>
      </c>
      <c r="AO70" s="151">
        <f>VLOOKUP($AG70,装备属性!$A:$Y,12,0)</f>
        <v>0</v>
      </c>
      <c r="AP70" s="151">
        <f>VLOOKUP($AG70,装备属性!$A:$Y,13,0)</f>
        <v>0</v>
      </c>
      <c r="AQ70" s="151">
        <f>VLOOKUP($AG70,装备属性!$A:$Y,14,0)</f>
        <v>0</v>
      </c>
      <c r="AR70" s="151">
        <f>VLOOKUP($AG70,装备属性!$A:$Y,15,0)</f>
        <v>0</v>
      </c>
      <c r="AS70" s="151">
        <f>VLOOKUP($AG70,装备属性!$A:$Y,16,0)</f>
        <v>0</v>
      </c>
      <c r="AT70" s="151">
        <f>VLOOKUP($AG70,装备属性!$A:$Y,17,0)</f>
        <v>0</v>
      </c>
      <c r="AU70" s="151">
        <f>VLOOKUP($AG70,装备属性!$A:$Y,18,0)</f>
        <v>0</v>
      </c>
      <c r="AV70" s="151">
        <f>VLOOKUP($AG70,装备属性!$A:$Y,19,0)</f>
        <v>0</v>
      </c>
      <c r="AW70" s="151">
        <f>VLOOKUP($AG70,装备属性!$A:$Y,20,0)</f>
        <v>0</v>
      </c>
      <c r="AX70" s="151">
        <f>VLOOKUP($AG70,装备属性!$A:$Y,21,0)</f>
        <v>0</v>
      </c>
      <c r="AY70" s="151">
        <f>VLOOKUP($AG70,装备属性!$A:$Y,22,0)</f>
        <v>0</v>
      </c>
      <c r="AZ70" s="151">
        <f>VLOOKUP($AG70,装备属性!$A:$Y,23,0)</f>
        <v>0</v>
      </c>
      <c r="BA70" s="151">
        <f>VLOOKUP($AG70,装备属性!$A:$Y,24,0)</f>
        <v>0</v>
      </c>
      <c r="BB70" s="151">
        <f>VLOOKUP($AG70,装备属性!$A:$Y,25,0)</f>
        <v>0</v>
      </c>
    </row>
    <row r="71" spans="21:54">
      <c r="U71" s="75" t="s">
        <v>1256</v>
      </c>
      <c r="V71" s="231" t="str">
        <f>IF(OR(COUNTIF('我需要您！'!$Q:$Q,英雄对比!$C$11)=1,COUNTIF('我需要您！'!$Q:$Q,英雄对比!$D$11)=1,COUNTIF('我需要您！'!$Q:$Q,英雄对比!$E$11)=1,COUNTIF('我需要您！'!$Q:$Q,英雄对比!$F$11)=1,COUNTIF('我需要您！'!$Q:$Q,英雄对比!$G$11)=1,COUNTIF('我需要您！'!$Q:$Q,英雄对比!$G$11)=1),"抱歉，装备中的某件装备数据库里没有附魔数据，会影响计算结果（请在“我需要您！”里查看没有附魔数据的装备列表，也请你帮助我补充数据）。","")</f>
        <v/>
      </c>
      <c r="W71" s="231"/>
      <c r="X71" s="231"/>
      <c r="Y71" s="231"/>
      <c r="Z71" s="231"/>
      <c r="AA71" s="231"/>
      <c r="AF71" s="151">
        <v>9</v>
      </c>
      <c r="AG71" s="151" t="str">
        <f>X9</f>
        <v>长笛</v>
      </c>
      <c r="AH71" s="151">
        <f>VLOOKUP($AG71,装备属性!$A:$Y,5,0)</f>
        <v>0</v>
      </c>
      <c r="AI71" s="151">
        <f>VLOOKUP($AG71,装备属性!$A:$Y,6,0)</f>
        <v>0</v>
      </c>
      <c r="AJ71" s="151">
        <f>VLOOKUP($AG71,装备属性!$A:$Y,7,0)</f>
        <v>0</v>
      </c>
      <c r="AK71" s="151">
        <f>VLOOKUP($AG71,装备属性!$A:$Y,8,0)</f>
        <v>0</v>
      </c>
      <c r="AL71" s="151">
        <f>VLOOKUP($AG71,装备属性!$A:$Y,9,0)</f>
        <v>0</v>
      </c>
      <c r="AM71" s="151">
        <f>VLOOKUP($AG71,装备属性!$A:$Y,10,0)</f>
        <v>0</v>
      </c>
      <c r="AN71" s="151">
        <f>VLOOKUP($AG71,装备属性!$A:$Y,11,0)</f>
        <v>0</v>
      </c>
      <c r="AO71" s="151">
        <f>VLOOKUP($AG71,装备属性!$A:$Y,12,0)</f>
        <v>35</v>
      </c>
      <c r="AP71" s="151">
        <f>VLOOKUP($AG71,装备属性!$A:$Y,13,0)</f>
        <v>0</v>
      </c>
      <c r="AQ71" s="151">
        <f>VLOOKUP($AG71,装备属性!$A:$Y,14,0)</f>
        <v>0</v>
      </c>
      <c r="AR71" s="151">
        <f>VLOOKUP($AG71,装备属性!$A:$Y,15,0)</f>
        <v>0</v>
      </c>
      <c r="AS71" s="151">
        <f>VLOOKUP($AG71,装备属性!$A:$Y,16,0)</f>
        <v>0</v>
      </c>
      <c r="AT71" s="151">
        <f>VLOOKUP($AG71,装备属性!$A:$Y,17,0)</f>
        <v>0</v>
      </c>
      <c r="AU71" s="151">
        <f>VLOOKUP($AG71,装备属性!$A:$Y,18,0)</f>
        <v>0</v>
      </c>
      <c r="AV71" s="151">
        <f>VLOOKUP($AG71,装备属性!$A:$Y,19,0)</f>
        <v>0</v>
      </c>
      <c r="AW71" s="151">
        <f>VLOOKUP($AG71,装备属性!$A:$Y,20,0)</f>
        <v>100</v>
      </c>
      <c r="AX71" s="151">
        <f>VLOOKUP($AG71,装备属性!$A:$Y,21,0)</f>
        <v>0</v>
      </c>
      <c r="AY71" s="151">
        <f>VLOOKUP($AG71,装备属性!$A:$Y,22,0)</f>
        <v>0</v>
      </c>
      <c r="AZ71" s="151">
        <f>VLOOKUP($AG71,装备属性!$A:$Y,23,0)</f>
        <v>0</v>
      </c>
      <c r="BA71" s="151">
        <f>VLOOKUP($AG71,装备属性!$A:$Y,24,0)</f>
        <v>0</v>
      </c>
      <c r="BB71" s="151">
        <f>VLOOKUP($AG71,装备属性!$A:$Y,25,0)</f>
        <v>0</v>
      </c>
    </row>
    <row r="72" spans="21:54">
      <c r="V72" s="231"/>
      <c r="W72" s="231"/>
      <c r="X72" s="231"/>
      <c r="Y72" s="231"/>
      <c r="Z72" s="231"/>
      <c r="AA72" s="231"/>
      <c r="AF72" s="151">
        <v>9</v>
      </c>
      <c r="AG72" s="151" t="str">
        <f>Y9</f>
        <v>深渊之刃</v>
      </c>
      <c r="AH72" s="151">
        <f>VLOOKUP($AG72,装备属性!$A:$Y,5,0)</f>
        <v>10</v>
      </c>
      <c r="AI72" s="151">
        <f>VLOOKUP($AG72,装备属性!$A:$Y,6,0)</f>
        <v>0</v>
      </c>
      <c r="AJ72" s="151">
        <f>VLOOKUP($AG72,装备属性!$A:$Y,7,0)</f>
        <v>0</v>
      </c>
      <c r="AK72" s="151">
        <f>VLOOKUP($AG72,装备属性!$A:$Y,8,0)</f>
        <v>0</v>
      </c>
      <c r="AL72" s="151">
        <f>VLOOKUP($AG72,装备属性!$A:$Y,9,0)</f>
        <v>100</v>
      </c>
      <c r="AM72" s="151">
        <f>VLOOKUP($AG72,装备属性!$A:$Y,10,0)</f>
        <v>0</v>
      </c>
      <c r="AN72" s="151">
        <f>VLOOKUP($AG72,装备属性!$A:$Y,11,0)</f>
        <v>0</v>
      </c>
      <c r="AO72" s="151">
        <f>VLOOKUP($AG72,装备属性!$A:$Y,12,0)</f>
        <v>0</v>
      </c>
      <c r="AP72" s="151">
        <f>VLOOKUP($AG72,装备属性!$A:$Y,13,0)</f>
        <v>30</v>
      </c>
      <c r="AQ72" s="151">
        <f>VLOOKUP($AG72,装备属性!$A:$Y,14,0)</f>
        <v>0</v>
      </c>
      <c r="AR72" s="151">
        <f>VLOOKUP($AG72,装备属性!$A:$Y,15,0)</f>
        <v>0</v>
      </c>
      <c r="AS72" s="151">
        <f>VLOOKUP($AG72,装备属性!$A:$Y,16,0)</f>
        <v>0</v>
      </c>
      <c r="AT72" s="151">
        <f>VLOOKUP($AG72,装备属性!$A:$Y,17,0)</f>
        <v>0</v>
      </c>
      <c r="AU72" s="151">
        <f>VLOOKUP($AG72,装备属性!$A:$Y,18,0)</f>
        <v>0</v>
      </c>
      <c r="AV72" s="151">
        <f>VLOOKUP($AG72,装备属性!$A:$Y,19,0)</f>
        <v>0</v>
      </c>
      <c r="AW72" s="151">
        <f>VLOOKUP($AG72,装备属性!$A:$Y,20,0)</f>
        <v>0</v>
      </c>
      <c r="AX72" s="151">
        <f>VLOOKUP($AG72,装备属性!$A:$Y,21,0)</f>
        <v>0</v>
      </c>
      <c r="AY72" s="151">
        <f>VLOOKUP($AG72,装备属性!$A:$Y,22,0)</f>
        <v>0</v>
      </c>
      <c r="AZ72" s="151">
        <f>VLOOKUP($AG72,装备属性!$A:$Y,23,0)</f>
        <v>0</v>
      </c>
      <c r="BA72" s="151">
        <f>VLOOKUP($AG72,装备属性!$A:$Y,24,0)</f>
        <v>0</v>
      </c>
      <c r="BB72" s="151">
        <f>VLOOKUP($AG72,装备属性!$A:$Y,25,0)</f>
        <v>0</v>
      </c>
    </row>
    <row r="73" spans="21:54">
      <c r="V73" s="53"/>
      <c r="AF73" s="151">
        <v>9</v>
      </c>
      <c r="AG73" s="151" t="str">
        <f>Z9</f>
        <v>秘银锤</v>
      </c>
      <c r="AH73" s="151">
        <f>VLOOKUP($AG73,装备属性!$A:$Y,5,0)</f>
        <v>0</v>
      </c>
      <c r="AI73" s="151">
        <f>VLOOKUP($AG73,装备属性!$A:$Y,6,0)</f>
        <v>0</v>
      </c>
      <c r="AJ73" s="151">
        <f>VLOOKUP($AG73,装备属性!$A:$Y,7,0)</f>
        <v>0</v>
      </c>
      <c r="AK73" s="151">
        <f>VLOOKUP($AG73,装备属性!$A:$Y,8,0)</f>
        <v>0</v>
      </c>
      <c r="AL73" s="151">
        <f>VLOOKUP($AG73,装备属性!$A:$Y,9,0)</f>
        <v>24</v>
      </c>
      <c r="AM73" s="151">
        <f>VLOOKUP($AG73,装备属性!$A:$Y,10,0)</f>
        <v>0</v>
      </c>
      <c r="AN73" s="151">
        <f>VLOOKUP($AG73,装备属性!$A:$Y,11,0)</f>
        <v>0</v>
      </c>
      <c r="AO73" s="151">
        <f>VLOOKUP($AG73,装备属性!$A:$Y,12,0)</f>
        <v>0</v>
      </c>
      <c r="AP73" s="151">
        <f>VLOOKUP($AG73,装备属性!$A:$Y,13,0)</f>
        <v>0</v>
      </c>
      <c r="AQ73" s="151">
        <f>VLOOKUP($AG73,装备属性!$A:$Y,14,0)</f>
        <v>0</v>
      </c>
      <c r="AR73" s="151">
        <f>VLOOKUP($AG73,装备属性!$A:$Y,15,0)</f>
        <v>0</v>
      </c>
      <c r="AS73" s="151">
        <f>VLOOKUP($AG73,装备属性!$A:$Y,16,0)</f>
        <v>0</v>
      </c>
      <c r="AT73" s="151">
        <f>VLOOKUP($AG73,装备属性!$A:$Y,17,0)</f>
        <v>0</v>
      </c>
      <c r="AU73" s="151">
        <f>VLOOKUP($AG73,装备属性!$A:$Y,18,0)</f>
        <v>0</v>
      </c>
      <c r="AV73" s="151">
        <f>VLOOKUP($AG73,装备属性!$A:$Y,19,0)</f>
        <v>0</v>
      </c>
      <c r="AW73" s="151">
        <f>VLOOKUP($AG73,装备属性!$A:$Y,20,0)</f>
        <v>0</v>
      </c>
      <c r="AX73" s="151">
        <f>VLOOKUP($AG73,装备属性!$A:$Y,21,0)</f>
        <v>0</v>
      </c>
      <c r="AY73" s="151">
        <f>VLOOKUP($AG73,装备属性!$A:$Y,22,0)</f>
        <v>0</v>
      </c>
      <c r="AZ73" s="151">
        <f>VLOOKUP($AG73,装备属性!$A:$Y,23,0)</f>
        <v>0</v>
      </c>
      <c r="BA73" s="151">
        <f>VLOOKUP($AG73,装备属性!$A:$Y,24,0)</f>
        <v>0</v>
      </c>
      <c r="BB73" s="151">
        <f>VLOOKUP($AG73,装备属性!$A:$Y,25,0)</f>
        <v>0</v>
      </c>
    </row>
    <row r="74" spans="21:54">
      <c r="V74" s="53"/>
      <c r="AF74" s="151">
        <v>9</v>
      </c>
      <c r="AG74" s="151" t="str">
        <f>AA9</f>
        <v>洛萨</v>
      </c>
      <c r="AH74" s="151">
        <f>VLOOKUP($AG74,装备属性!$A:$Y,5,0)</f>
        <v>0</v>
      </c>
      <c r="AI74" s="151">
        <f>VLOOKUP($AG74,装备属性!$A:$Y,6,0)</f>
        <v>0</v>
      </c>
      <c r="AJ74" s="151">
        <f>VLOOKUP($AG74,装备属性!$A:$Y,7,0)</f>
        <v>0</v>
      </c>
      <c r="AK74" s="151">
        <f>VLOOKUP($AG74,装备属性!$A:$Y,8,0)</f>
        <v>0</v>
      </c>
      <c r="AL74" s="151">
        <f>VLOOKUP($AG74,装备属性!$A:$Y,9,0)</f>
        <v>30</v>
      </c>
      <c r="AM74" s="151">
        <f>VLOOKUP($AG74,装备属性!$A:$Y,10,0)</f>
        <v>0</v>
      </c>
      <c r="AN74" s="151">
        <f>VLOOKUP($AG74,装备属性!$A:$Y,11,0)</f>
        <v>0</v>
      </c>
      <c r="AO74" s="151">
        <f>VLOOKUP($AG74,装备属性!$A:$Y,12,0)</f>
        <v>0</v>
      </c>
      <c r="AP74" s="151">
        <f>VLOOKUP($AG74,装备属性!$A:$Y,13,0)</f>
        <v>15</v>
      </c>
      <c r="AQ74" s="151">
        <f>VLOOKUP($AG74,装备属性!$A:$Y,14,0)</f>
        <v>0</v>
      </c>
      <c r="AR74" s="151">
        <f>VLOOKUP($AG74,装备属性!$A:$Y,15,0)</f>
        <v>0</v>
      </c>
      <c r="AS74" s="151">
        <f>VLOOKUP($AG74,装备属性!$A:$Y,16,0)</f>
        <v>0</v>
      </c>
      <c r="AT74" s="151">
        <f>VLOOKUP($AG74,装备属性!$A:$Y,17,0)</f>
        <v>0</v>
      </c>
      <c r="AU74" s="151">
        <f>VLOOKUP($AG74,装备属性!$A:$Y,18,0)</f>
        <v>0</v>
      </c>
      <c r="AV74" s="151">
        <f>VLOOKUP($AG74,装备属性!$A:$Y,19,0)</f>
        <v>0</v>
      </c>
      <c r="AW74" s="151">
        <f>VLOOKUP($AG74,装备属性!$A:$Y,20,0)</f>
        <v>0</v>
      </c>
      <c r="AX74" s="151">
        <f>VLOOKUP($AG74,装备属性!$A:$Y,21,0)</f>
        <v>0</v>
      </c>
      <c r="AY74" s="151">
        <f>VLOOKUP($AG74,装备属性!$A:$Y,22,0)</f>
        <v>0</v>
      </c>
      <c r="AZ74" s="151">
        <f>VLOOKUP($AG74,装备属性!$A:$Y,23,0)</f>
        <v>0</v>
      </c>
      <c r="BA74" s="151">
        <f>VLOOKUP($AG74,装备属性!$A:$Y,24,0)</f>
        <v>0</v>
      </c>
      <c r="BB74" s="151">
        <f>VLOOKUP($AG74,装备属性!$A:$Y,25,0)</f>
        <v>0</v>
      </c>
    </row>
    <row r="75" spans="21:54">
      <c r="V75" s="53"/>
      <c r="AF75" s="151">
        <v>9</v>
      </c>
      <c r="AG75" s="151" t="str">
        <f>AB9</f>
        <v>祭品</v>
      </c>
      <c r="AH75" s="151">
        <f>VLOOKUP($AG75,装备属性!$A:$Y,5,0)</f>
        <v>0</v>
      </c>
      <c r="AI75" s="151">
        <f>VLOOKUP($AG75,装备属性!$A:$Y,6,0)</f>
        <v>0</v>
      </c>
      <c r="AJ75" s="151">
        <f>VLOOKUP($AG75,装备属性!$A:$Y,7,0)</f>
        <v>0</v>
      </c>
      <c r="AK75" s="151">
        <f>VLOOKUP($AG75,装备属性!$A:$Y,8,0)</f>
        <v>0</v>
      </c>
      <c r="AL75" s="151">
        <f>VLOOKUP($AG75,装备属性!$A:$Y,9,0)</f>
        <v>0</v>
      </c>
      <c r="AM75" s="151">
        <f>VLOOKUP($AG75,装备属性!$A:$Y,10,0)</f>
        <v>0</v>
      </c>
      <c r="AN75" s="151">
        <f>VLOOKUP($AG75,装备属性!$A:$Y,11,0)</f>
        <v>5</v>
      </c>
      <c r="AO75" s="151">
        <f>VLOOKUP($AG75,装备属性!$A:$Y,12,0)</f>
        <v>0</v>
      </c>
      <c r="AP75" s="151">
        <f>VLOOKUP($AG75,装备属性!$A:$Y,13,0)</f>
        <v>15</v>
      </c>
      <c r="AQ75" s="151">
        <f>VLOOKUP($AG75,装备属性!$A:$Y,14,0)</f>
        <v>0</v>
      </c>
      <c r="AR75" s="151">
        <f>VLOOKUP($AG75,装备属性!$A:$Y,15,0)</f>
        <v>0</v>
      </c>
      <c r="AS75" s="151">
        <f>VLOOKUP($AG75,装备属性!$A:$Y,16,0)</f>
        <v>0</v>
      </c>
      <c r="AT75" s="151">
        <f>VLOOKUP($AG75,装备属性!$A:$Y,17,0)</f>
        <v>16</v>
      </c>
      <c r="AU75" s="151">
        <f>VLOOKUP($AG75,装备属性!$A:$Y,18,0)</f>
        <v>0</v>
      </c>
      <c r="AV75" s="151">
        <f>VLOOKUP($AG75,装备属性!$A:$Y,19,0)</f>
        <v>0</v>
      </c>
      <c r="AW75" s="151">
        <f>VLOOKUP($AG75,装备属性!$A:$Y,20,0)</f>
        <v>0</v>
      </c>
      <c r="AX75" s="151">
        <f>VLOOKUP($AG75,装备属性!$A:$Y,21,0)</f>
        <v>40</v>
      </c>
      <c r="AY75" s="151">
        <f>VLOOKUP($AG75,装备属性!$A:$Y,22,0)</f>
        <v>0</v>
      </c>
      <c r="AZ75" s="151">
        <f>VLOOKUP($AG75,装备属性!$A:$Y,23,0)</f>
        <v>0</v>
      </c>
      <c r="BA75" s="151">
        <f>VLOOKUP($AG75,装备属性!$A:$Y,24,0)</f>
        <v>0</v>
      </c>
      <c r="BB75" s="151">
        <f>VLOOKUP($AG75,装备属性!$A:$Y,25,0)</f>
        <v>0</v>
      </c>
    </row>
    <row r="76" spans="21:54">
      <c r="AF76" s="151">
        <v>9</v>
      </c>
      <c r="AG76" s="151" t="str">
        <f>AC9</f>
        <v>飞鞋</v>
      </c>
      <c r="AH76" s="151">
        <f>VLOOKUP($AG76,装备属性!$A:$Y,5,0)</f>
        <v>25</v>
      </c>
      <c r="AI76" s="151">
        <f>VLOOKUP($AG76,装备属性!$A:$Y,6,0)</f>
        <v>25</v>
      </c>
      <c r="AJ76" s="151">
        <f>VLOOKUP($AG76,装备属性!$A:$Y,7,0)</f>
        <v>25</v>
      </c>
      <c r="AK76" s="151">
        <f>VLOOKUP($AG76,装备属性!$A:$Y,8,0)</f>
        <v>0</v>
      </c>
      <c r="AL76" s="151">
        <f>VLOOKUP($AG76,装备属性!$A:$Y,9,0)</f>
        <v>0</v>
      </c>
      <c r="AM76" s="151">
        <f>VLOOKUP($AG76,装备属性!$A:$Y,10,0)</f>
        <v>0</v>
      </c>
      <c r="AN76" s="151">
        <f>VLOOKUP($AG76,装备属性!$A:$Y,11,0)</f>
        <v>0</v>
      </c>
      <c r="AO76" s="151">
        <f>VLOOKUP($AG76,装备属性!$A:$Y,12,0)</f>
        <v>0</v>
      </c>
      <c r="AP76" s="151">
        <f>VLOOKUP($AG76,装备属性!$A:$Y,13,0)</f>
        <v>0</v>
      </c>
      <c r="AQ76" s="151">
        <f>VLOOKUP($AG76,装备属性!$A:$Y,14,0)</f>
        <v>0</v>
      </c>
      <c r="AR76" s="151">
        <f>VLOOKUP($AG76,装备属性!$A:$Y,15,0)</f>
        <v>0</v>
      </c>
      <c r="AS76" s="151">
        <f>VLOOKUP($AG76,装备属性!$A:$Y,16,0)</f>
        <v>0</v>
      </c>
      <c r="AT76" s="151">
        <f>VLOOKUP($AG76,装备属性!$A:$Y,17,0)</f>
        <v>0</v>
      </c>
      <c r="AU76" s="151">
        <f>VLOOKUP($AG76,装备属性!$A:$Y,18,0)</f>
        <v>0</v>
      </c>
      <c r="AV76" s="151">
        <f>VLOOKUP($AG76,装备属性!$A:$Y,19,0)</f>
        <v>0</v>
      </c>
      <c r="AW76" s="151">
        <f>VLOOKUP($AG76,装备属性!$A:$Y,20,0)</f>
        <v>0</v>
      </c>
      <c r="AX76" s="151">
        <f>VLOOKUP($AG76,装备属性!$A:$Y,21,0)</f>
        <v>0</v>
      </c>
      <c r="AY76" s="151">
        <f>VLOOKUP($AG76,装备属性!$A:$Y,22,0)</f>
        <v>0</v>
      </c>
      <c r="AZ76" s="151">
        <f>VLOOKUP($AG76,装备属性!$A:$Y,23,0)</f>
        <v>0</v>
      </c>
      <c r="BA76" s="151">
        <f>VLOOKUP($AG76,装备属性!$A:$Y,24,0)</f>
        <v>0</v>
      </c>
      <c r="BB76" s="151">
        <f>VLOOKUP($AG76,装备属性!$A:$Y,25,0)</f>
        <v>0</v>
      </c>
    </row>
    <row r="77" spans="21:54">
      <c r="AF77" s="151">
        <v>10</v>
      </c>
      <c r="AG77" s="151" t="str">
        <f>X10</f>
        <v>大炮</v>
      </c>
      <c r="AH77" s="151">
        <f>VLOOKUP($AG77,装备属性!$A:$Y,5,0)</f>
        <v>0</v>
      </c>
      <c r="AI77" s="151">
        <f>VLOOKUP($AG77,装备属性!$A:$Y,6,0)</f>
        <v>0</v>
      </c>
      <c r="AJ77" s="151">
        <f>VLOOKUP($AG77,装备属性!$A:$Y,7,0)</f>
        <v>0</v>
      </c>
      <c r="AK77" s="151">
        <f>VLOOKUP($AG77,装备属性!$A:$Y,8,0)</f>
        <v>0</v>
      </c>
      <c r="AL77" s="151">
        <f>VLOOKUP($AG77,装备属性!$A:$Y,9,0)</f>
        <v>81</v>
      </c>
      <c r="AM77" s="151">
        <f>VLOOKUP($AG77,装备属性!$A:$Y,10,0)</f>
        <v>0</v>
      </c>
      <c r="AN77" s="151">
        <f>VLOOKUP($AG77,装备属性!$A:$Y,11,0)</f>
        <v>0</v>
      </c>
      <c r="AO77" s="151">
        <f>VLOOKUP($AG77,装备属性!$A:$Y,12,0)</f>
        <v>0</v>
      </c>
      <c r="AP77" s="151">
        <f>VLOOKUP($AG77,装备属性!$A:$Y,13,0)</f>
        <v>50</v>
      </c>
      <c r="AQ77" s="151">
        <f>VLOOKUP($AG77,装备属性!$A:$Y,14,0)</f>
        <v>0</v>
      </c>
      <c r="AR77" s="151">
        <f>VLOOKUP($AG77,装备属性!$A:$Y,15,0)</f>
        <v>0</v>
      </c>
      <c r="AS77" s="151">
        <f>VLOOKUP($AG77,装备属性!$A:$Y,16,0)</f>
        <v>0</v>
      </c>
      <c r="AT77" s="151">
        <f>VLOOKUP($AG77,装备属性!$A:$Y,17,0)</f>
        <v>0</v>
      </c>
      <c r="AU77" s="151">
        <f>VLOOKUP($AG77,装备属性!$A:$Y,18,0)</f>
        <v>0</v>
      </c>
      <c r="AV77" s="151">
        <f>VLOOKUP($AG77,装备属性!$A:$Y,19,0)</f>
        <v>0</v>
      </c>
      <c r="AW77" s="151">
        <f>VLOOKUP($AG77,装备属性!$A:$Y,20,0)</f>
        <v>0</v>
      </c>
      <c r="AX77" s="151">
        <f>VLOOKUP($AG77,装备属性!$A:$Y,21,0)</f>
        <v>0</v>
      </c>
      <c r="AY77" s="151">
        <f>VLOOKUP($AG77,装备属性!$A:$Y,22,0)</f>
        <v>0</v>
      </c>
      <c r="AZ77" s="151">
        <f>VLOOKUP($AG77,装备属性!$A:$Y,23,0)</f>
        <v>0</v>
      </c>
      <c r="BA77" s="151">
        <f>VLOOKUP($AG77,装备属性!$A:$Y,24,0)</f>
        <v>0</v>
      </c>
      <c r="BB77" s="151">
        <f>VLOOKUP($AG77,装备属性!$A:$Y,25,0)</f>
        <v>0</v>
      </c>
    </row>
    <row r="78" spans="21:54">
      <c r="AF78" s="151">
        <v>10</v>
      </c>
      <c r="AG78" s="151" t="str">
        <f>Y10</f>
        <v>金箍棒</v>
      </c>
      <c r="AH78" s="151">
        <f>VLOOKUP($AG78,装备属性!$A:$Y,5,0)</f>
        <v>0</v>
      </c>
      <c r="AI78" s="151">
        <f>VLOOKUP($AG78,装备属性!$A:$Y,6,0)</f>
        <v>0</v>
      </c>
      <c r="AJ78" s="151">
        <f>VLOOKUP($AG78,装备属性!$A:$Y,7,0)</f>
        <v>0</v>
      </c>
      <c r="AK78" s="151">
        <f>VLOOKUP($AG78,装备属性!$A:$Y,8,0)</f>
        <v>0</v>
      </c>
      <c r="AL78" s="151">
        <f>VLOOKUP($AG78,装备属性!$A:$Y,9,0)</f>
        <v>88</v>
      </c>
      <c r="AM78" s="151">
        <f>VLOOKUP($AG78,装备属性!$A:$Y,10,0)</f>
        <v>0</v>
      </c>
      <c r="AN78" s="151">
        <f>VLOOKUP($AG78,装备属性!$A:$Y,11,0)</f>
        <v>0</v>
      </c>
      <c r="AO78" s="151">
        <f>VLOOKUP($AG78,装备属性!$A:$Y,12,0)</f>
        <v>0</v>
      </c>
      <c r="AP78" s="151">
        <f>VLOOKUP($AG78,装备属性!$A:$Y,13,0)</f>
        <v>15</v>
      </c>
      <c r="AQ78" s="151">
        <f>VLOOKUP($AG78,装备属性!$A:$Y,14,0)</f>
        <v>10</v>
      </c>
      <c r="AR78" s="151">
        <f>VLOOKUP($AG78,装备属性!$A:$Y,15,0)</f>
        <v>0</v>
      </c>
      <c r="AS78" s="151">
        <f>VLOOKUP($AG78,装备属性!$A:$Y,16,0)</f>
        <v>0</v>
      </c>
      <c r="AT78" s="151">
        <f>VLOOKUP($AG78,装备属性!$A:$Y,17,0)</f>
        <v>0</v>
      </c>
      <c r="AU78" s="151">
        <f>VLOOKUP($AG78,装备属性!$A:$Y,18,0)</f>
        <v>0</v>
      </c>
      <c r="AV78" s="151">
        <f>VLOOKUP($AG78,装备属性!$A:$Y,19,0)</f>
        <v>0</v>
      </c>
      <c r="AW78" s="151">
        <f>VLOOKUP($AG78,装备属性!$A:$Y,20,0)</f>
        <v>0</v>
      </c>
      <c r="AX78" s="151">
        <f>VLOOKUP($AG78,装备属性!$A:$Y,21,0)</f>
        <v>0</v>
      </c>
      <c r="AY78" s="151">
        <f>VLOOKUP($AG78,装备属性!$A:$Y,22,0)</f>
        <v>0</v>
      </c>
      <c r="AZ78" s="151">
        <f>VLOOKUP($AG78,装备属性!$A:$Y,23,0)</f>
        <v>0</v>
      </c>
      <c r="BA78" s="151">
        <f>VLOOKUP($AG78,装备属性!$A:$Y,24,0)</f>
        <v>0</v>
      </c>
      <c r="BB78" s="151">
        <f>VLOOKUP($AG78,装备属性!$A:$Y,25,0)</f>
        <v>0</v>
      </c>
    </row>
    <row r="79" spans="21:54">
      <c r="AF79" s="151">
        <v>10</v>
      </c>
      <c r="AG79" s="151" t="str">
        <f>Z10</f>
        <v>龙心</v>
      </c>
      <c r="AH79" s="151">
        <f>VLOOKUP($AG79,装备属性!$A:$Y,5,0)</f>
        <v>40</v>
      </c>
      <c r="AI79" s="151">
        <f>VLOOKUP($AG79,装备属性!$A:$Y,6,0)</f>
        <v>0</v>
      </c>
      <c r="AJ79" s="151">
        <f>VLOOKUP($AG79,装备属性!$A:$Y,7,0)</f>
        <v>0</v>
      </c>
      <c r="AK79" s="151">
        <f>VLOOKUP($AG79,装备属性!$A:$Y,8,0)</f>
        <v>600</v>
      </c>
      <c r="AL79" s="151">
        <f>VLOOKUP($AG79,装备属性!$A:$Y,9,0)</f>
        <v>0</v>
      </c>
      <c r="AM79" s="151">
        <f>VLOOKUP($AG79,装备属性!$A:$Y,10,0)</f>
        <v>0</v>
      </c>
      <c r="AN79" s="151">
        <f>VLOOKUP($AG79,装备属性!$A:$Y,11,0)</f>
        <v>0</v>
      </c>
      <c r="AO79" s="151">
        <f>VLOOKUP($AG79,装备属性!$A:$Y,12,0)</f>
        <v>0</v>
      </c>
      <c r="AP79" s="151">
        <f>VLOOKUP($AG79,装备属性!$A:$Y,13,0)</f>
        <v>0</v>
      </c>
      <c r="AQ79" s="151">
        <f>VLOOKUP($AG79,装备属性!$A:$Y,14,0)</f>
        <v>0</v>
      </c>
      <c r="AR79" s="151">
        <f>VLOOKUP($AG79,装备属性!$A:$Y,15,0)</f>
        <v>0</v>
      </c>
      <c r="AS79" s="151">
        <f>VLOOKUP($AG79,装备属性!$A:$Y,16,0)</f>
        <v>0</v>
      </c>
      <c r="AT79" s="151">
        <f>VLOOKUP($AG79,装备属性!$A:$Y,17,0)</f>
        <v>0</v>
      </c>
      <c r="AU79" s="151">
        <f>VLOOKUP($AG79,装备属性!$A:$Y,18,0)</f>
        <v>0</v>
      </c>
      <c r="AV79" s="151">
        <f>VLOOKUP($AG79,装备属性!$A:$Y,19,0)</f>
        <v>0</v>
      </c>
      <c r="AW79" s="151">
        <f>VLOOKUP($AG79,装备属性!$A:$Y,20,0)</f>
        <v>600</v>
      </c>
      <c r="AX79" s="151">
        <f>VLOOKUP($AG79,装备属性!$A:$Y,21,0)</f>
        <v>0</v>
      </c>
      <c r="AY79" s="151">
        <f>VLOOKUP($AG79,装备属性!$A:$Y,22,0)</f>
        <v>0</v>
      </c>
      <c r="AZ79" s="151">
        <f>VLOOKUP($AG79,装备属性!$A:$Y,23,0)</f>
        <v>0</v>
      </c>
      <c r="BA79" s="151">
        <f>VLOOKUP($AG79,装备属性!$A:$Y,24,0)</f>
        <v>0</v>
      </c>
      <c r="BB79" s="151">
        <f>VLOOKUP($AG79,装备属性!$A:$Y,25,0)</f>
        <v>0</v>
      </c>
    </row>
    <row r="80" spans="21:54">
      <c r="AF80" s="151">
        <v>10</v>
      </c>
      <c r="AG80" s="151" t="str">
        <f>AA10</f>
        <v>黑黄</v>
      </c>
      <c r="AH80" s="151">
        <f>VLOOKUP($AG80,装备属性!$A:$Y,5,0)</f>
        <v>10</v>
      </c>
      <c r="AI80" s="151">
        <f>VLOOKUP($AG80,装备属性!$A:$Y,6,0)</f>
        <v>0</v>
      </c>
      <c r="AJ80" s="151">
        <f>VLOOKUP($AG80,装备属性!$A:$Y,7,0)</f>
        <v>0</v>
      </c>
      <c r="AK80" s="151">
        <f>VLOOKUP($AG80,装备属性!$A:$Y,8,0)</f>
        <v>0</v>
      </c>
      <c r="AL80" s="151">
        <f>VLOOKUP($AG80,装备属性!$A:$Y,9,0)</f>
        <v>24</v>
      </c>
      <c r="AM80" s="151">
        <f>VLOOKUP($AG80,装备属性!$A:$Y,10,0)</f>
        <v>0</v>
      </c>
      <c r="AN80" s="151">
        <f>VLOOKUP($AG80,装备属性!$A:$Y,11,0)</f>
        <v>0</v>
      </c>
      <c r="AO80" s="151">
        <f>VLOOKUP($AG80,装备属性!$A:$Y,12,0)</f>
        <v>10</v>
      </c>
      <c r="AP80" s="151">
        <f>VLOOKUP($AG80,装备属性!$A:$Y,13,0)</f>
        <v>0</v>
      </c>
      <c r="AQ80" s="151">
        <f>VLOOKUP($AG80,装备属性!$A:$Y,14,0)</f>
        <v>0</v>
      </c>
      <c r="AR80" s="151">
        <f>VLOOKUP($AG80,装备属性!$A:$Y,15,0)</f>
        <v>0</v>
      </c>
      <c r="AS80" s="151">
        <f>VLOOKUP($AG80,装备属性!$A:$Y,16,0)</f>
        <v>0</v>
      </c>
      <c r="AT80" s="151">
        <f>VLOOKUP($AG80,装备属性!$A:$Y,17,0)</f>
        <v>0</v>
      </c>
      <c r="AU80" s="151">
        <f>VLOOKUP($AG80,装备属性!$A:$Y,18,0)</f>
        <v>0</v>
      </c>
      <c r="AV80" s="151">
        <f>VLOOKUP($AG80,装备属性!$A:$Y,19,0)</f>
        <v>0</v>
      </c>
      <c r="AW80" s="151">
        <f>VLOOKUP($AG80,装备属性!$A:$Y,20,0)</f>
        <v>0</v>
      </c>
      <c r="AX80" s="151">
        <f>VLOOKUP($AG80,装备属性!$A:$Y,21,0)</f>
        <v>0</v>
      </c>
      <c r="AY80" s="151">
        <f>VLOOKUP($AG80,装备属性!$A:$Y,22,0)</f>
        <v>0</v>
      </c>
      <c r="AZ80" s="151">
        <f>VLOOKUP($AG80,装备属性!$A:$Y,23,0)</f>
        <v>0</v>
      </c>
      <c r="BA80" s="151">
        <f>VLOOKUP($AG80,装备属性!$A:$Y,24,0)</f>
        <v>0</v>
      </c>
      <c r="BB80" s="151">
        <f>VLOOKUP($AG80,装备属性!$A:$Y,25,0)</f>
        <v>0</v>
      </c>
    </row>
    <row r="81" spans="32:54">
      <c r="AF81" s="151">
        <v>10</v>
      </c>
      <c r="AG81" s="151" t="str">
        <f>AB10</f>
        <v>冲锋盾</v>
      </c>
      <c r="AH81" s="151">
        <f>VLOOKUP($AG81,装备属性!$A:$Y,5,0)</f>
        <v>0</v>
      </c>
      <c r="AI81" s="151">
        <f>VLOOKUP($AG81,装备属性!$A:$Y,6,0)</f>
        <v>0</v>
      </c>
      <c r="AJ81" s="151">
        <f>VLOOKUP($AG81,装备属性!$A:$Y,7,0)</f>
        <v>0</v>
      </c>
      <c r="AK81" s="151">
        <f>VLOOKUP($AG81,装备属性!$A:$Y,8,0)</f>
        <v>280</v>
      </c>
      <c r="AL81" s="151">
        <f>VLOOKUP($AG81,装备属性!$A:$Y,9,0)</f>
        <v>0</v>
      </c>
      <c r="AM81" s="151">
        <f>VLOOKUP($AG81,装备属性!$A:$Y,10,0)</f>
        <v>0</v>
      </c>
      <c r="AN81" s="151">
        <f>VLOOKUP($AG81,装备属性!$A:$Y,11,0)</f>
        <v>4</v>
      </c>
      <c r="AO81" s="151">
        <f>VLOOKUP($AG81,装备属性!$A:$Y,12,0)</f>
        <v>0</v>
      </c>
      <c r="AP81" s="151">
        <f>VLOOKUP($AG81,装备属性!$A:$Y,13,0)</f>
        <v>0</v>
      </c>
      <c r="AQ81" s="151">
        <f>VLOOKUP($AG81,装备属性!$A:$Y,14,0)</f>
        <v>0</v>
      </c>
      <c r="AR81" s="151">
        <f>VLOOKUP($AG81,装备属性!$A:$Y,15,0)</f>
        <v>0</v>
      </c>
      <c r="AS81" s="151">
        <f>VLOOKUP($AG81,装备属性!$A:$Y,16,0)</f>
        <v>0</v>
      </c>
      <c r="AT81" s="151">
        <f>VLOOKUP($AG81,装备属性!$A:$Y,17,0)</f>
        <v>0</v>
      </c>
      <c r="AU81" s="151">
        <f>VLOOKUP($AG81,装备属性!$A:$Y,18,0)</f>
        <v>0</v>
      </c>
      <c r="AV81" s="151">
        <f>VLOOKUP($AG81,装备属性!$A:$Y,19,0)</f>
        <v>0</v>
      </c>
      <c r="AW81" s="151">
        <f>VLOOKUP($AG81,装备属性!$A:$Y,20,0)</f>
        <v>240</v>
      </c>
      <c r="AX81" s="151">
        <f>VLOOKUP($AG81,装备属性!$A:$Y,21,0)</f>
        <v>0</v>
      </c>
      <c r="AY81" s="151">
        <f>VLOOKUP($AG81,装备属性!$A:$Y,22,0)</f>
        <v>0</v>
      </c>
      <c r="AZ81" s="151">
        <f>VLOOKUP($AG81,装备属性!$A:$Y,23,0)</f>
        <v>0</v>
      </c>
      <c r="BA81" s="151">
        <f>VLOOKUP($AG81,装备属性!$A:$Y,24,0)</f>
        <v>0</v>
      </c>
      <c r="BB81" s="151">
        <f>VLOOKUP($AG81,装备属性!$A:$Y,25,0)</f>
        <v>0</v>
      </c>
    </row>
    <row r="82" spans="32:54">
      <c r="AF82" s="151">
        <v>10</v>
      </c>
      <c r="AG82" s="151" t="str">
        <f>AC10</f>
        <v>飞鞋</v>
      </c>
      <c r="AH82" s="151">
        <f>VLOOKUP($AG82,装备属性!$A:$Y,5,0)</f>
        <v>25</v>
      </c>
      <c r="AI82" s="151">
        <f>VLOOKUP($AG82,装备属性!$A:$Y,6,0)</f>
        <v>25</v>
      </c>
      <c r="AJ82" s="151">
        <f>VLOOKUP($AG82,装备属性!$A:$Y,7,0)</f>
        <v>25</v>
      </c>
      <c r="AK82" s="151">
        <f>VLOOKUP($AG82,装备属性!$A:$Y,8,0)</f>
        <v>0</v>
      </c>
      <c r="AL82" s="151">
        <f>VLOOKUP($AG82,装备属性!$A:$Y,9,0)</f>
        <v>0</v>
      </c>
      <c r="AM82" s="151">
        <f>VLOOKUP($AG82,装备属性!$A:$Y,10,0)</f>
        <v>0</v>
      </c>
      <c r="AN82" s="151">
        <f>VLOOKUP($AG82,装备属性!$A:$Y,11,0)</f>
        <v>0</v>
      </c>
      <c r="AO82" s="151">
        <f>VLOOKUP($AG82,装备属性!$A:$Y,12,0)</f>
        <v>0</v>
      </c>
      <c r="AP82" s="151">
        <f>VLOOKUP($AG82,装备属性!$A:$Y,13,0)</f>
        <v>0</v>
      </c>
      <c r="AQ82" s="151">
        <f>VLOOKUP($AG82,装备属性!$A:$Y,14,0)</f>
        <v>0</v>
      </c>
      <c r="AR82" s="151">
        <f>VLOOKUP($AG82,装备属性!$A:$Y,15,0)</f>
        <v>0</v>
      </c>
      <c r="AS82" s="151">
        <f>VLOOKUP($AG82,装备属性!$A:$Y,16,0)</f>
        <v>0</v>
      </c>
      <c r="AT82" s="151">
        <f>VLOOKUP($AG82,装备属性!$A:$Y,17,0)</f>
        <v>0</v>
      </c>
      <c r="AU82" s="151">
        <f>VLOOKUP($AG82,装备属性!$A:$Y,18,0)</f>
        <v>0</v>
      </c>
      <c r="AV82" s="151">
        <f>VLOOKUP($AG82,装备属性!$A:$Y,19,0)</f>
        <v>0</v>
      </c>
      <c r="AW82" s="151">
        <f>VLOOKUP($AG82,装备属性!$A:$Y,20,0)</f>
        <v>0</v>
      </c>
      <c r="AX82" s="151">
        <f>VLOOKUP($AG82,装备属性!$A:$Y,21,0)</f>
        <v>0</v>
      </c>
      <c r="AY82" s="151">
        <f>VLOOKUP($AG82,装备属性!$A:$Y,22,0)</f>
        <v>0</v>
      </c>
      <c r="AZ82" s="151">
        <f>VLOOKUP($AG82,装备属性!$A:$Y,23,0)</f>
        <v>0</v>
      </c>
      <c r="BA82" s="151">
        <f>VLOOKUP($AG82,装备属性!$A:$Y,24,0)</f>
        <v>0</v>
      </c>
      <c r="BB82" s="151">
        <f>VLOOKUP($AG82,装备属性!$A:$Y,25,0)</f>
        <v>0</v>
      </c>
    </row>
    <row r="83" spans="32:54">
      <c r="AF83" s="151">
        <v>11</v>
      </c>
      <c r="AG83" s="151" t="str">
        <f>X11</f>
        <v>欺诈者之剑</v>
      </c>
      <c r="AH83" s="151">
        <f>VLOOKUP($AG83,装备属性!$A:$Y,5,0)</f>
        <v>40</v>
      </c>
      <c r="AI83" s="151">
        <f>VLOOKUP($AG83,装备属性!$A:$Y,6,0)</f>
        <v>0</v>
      </c>
      <c r="AJ83" s="151">
        <f>VLOOKUP($AG83,装备属性!$A:$Y,7,0)</f>
        <v>0</v>
      </c>
      <c r="AK83" s="151">
        <f>VLOOKUP($AG83,装备属性!$A:$Y,8,0)</f>
        <v>0</v>
      </c>
      <c r="AL83" s="151">
        <f>VLOOKUP($AG83,装备属性!$A:$Y,9,0)</f>
        <v>80</v>
      </c>
      <c r="AM83" s="151">
        <f>VLOOKUP($AG83,装备属性!$A:$Y,10,0)</f>
        <v>0</v>
      </c>
      <c r="AN83" s="151">
        <f>VLOOKUP($AG83,装备属性!$A:$Y,11,0)</f>
        <v>15</v>
      </c>
      <c r="AO83" s="151">
        <f>VLOOKUP($AG83,装备属性!$A:$Y,12,0)</f>
        <v>0</v>
      </c>
      <c r="AP83" s="151">
        <f>VLOOKUP($AG83,装备属性!$A:$Y,13,0)</f>
        <v>0</v>
      </c>
      <c r="AQ83" s="151">
        <f>VLOOKUP($AG83,装备属性!$A:$Y,14,0)</f>
        <v>0</v>
      </c>
      <c r="AR83" s="151">
        <f>VLOOKUP($AG83,装备属性!$A:$Y,15,0)</f>
        <v>0</v>
      </c>
      <c r="AS83" s="151">
        <f>VLOOKUP($AG83,装备属性!$A:$Y,16,0)</f>
        <v>0</v>
      </c>
      <c r="AT83" s="151">
        <f>VLOOKUP($AG83,装备属性!$A:$Y,17,0)</f>
        <v>30</v>
      </c>
      <c r="AU83" s="151">
        <f>VLOOKUP($AG83,装备属性!$A:$Y,18,0)</f>
        <v>0</v>
      </c>
      <c r="AV83" s="151">
        <f>VLOOKUP($AG83,装备属性!$A:$Y,19,0)</f>
        <v>0</v>
      </c>
      <c r="AW83" s="151">
        <f>VLOOKUP($AG83,装备属性!$A:$Y,20,0)</f>
        <v>0</v>
      </c>
      <c r="AX83" s="151">
        <f>VLOOKUP($AG83,装备属性!$A:$Y,21,0)</f>
        <v>0</v>
      </c>
      <c r="AY83" s="151">
        <f>VLOOKUP($AG83,装备属性!$A:$Y,22,0)</f>
        <v>0</v>
      </c>
      <c r="AZ83" s="151">
        <f>VLOOKUP($AG83,装备属性!$A:$Y,23,0)</f>
        <v>0</v>
      </c>
      <c r="BA83" s="151">
        <f>VLOOKUP($AG83,装备属性!$A:$Y,24,0)</f>
        <v>0</v>
      </c>
      <c r="BB83" s="151">
        <f>VLOOKUP($AG83,装备属性!$A:$Y,25,0)</f>
        <v>0</v>
      </c>
    </row>
    <row r="84" spans="32:54">
      <c r="AF84" s="151">
        <v>11</v>
      </c>
      <c r="AG84" s="151" t="str">
        <f>Y11</f>
        <v>鹰羽指环</v>
      </c>
      <c r="AH84" s="151">
        <f>VLOOKUP($AG84,装备属性!$A:$Y,5,0)</f>
        <v>0</v>
      </c>
      <c r="AI84" s="151">
        <f>VLOOKUP($AG84,装备属性!$A:$Y,6,0)</f>
        <v>36</v>
      </c>
      <c r="AJ84" s="151">
        <f>VLOOKUP($AG84,装备属性!$A:$Y,7,0)</f>
        <v>0</v>
      </c>
      <c r="AK84" s="151">
        <f>VLOOKUP($AG84,装备属性!$A:$Y,8,0)</f>
        <v>0</v>
      </c>
      <c r="AL84" s="151">
        <f>VLOOKUP($AG84,装备属性!$A:$Y,9,0)</f>
        <v>0</v>
      </c>
      <c r="AM84" s="151">
        <f>VLOOKUP($AG84,装备属性!$A:$Y,10,0)</f>
        <v>0</v>
      </c>
      <c r="AN84" s="151">
        <f>VLOOKUP($AG84,装备属性!$A:$Y,11,0)</f>
        <v>0</v>
      </c>
      <c r="AO84" s="151">
        <f>VLOOKUP($AG84,装备属性!$A:$Y,12,0)</f>
        <v>0</v>
      </c>
      <c r="AP84" s="151">
        <f>VLOOKUP($AG84,装备属性!$A:$Y,13,0)</f>
        <v>0</v>
      </c>
      <c r="AQ84" s="151">
        <f>VLOOKUP($AG84,装备属性!$A:$Y,14,0)</f>
        <v>0</v>
      </c>
      <c r="AR84" s="151">
        <f>VLOOKUP($AG84,装备属性!$A:$Y,15,0)</f>
        <v>0</v>
      </c>
      <c r="AS84" s="151">
        <f>VLOOKUP($AG84,装备属性!$A:$Y,16,0)</f>
        <v>0</v>
      </c>
      <c r="AT84" s="151">
        <f>VLOOKUP($AG84,装备属性!$A:$Y,17,0)</f>
        <v>0</v>
      </c>
      <c r="AU84" s="151">
        <f>VLOOKUP($AG84,装备属性!$A:$Y,18,0)</f>
        <v>0</v>
      </c>
      <c r="AV84" s="151">
        <f>VLOOKUP($AG84,装备属性!$A:$Y,19,0)</f>
        <v>0</v>
      </c>
      <c r="AW84" s="151">
        <f>VLOOKUP($AG84,装备属性!$A:$Y,20,0)</f>
        <v>0</v>
      </c>
      <c r="AX84" s="151">
        <f>VLOOKUP($AG84,装备属性!$A:$Y,21,0)</f>
        <v>0</v>
      </c>
      <c r="AY84" s="151">
        <f>VLOOKUP($AG84,装备属性!$A:$Y,22,0)</f>
        <v>0</v>
      </c>
      <c r="AZ84" s="151">
        <f>VLOOKUP($AG84,装备属性!$A:$Y,23,0)</f>
        <v>0</v>
      </c>
      <c r="BA84" s="151">
        <f>VLOOKUP($AG84,装备属性!$A:$Y,24,0)</f>
        <v>0</v>
      </c>
      <c r="BB84" s="151">
        <f>VLOOKUP($AG84,装备属性!$A:$Y,25,0)</f>
        <v>0</v>
      </c>
    </row>
    <row r="85" spans="32:54">
      <c r="AF85" s="151">
        <v>11</v>
      </c>
      <c r="AG85" s="151" t="str">
        <f>Z11</f>
        <v>撒旦</v>
      </c>
      <c r="AH85" s="151">
        <f>VLOOKUP($AG85,装备属性!$A:$Y,5,0)</f>
        <v>25</v>
      </c>
      <c r="AI85" s="151">
        <f>VLOOKUP($AG85,装备属性!$A:$Y,6,0)</f>
        <v>0</v>
      </c>
      <c r="AJ85" s="151">
        <f>VLOOKUP($AG85,装备属性!$A:$Y,7,0)</f>
        <v>0</v>
      </c>
      <c r="AK85" s="151">
        <f>VLOOKUP($AG85,装备属性!$A:$Y,8,0)</f>
        <v>0</v>
      </c>
      <c r="AL85" s="151">
        <f>VLOOKUP($AG85,装备属性!$A:$Y,9,0)</f>
        <v>50</v>
      </c>
      <c r="AM85" s="151">
        <f>VLOOKUP($AG85,装备属性!$A:$Y,10,0)</f>
        <v>0</v>
      </c>
      <c r="AN85" s="151">
        <f>VLOOKUP($AG85,装备属性!$A:$Y,11,0)</f>
        <v>15</v>
      </c>
      <c r="AO85" s="151">
        <f>VLOOKUP($AG85,装备属性!$A:$Y,12,0)</f>
        <v>0</v>
      </c>
      <c r="AP85" s="151">
        <f>VLOOKUP($AG85,装备属性!$A:$Y,13,0)</f>
        <v>0</v>
      </c>
      <c r="AQ85" s="151">
        <f>VLOOKUP($AG85,装备属性!$A:$Y,14,0)</f>
        <v>0</v>
      </c>
      <c r="AR85" s="151">
        <f>VLOOKUP($AG85,装备属性!$A:$Y,15,0)</f>
        <v>0</v>
      </c>
      <c r="AS85" s="151">
        <f>VLOOKUP($AG85,装备属性!$A:$Y,16,0)</f>
        <v>0</v>
      </c>
      <c r="AT85" s="151">
        <f>VLOOKUP($AG85,装备属性!$A:$Y,17,0)</f>
        <v>25</v>
      </c>
      <c r="AU85" s="151">
        <f>VLOOKUP($AG85,装备属性!$A:$Y,18,0)</f>
        <v>0</v>
      </c>
      <c r="AV85" s="151">
        <f>VLOOKUP($AG85,装备属性!$A:$Y,19,0)</f>
        <v>0</v>
      </c>
      <c r="AW85" s="151">
        <f>VLOOKUP($AG85,装备属性!$A:$Y,20,0)</f>
        <v>0</v>
      </c>
      <c r="AX85" s="151">
        <f>VLOOKUP($AG85,装备属性!$A:$Y,21,0)</f>
        <v>0</v>
      </c>
      <c r="AY85" s="151">
        <f>VLOOKUP($AG85,装备属性!$A:$Y,22,0)</f>
        <v>0</v>
      </c>
      <c r="AZ85" s="151">
        <f>VLOOKUP($AG85,装备属性!$A:$Y,23,0)</f>
        <v>0</v>
      </c>
      <c r="BA85" s="151">
        <f>VLOOKUP($AG85,装备属性!$A:$Y,24,0)</f>
        <v>0</v>
      </c>
      <c r="BB85" s="151">
        <f>VLOOKUP($AG85,装备属性!$A:$Y,25,0)</f>
        <v>0</v>
      </c>
    </row>
    <row r="86" spans="32:54">
      <c r="AF86" s="151">
        <v>11</v>
      </c>
      <c r="AG86" s="151" t="str">
        <f>AA11</f>
        <v>龙心</v>
      </c>
      <c r="AH86" s="151">
        <f>VLOOKUP($AG86,装备属性!$A:$Y,5,0)</f>
        <v>40</v>
      </c>
      <c r="AI86" s="151">
        <f>VLOOKUP($AG86,装备属性!$A:$Y,6,0)</f>
        <v>0</v>
      </c>
      <c r="AJ86" s="151">
        <f>VLOOKUP($AG86,装备属性!$A:$Y,7,0)</f>
        <v>0</v>
      </c>
      <c r="AK86" s="151">
        <f>VLOOKUP($AG86,装备属性!$A:$Y,8,0)</f>
        <v>600</v>
      </c>
      <c r="AL86" s="151">
        <f>VLOOKUP($AG86,装备属性!$A:$Y,9,0)</f>
        <v>0</v>
      </c>
      <c r="AM86" s="151">
        <f>VLOOKUP($AG86,装备属性!$A:$Y,10,0)</f>
        <v>0</v>
      </c>
      <c r="AN86" s="151">
        <f>VLOOKUP($AG86,装备属性!$A:$Y,11,0)</f>
        <v>0</v>
      </c>
      <c r="AO86" s="151">
        <f>VLOOKUP($AG86,装备属性!$A:$Y,12,0)</f>
        <v>0</v>
      </c>
      <c r="AP86" s="151">
        <f>VLOOKUP($AG86,装备属性!$A:$Y,13,0)</f>
        <v>0</v>
      </c>
      <c r="AQ86" s="151">
        <f>VLOOKUP($AG86,装备属性!$A:$Y,14,0)</f>
        <v>0</v>
      </c>
      <c r="AR86" s="151">
        <f>VLOOKUP($AG86,装备属性!$A:$Y,15,0)</f>
        <v>0</v>
      </c>
      <c r="AS86" s="151">
        <f>VLOOKUP($AG86,装备属性!$A:$Y,16,0)</f>
        <v>0</v>
      </c>
      <c r="AT86" s="151">
        <f>VLOOKUP($AG86,装备属性!$A:$Y,17,0)</f>
        <v>0</v>
      </c>
      <c r="AU86" s="151">
        <f>VLOOKUP($AG86,装备属性!$A:$Y,18,0)</f>
        <v>0</v>
      </c>
      <c r="AV86" s="151">
        <f>VLOOKUP($AG86,装备属性!$A:$Y,19,0)</f>
        <v>0</v>
      </c>
      <c r="AW86" s="151">
        <f>VLOOKUP($AG86,装备属性!$A:$Y,20,0)</f>
        <v>600</v>
      </c>
      <c r="AX86" s="151">
        <f>VLOOKUP($AG86,装备属性!$A:$Y,21,0)</f>
        <v>0</v>
      </c>
      <c r="AY86" s="151">
        <f>VLOOKUP($AG86,装备属性!$A:$Y,22,0)</f>
        <v>0</v>
      </c>
      <c r="AZ86" s="151">
        <f>VLOOKUP($AG86,装备属性!$A:$Y,23,0)</f>
        <v>0</v>
      </c>
      <c r="BA86" s="151">
        <f>VLOOKUP($AG86,装备属性!$A:$Y,24,0)</f>
        <v>0</v>
      </c>
      <c r="BB86" s="151">
        <f>VLOOKUP($AG86,装备属性!$A:$Y,25,0)</f>
        <v>0</v>
      </c>
    </row>
    <row r="87" spans="32:54">
      <c r="AF87" s="151">
        <v>11</v>
      </c>
      <c r="AG87" s="151" t="str">
        <f>AB11</f>
        <v>射手指环</v>
      </c>
      <c r="AH87" s="151">
        <f>VLOOKUP($AG87,装备属性!$A:$Y,5,0)</f>
        <v>0</v>
      </c>
      <c r="AI87" s="151">
        <f>VLOOKUP($AG87,装备属性!$A:$Y,6,0)</f>
        <v>0</v>
      </c>
      <c r="AJ87" s="151">
        <f>VLOOKUP($AG87,装备属性!$A:$Y,7,0)</f>
        <v>0</v>
      </c>
      <c r="AK87" s="151">
        <f>VLOOKUP($AG87,装备属性!$A:$Y,8,0)</f>
        <v>0</v>
      </c>
      <c r="AL87" s="151">
        <f>VLOOKUP($AG87,装备属性!$A:$Y,9,0)</f>
        <v>0</v>
      </c>
      <c r="AM87" s="151">
        <f>VLOOKUP($AG87,装备属性!$A:$Y,10,0)</f>
        <v>0</v>
      </c>
      <c r="AN87" s="151">
        <f>VLOOKUP($AG87,装备属性!$A:$Y,11,0)</f>
        <v>0</v>
      </c>
      <c r="AO87" s="151">
        <f>VLOOKUP($AG87,装备属性!$A:$Y,12,0)</f>
        <v>0</v>
      </c>
      <c r="AP87" s="151">
        <f>VLOOKUP($AG87,装备属性!$A:$Y,13,0)</f>
        <v>0</v>
      </c>
      <c r="AQ87" s="151">
        <f>VLOOKUP($AG87,装备属性!$A:$Y,14,0)</f>
        <v>0</v>
      </c>
      <c r="AR87" s="151">
        <f>VLOOKUP($AG87,装备属性!$A:$Y,15,0)</f>
        <v>0</v>
      </c>
      <c r="AS87" s="151">
        <f>VLOOKUP($AG87,装备属性!$A:$Y,16,0)</f>
        <v>0</v>
      </c>
      <c r="AT87" s="151">
        <f>VLOOKUP($AG87,装备属性!$A:$Y,17,0)</f>
        <v>0</v>
      </c>
      <c r="AU87" s="151">
        <f>VLOOKUP($AG87,装备属性!$A:$Y,18,0)</f>
        <v>8</v>
      </c>
      <c r="AV87" s="151">
        <f>VLOOKUP($AG87,装备属性!$A:$Y,19,0)</f>
        <v>0</v>
      </c>
      <c r="AW87" s="151">
        <f>VLOOKUP($AG87,装备属性!$A:$Y,20,0)</f>
        <v>0</v>
      </c>
      <c r="AX87" s="151">
        <f>VLOOKUP($AG87,装备属性!$A:$Y,21,0)</f>
        <v>0</v>
      </c>
      <c r="AY87" s="151">
        <f>VLOOKUP($AG87,装备属性!$A:$Y,22,0)</f>
        <v>0</v>
      </c>
      <c r="AZ87" s="151">
        <f>VLOOKUP($AG87,装备属性!$A:$Y,23,0)</f>
        <v>0</v>
      </c>
      <c r="BA87" s="151">
        <f>VLOOKUP($AG87,装备属性!$A:$Y,24,0)</f>
        <v>0</v>
      </c>
      <c r="BB87" s="151">
        <f>VLOOKUP($AG87,装备属性!$A:$Y,25,0)</f>
        <v>0</v>
      </c>
    </row>
    <row r="88" spans="32:54">
      <c r="AF88" s="151">
        <v>11</v>
      </c>
      <c r="AG88" s="151" t="str">
        <f>AC11</f>
        <v>疾行鞋</v>
      </c>
      <c r="AH88" s="151">
        <f>VLOOKUP($AG88,装备属性!$A:$Y,5,0)</f>
        <v>31</v>
      </c>
      <c r="AI88" s="151">
        <f>VLOOKUP($AG88,装备属性!$A:$Y,6,0)</f>
        <v>31</v>
      </c>
      <c r="AJ88" s="151">
        <f>VLOOKUP($AG88,装备属性!$A:$Y,7,0)</f>
        <v>31</v>
      </c>
      <c r="AK88" s="151">
        <f>VLOOKUP($AG88,装备属性!$A:$Y,8,0)</f>
        <v>0</v>
      </c>
      <c r="AL88" s="151">
        <f>VLOOKUP($AG88,装备属性!$A:$Y,9,0)</f>
        <v>0</v>
      </c>
      <c r="AM88" s="151">
        <f>VLOOKUP($AG88,装备属性!$A:$Y,10,0)</f>
        <v>0</v>
      </c>
      <c r="AN88" s="151">
        <f>VLOOKUP($AG88,装备属性!$A:$Y,11,0)</f>
        <v>0</v>
      </c>
      <c r="AO88" s="151">
        <f>VLOOKUP($AG88,装备属性!$A:$Y,12,0)</f>
        <v>0</v>
      </c>
      <c r="AP88" s="151">
        <f>VLOOKUP($AG88,装备属性!$A:$Y,13,0)</f>
        <v>0</v>
      </c>
      <c r="AQ88" s="151">
        <f>VLOOKUP($AG88,装备属性!$A:$Y,14,0)</f>
        <v>0</v>
      </c>
      <c r="AR88" s="151">
        <f>VLOOKUP($AG88,装备属性!$A:$Y,15,0)</f>
        <v>0</v>
      </c>
      <c r="AS88" s="151">
        <f>VLOOKUP($AG88,装备属性!$A:$Y,16,0)</f>
        <v>0</v>
      </c>
      <c r="AT88" s="151">
        <f>VLOOKUP($AG88,装备属性!$A:$Y,17,0)</f>
        <v>0</v>
      </c>
      <c r="AU88" s="151">
        <f>VLOOKUP($AG88,装备属性!$A:$Y,18,0)</f>
        <v>0</v>
      </c>
      <c r="AV88" s="151">
        <f>VLOOKUP($AG88,装备属性!$A:$Y,19,0)</f>
        <v>0</v>
      </c>
      <c r="AW88" s="151">
        <f>VLOOKUP($AG88,装备属性!$A:$Y,20,0)</f>
        <v>0</v>
      </c>
      <c r="AX88" s="151">
        <f>VLOOKUP($AG88,装备属性!$A:$Y,21,0)</f>
        <v>0</v>
      </c>
      <c r="AY88" s="151">
        <f>VLOOKUP($AG88,装备属性!$A:$Y,22,0)</f>
        <v>0</v>
      </c>
      <c r="AZ88" s="151">
        <f>VLOOKUP($AG88,装备属性!$A:$Y,23,0)</f>
        <v>0</v>
      </c>
      <c r="BA88" s="151">
        <f>VLOOKUP($AG88,装备属性!$A:$Y,24,0)</f>
        <v>0</v>
      </c>
      <c r="BB88" s="151">
        <f>VLOOKUP($AG88,装备属性!$A:$Y,25,0)</f>
        <v>0</v>
      </c>
    </row>
    <row r="89" spans="32:54">
      <c r="AF89" s="151">
        <v>12</v>
      </c>
      <c r="AG89" s="151" t="str">
        <f>X12</f>
        <v>雷霆之怒</v>
      </c>
      <c r="AH89" s="151">
        <f>VLOOKUP($AG89,装备属性!$A:$Y,5,0)</f>
        <v>10</v>
      </c>
      <c r="AI89" s="151">
        <f>VLOOKUP($AG89,装备属性!$A:$Y,6,0)</f>
        <v>10</v>
      </c>
      <c r="AJ89" s="151">
        <f>VLOOKUP($AG89,装备属性!$A:$Y,7,0)</f>
        <v>10</v>
      </c>
      <c r="AK89" s="151">
        <f>VLOOKUP($AG89,装备属性!$A:$Y,8,0)</f>
        <v>0</v>
      </c>
      <c r="AL89" s="151">
        <f>VLOOKUP($AG89,装备属性!$A:$Y,9,0)</f>
        <v>125</v>
      </c>
      <c r="AM89" s="151">
        <f>VLOOKUP($AG89,装备属性!$A:$Y,10,0)</f>
        <v>0</v>
      </c>
      <c r="AN89" s="151">
        <f>VLOOKUP($AG89,装备属性!$A:$Y,11,0)</f>
        <v>0</v>
      </c>
      <c r="AO89" s="151">
        <f>VLOOKUP($AG89,装备属性!$A:$Y,12,0)</f>
        <v>0</v>
      </c>
      <c r="AP89" s="151">
        <f>VLOOKUP($AG89,装备属性!$A:$Y,13,0)</f>
        <v>0</v>
      </c>
      <c r="AQ89" s="151">
        <f>VLOOKUP($AG89,装备属性!$A:$Y,14,0)</f>
        <v>0</v>
      </c>
      <c r="AR89" s="151">
        <f>VLOOKUP($AG89,装备属性!$A:$Y,15,0)</f>
        <v>0</v>
      </c>
      <c r="AS89" s="151">
        <f>VLOOKUP($AG89,装备属性!$A:$Y,16,0)</f>
        <v>0</v>
      </c>
      <c r="AT89" s="151">
        <f>VLOOKUP($AG89,装备属性!$A:$Y,17,0)</f>
        <v>0</v>
      </c>
      <c r="AU89" s="151">
        <f>VLOOKUP($AG89,装备属性!$A:$Y,18,0)</f>
        <v>0</v>
      </c>
      <c r="AV89" s="151">
        <f>VLOOKUP($AG89,装备属性!$A:$Y,19,0)</f>
        <v>0</v>
      </c>
      <c r="AW89" s="151">
        <f>VLOOKUP($AG89,装备属性!$A:$Y,20,0)</f>
        <v>500</v>
      </c>
      <c r="AX89" s="151">
        <f>VLOOKUP($AG89,装备属性!$A:$Y,21,0)</f>
        <v>0</v>
      </c>
      <c r="AY89" s="151">
        <f>VLOOKUP($AG89,装备属性!$A:$Y,22,0)</f>
        <v>0</v>
      </c>
      <c r="AZ89" s="151">
        <f>VLOOKUP($AG89,装备属性!$A:$Y,23,0)</f>
        <v>0</v>
      </c>
      <c r="BA89" s="151">
        <f>VLOOKUP($AG89,装备属性!$A:$Y,24,0)</f>
        <v>0</v>
      </c>
      <c r="BB89" s="151">
        <f>VLOOKUP($AG89,装备属性!$A:$Y,25,0)</f>
        <v>0</v>
      </c>
    </row>
    <row r="90" spans="32:54">
      <c r="AF90" s="151">
        <v>12</v>
      </c>
      <c r="AG90" s="151" t="str">
        <f>Y12</f>
        <v>大天使之剑</v>
      </c>
      <c r="AH90" s="151">
        <f>VLOOKUP($AG90,装备属性!$A:$Y,5,0)</f>
        <v>0</v>
      </c>
      <c r="AI90" s="151">
        <f>VLOOKUP($AG90,装备属性!$A:$Y,6,0)</f>
        <v>0</v>
      </c>
      <c r="AJ90" s="151">
        <f>VLOOKUP($AG90,装备属性!$A:$Y,7,0)</f>
        <v>0</v>
      </c>
      <c r="AK90" s="151">
        <f>VLOOKUP($AG90,装备属性!$A:$Y,8,0)</f>
        <v>250</v>
      </c>
      <c r="AL90" s="151">
        <f>VLOOKUP($AG90,装备属性!$A:$Y,9,0)</f>
        <v>85</v>
      </c>
      <c r="AM90" s="151">
        <f>VLOOKUP($AG90,装备属性!$A:$Y,10,0)</f>
        <v>0</v>
      </c>
      <c r="AN90" s="151">
        <f>VLOOKUP($AG90,装备属性!$A:$Y,11,0)</f>
        <v>0</v>
      </c>
      <c r="AO90" s="151">
        <f>VLOOKUP($AG90,装备属性!$A:$Y,12,0)</f>
        <v>0</v>
      </c>
      <c r="AP90" s="151">
        <f>VLOOKUP($AG90,装备属性!$A:$Y,13,0)</f>
        <v>0</v>
      </c>
      <c r="AQ90" s="151">
        <f>VLOOKUP($AG90,装备属性!$A:$Y,14,0)</f>
        <v>14</v>
      </c>
      <c r="AR90" s="151">
        <f>VLOOKUP($AG90,装备属性!$A:$Y,15,0)</f>
        <v>0</v>
      </c>
      <c r="AS90" s="151">
        <f>VLOOKUP($AG90,装备属性!$A:$Y,16,0)</f>
        <v>0</v>
      </c>
      <c r="AT90" s="151">
        <f>VLOOKUP($AG90,装备属性!$A:$Y,17,0)</f>
        <v>0</v>
      </c>
      <c r="AU90" s="151">
        <f>VLOOKUP($AG90,装备属性!$A:$Y,18,0)</f>
        <v>0</v>
      </c>
      <c r="AV90" s="151">
        <f>VLOOKUP($AG90,装备属性!$A:$Y,19,0)</f>
        <v>0</v>
      </c>
      <c r="AW90" s="151">
        <f>VLOOKUP($AG90,装备属性!$A:$Y,20,0)</f>
        <v>0</v>
      </c>
      <c r="AX90" s="151">
        <f>VLOOKUP($AG90,装备属性!$A:$Y,21,0)</f>
        <v>0</v>
      </c>
      <c r="AY90" s="151">
        <f>VLOOKUP($AG90,装备属性!$A:$Y,22,0)</f>
        <v>0</v>
      </c>
      <c r="AZ90" s="151">
        <f>VLOOKUP($AG90,装备属性!$A:$Y,23,0)</f>
        <v>0</v>
      </c>
      <c r="BA90" s="151">
        <f>VLOOKUP($AG90,装备属性!$A:$Y,24,0)</f>
        <v>0</v>
      </c>
      <c r="BB90" s="151">
        <f>VLOOKUP($AG90,装备属性!$A:$Y,25,0)</f>
        <v>0</v>
      </c>
    </row>
    <row r="91" spans="32:54">
      <c r="AF91" s="151">
        <v>12</v>
      </c>
      <c r="AG91" s="151" t="str">
        <f>Z12</f>
        <v>林肯</v>
      </c>
      <c r="AH91" s="151">
        <f>VLOOKUP($AG91,装备属性!$A:$Y,5,0)</f>
        <v>15</v>
      </c>
      <c r="AI91" s="151">
        <f>VLOOKUP($AG91,装备属性!$A:$Y,6,0)</f>
        <v>15</v>
      </c>
      <c r="AJ91" s="151">
        <f>VLOOKUP($AG91,装备属性!$A:$Y,7,0)</f>
        <v>15</v>
      </c>
      <c r="AK91" s="151">
        <f>VLOOKUP($AG91,装备属性!$A:$Y,8,0)</f>
        <v>0</v>
      </c>
      <c r="AL91" s="151">
        <f>VLOOKUP($AG91,装备属性!$A:$Y,9,0)</f>
        <v>10</v>
      </c>
      <c r="AM91" s="151">
        <f>VLOOKUP($AG91,装备属性!$A:$Y,10,0)</f>
        <v>0</v>
      </c>
      <c r="AN91" s="151">
        <f>VLOOKUP($AG91,装备属性!$A:$Y,11,0)</f>
        <v>0</v>
      </c>
      <c r="AO91" s="151">
        <f>VLOOKUP($AG91,装备属性!$A:$Y,12,0)</f>
        <v>15</v>
      </c>
      <c r="AP91" s="151">
        <f>VLOOKUP($AG91,装备属性!$A:$Y,13,0)</f>
        <v>0</v>
      </c>
      <c r="AQ91" s="151">
        <f>VLOOKUP($AG91,装备属性!$A:$Y,14,0)</f>
        <v>0</v>
      </c>
      <c r="AR91" s="151">
        <f>VLOOKUP($AG91,装备属性!$A:$Y,15,0)</f>
        <v>0</v>
      </c>
      <c r="AS91" s="151">
        <f>VLOOKUP($AG91,装备属性!$A:$Y,16,0)</f>
        <v>0</v>
      </c>
      <c r="AT91" s="151">
        <f>VLOOKUP($AG91,装备属性!$A:$Y,17,0)</f>
        <v>0</v>
      </c>
      <c r="AU91" s="151">
        <f>VLOOKUP($AG91,装备属性!$A:$Y,18,0)</f>
        <v>0</v>
      </c>
      <c r="AV91" s="151">
        <f>VLOOKUP($AG91,装备属性!$A:$Y,19,0)</f>
        <v>0</v>
      </c>
      <c r="AW91" s="151">
        <f>VLOOKUP($AG91,装备属性!$A:$Y,20,0)</f>
        <v>0</v>
      </c>
      <c r="AX91" s="151">
        <f>VLOOKUP($AG91,装备属性!$A:$Y,21,0)</f>
        <v>0</v>
      </c>
      <c r="AY91" s="151">
        <f>VLOOKUP($AG91,装备属性!$A:$Y,22,0)</f>
        <v>0</v>
      </c>
      <c r="AZ91" s="151">
        <f>VLOOKUP($AG91,装备属性!$A:$Y,23,0)</f>
        <v>0</v>
      </c>
      <c r="BA91" s="151">
        <f>VLOOKUP($AG91,装备属性!$A:$Y,24,0)</f>
        <v>0</v>
      </c>
      <c r="BB91" s="151">
        <f>VLOOKUP($AG91,装备属性!$A:$Y,25,0)</f>
        <v>0</v>
      </c>
    </row>
    <row r="92" spans="32:54">
      <c r="AF92" s="151">
        <v>12</v>
      </c>
      <c r="AG92" s="151" t="str">
        <f>AA12</f>
        <v>恶魔之矢</v>
      </c>
      <c r="AH92" s="151">
        <f>VLOOKUP($AG92,装备属性!$A:$Y,5,0)</f>
        <v>0</v>
      </c>
      <c r="AI92" s="151">
        <f>VLOOKUP($AG92,装备属性!$A:$Y,6,0)</f>
        <v>0</v>
      </c>
      <c r="AJ92" s="151">
        <f>VLOOKUP($AG92,装备属性!$A:$Y,7,0)</f>
        <v>0</v>
      </c>
      <c r="AK92" s="151">
        <f>VLOOKUP($AG92,装备属性!$A:$Y,8,0)</f>
        <v>0</v>
      </c>
      <c r="AL92" s="151">
        <f>VLOOKUP($AG92,装备属性!$A:$Y,9,0)</f>
        <v>30</v>
      </c>
      <c r="AM92" s="151">
        <f>VLOOKUP($AG92,装备属性!$A:$Y,10,0)</f>
        <v>0</v>
      </c>
      <c r="AN92" s="151">
        <f>VLOOKUP($AG92,装备属性!$A:$Y,11,0)</f>
        <v>0</v>
      </c>
      <c r="AO92" s="151">
        <f>VLOOKUP($AG92,装备属性!$A:$Y,12,0)</f>
        <v>0</v>
      </c>
      <c r="AP92" s="151">
        <f>VLOOKUP($AG92,装备属性!$A:$Y,13,0)</f>
        <v>6</v>
      </c>
      <c r="AQ92" s="151">
        <f>VLOOKUP($AG92,装备属性!$A:$Y,14,0)</f>
        <v>0</v>
      </c>
      <c r="AR92" s="151">
        <f>VLOOKUP($AG92,装备属性!$A:$Y,15,0)</f>
        <v>0</v>
      </c>
      <c r="AS92" s="151">
        <f>VLOOKUP($AG92,装备属性!$A:$Y,16,0)</f>
        <v>0</v>
      </c>
      <c r="AT92" s="151">
        <f>VLOOKUP($AG92,装备属性!$A:$Y,17,0)</f>
        <v>0</v>
      </c>
      <c r="AU92" s="151">
        <f>VLOOKUP($AG92,装备属性!$A:$Y,18,0)</f>
        <v>0</v>
      </c>
      <c r="AV92" s="151">
        <f>VLOOKUP($AG92,装备属性!$A:$Y,19,0)</f>
        <v>0</v>
      </c>
      <c r="AW92" s="151">
        <f>VLOOKUP($AG92,装备属性!$A:$Y,20,0)</f>
        <v>0</v>
      </c>
      <c r="AX92" s="151">
        <f>VLOOKUP($AG92,装备属性!$A:$Y,21,0)</f>
        <v>0</v>
      </c>
      <c r="AY92" s="151">
        <f>VLOOKUP($AG92,装备属性!$A:$Y,22,0)</f>
        <v>0</v>
      </c>
      <c r="AZ92" s="151">
        <f>VLOOKUP($AG92,装备属性!$A:$Y,23,0)</f>
        <v>0</v>
      </c>
      <c r="BA92" s="151">
        <f>VLOOKUP($AG92,装备属性!$A:$Y,24,0)</f>
        <v>0</v>
      </c>
      <c r="BB92" s="151">
        <f>VLOOKUP($AG92,装备属性!$A:$Y,25,0)</f>
        <v>0</v>
      </c>
    </row>
    <row r="93" spans="32:54">
      <c r="AF93" s="151">
        <v>12</v>
      </c>
      <c r="AG93" s="151" t="str">
        <f>AB12</f>
        <v>疾行鞋</v>
      </c>
      <c r="AH93" s="151">
        <f>VLOOKUP($AG93,装备属性!$A:$Y,5,0)</f>
        <v>31</v>
      </c>
      <c r="AI93" s="151">
        <f>VLOOKUP($AG93,装备属性!$A:$Y,6,0)</f>
        <v>31</v>
      </c>
      <c r="AJ93" s="151">
        <f>VLOOKUP($AG93,装备属性!$A:$Y,7,0)</f>
        <v>31</v>
      </c>
      <c r="AK93" s="151">
        <f>VLOOKUP($AG93,装备属性!$A:$Y,8,0)</f>
        <v>0</v>
      </c>
      <c r="AL93" s="151">
        <f>VLOOKUP($AG93,装备属性!$A:$Y,9,0)</f>
        <v>0</v>
      </c>
      <c r="AM93" s="151">
        <f>VLOOKUP($AG93,装备属性!$A:$Y,10,0)</f>
        <v>0</v>
      </c>
      <c r="AN93" s="151">
        <f>VLOOKUP($AG93,装备属性!$A:$Y,11,0)</f>
        <v>0</v>
      </c>
      <c r="AO93" s="151">
        <f>VLOOKUP($AG93,装备属性!$A:$Y,12,0)</f>
        <v>0</v>
      </c>
      <c r="AP93" s="151">
        <f>VLOOKUP($AG93,装备属性!$A:$Y,13,0)</f>
        <v>0</v>
      </c>
      <c r="AQ93" s="151">
        <f>VLOOKUP($AG93,装备属性!$A:$Y,14,0)</f>
        <v>0</v>
      </c>
      <c r="AR93" s="151">
        <f>VLOOKUP($AG93,装备属性!$A:$Y,15,0)</f>
        <v>0</v>
      </c>
      <c r="AS93" s="151">
        <f>VLOOKUP($AG93,装备属性!$A:$Y,16,0)</f>
        <v>0</v>
      </c>
      <c r="AT93" s="151">
        <f>VLOOKUP($AG93,装备属性!$A:$Y,17,0)</f>
        <v>0</v>
      </c>
      <c r="AU93" s="151">
        <f>VLOOKUP($AG93,装备属性!$A:$Y,18,0)</f>
        <v>0</v>
      </c>
      <c r="AV93" s="151">
        <f>VLOOKUP($AG93,装备属性!$A:$Y,19,0)</f>
        <v>0</v>
      </c>
      <c r="AW93" s="151">
        <f>VLOOKUP($AG93,装备属性!$A:$Y,20,0)</f>
        <v>0</v>
      </c>
      <c r="AX93" s="151">
        <f>VLOOKUP($AG93,装备属性!$A:$Y,21,0)</f>
        <v>0</v>
      </c>
      <c r="AY93" s="151">
        <f>VLOOKUP($AG93,装备属性!$A:$Y,22,0)</f>
        <v>0</v>
      </c>
      <c r="AZ93" s="151">
        <f>VLOOKUP($AG93,装备属性!$A:$Y,23,0)</f>
        <v>0</v>
      </c>
      <c r="BA93" s="151">
        <f>VLOOKUP($AG93,装备属性!$A:$Y,24,0)</f>
        <v>0</v>
      </c>
      <c r="BB93" s="151">
        <f>VLOOKUP($AG93,装备属性!$A:$Y,25,0)</f>
        <v>0</v>
      </c>
    </row>
    <row r="94" spans="32:54">
      <c r="AF94" s="151">
        <v>12</v>
      </c>
    </row>
    <row r="96" spans="32:54">
      <c r="AF96" s="151" t="s">
        <v>1081</v>
      </c>
      <c r="AH96" s="50" t="s">
        <v>3</v>
      </c>
      <c r="AI96" s="50" t="s">
        <v>4</v>
      </c>
      <c r="AJ96" s="50" t="s">
        <v>5</v>
      </c>
      <c r="AK96" s="50" t="s">
        <v>103</v>
      </c>
      <c r="AL96" s="50" t="s">
        <v>14</v>
      </c>
      <c r="AM96" s="50" t="s">
        <v>47</v>
      </c>
      <c r="AN96" s="50" t="s">
        <v>35</v>
      </c>
      <c r="AO96" s="50" t="s">
        <v>38</v>
      </c>
      <c r="AP96" s="50" t="s">
        <v>34</v>
      </c>
      <c r="AQ96" s="50" t="s">
        <v>56</v>
      </c>
      <c r="AR96" s="50" t="s">
        <v>84</v>
      </c>
      <c r="AS96" s="50" t="s">
        <v>98</v>
      </c>
      <c r="AT96" s="50" t="s">
        <v>2099</v>
      </c>
      <c r="AU96" s="119" t="s">
        <v>1874</v>
      </c>
      <c r="AV96" s="50" t="s">
        <v>91</v>
      </c>
      <c r="AW96" s="50" t="s">
        <v>13</v>
      </c>
      <c r="AX96" s="50" t="s">
        <v>18</v>
      </c>
      <c r="AY96" s="51" t="s">
        <v>71</v>
      </c>
      <c r="AZ96" s="50" t="s">
        <v>130</v>
      </c>
      <c r="BA96" s="141" t="s">
        <v>1867</v>
      </c>
      <c r="BB96" s="141" t="s">
        <v>1877</v>
      </c>
    </row>
    <row r="97" spans="31:54">
      <c r="AF97" s="151">
        <v>1</v>
      </c>
      <c r="AH97" s="151">
        <f t="shared" ref="AH97:AW97" si="7">SUM(AH$23:AH$28)</f>
        <v>2</v>
      </c>
      <c r="AI97" s="151">
        <f t="shared" si="7"/>
        <v>8</v>
      </c>
      <c r="AJ97" s="151">
        <f t="shared" si="7"/>
        <v>2</v>
      </c>
      <c r="AK97" s="151">
        <f t="shared" si="7"/>
        <v>0</v>
      </c>
      <c r="AL97" s="151">
        <f t="shared" si="7"/>
        <v>0</v>
      </c>
      <c r="AM97" s="151">
        <f t="shared" si="7"/>
        <v>0</v>
      </c>
      <c r="AN97" s="151">
        <f t="shared" si="7"/>
        <v>4</v>
      </c>
      <c r="AO97" s="151">
        <f t="shared" si="7"/>
        <v>0</v>
      </c>
      <c r="AP97" s="151">
        <f t="shared" si="7"/>
        <v>0</v>
      </c>
      <c r="AQ97" s="151">
        <f t="shared" si="7"/>
        <v>0</v>
      </c>
      <c r="AR97" s="151">
        <f t="shared" si="7"/>
        <v>0</v>
      </c>
      <c r="AS97" s="151">
        <f t="shared" si="7"/>
        <v>0</v>
      </c>
      <c r="AT97" s="151">
        <f t="shared" si="7"/>
        <v>0</v>
      </c>
      <c r="AU97" s="151">
        <f t="shared" si="7"/>
        <v>0</v>
      </c>
      <c r="AV97" s="151">
        <f t="shared" si="7"/>
        <v>0</v>
      </c>
      <c r="AW97" s="151">
        <f t="shared" si="7"/>
        <v>0</v>
      </c>
      <c r="AX97" s="151">
        <f>SUM(AX$23:AX$28)</f>
        <v>0</v>
      </c>
      <c r="AY97" s="151">
        <f>SUM(AY$23:AY$28)</f>
        <v>0</v>
      </c>
      <c r="AZ97" s="151">
        <f t="shared" ref="AZ97:BB97" si="8">SUM(AZ$23:AZ$28)</f>
        <v>0</v>
      </c>
      <c r="BA97" s="151">
        <f t="shared" si="8"/>
        <v>0</v>
      </c>
      <c r="BB97" s="151">
        <f t="shared" si="8"/>
        <v>0</v>
      </c>
    </row>
    <row r="98" spans="31:54">
      <c r="AF98" s="151">
        <v>2</v>
      </c>
      <c r="AH98" s="151">
        <f t="shared" ref="AH98:AW98" si="9">SUM(AH$23:AH$34)</f>
        <v>13</v>
      </c>
      <c r="AI98" s="151">
        <f t="shared" si="9"/>
        <v>25</v>
      </c>
      <c r="AJ98" s="151">
        <f t="shared" si="9"/>
        <v>13</v>
      </c>
      <c r="AK98" s="151">
        <f t="shared" si="9"/>
        <v>0</v>
      </c>
      <c r="AL98" s="151">
        <f t="shared" si="9"/>
        <v>12</v>
      </c>
      <c r="AM98" s="151">
        <f t="shared" si="9"/>
        <v>0</v>
      </c>
      <c r="AN98" s="151">
        <f t="shared" si="9"/>
        <v>6</v>
      </c>
      <c r="AO98" s="151">
        <f t="shared" si="9"/>
        <v>0</v>
      </c>
      <c r="AP98" s="151">
        <f t="shared" si="9"/>
        <v>0</v>
      </c>
      <c r="AQ98" s="151">
        <f t="shared" si="9"/>
        <v>0</v>
      </c>
      <c r="AR98" s="151">
        <f t="shared" si="9"/>
        <v>0</v>
      </c>
      <c r="AS98" s="151">
        <f t="shared" si="9"/>
        <v>0</v>
      </c>
      <c r="AT98" s="151">
        <f t="shared" si="9"/>
        <v>15</v>
      </c>
      <c r="AU98" s="151">
        <f t="shared" si="9"/>
        <v>0</v>
      </c>
      <c r="AV98" s="151">
        <f t="shared" si="9"/>
        <v>0</v>
      </c>
      <c r="AW98" s="151">
        <f t="shared" si="9"/>
        <v>0</v>
      </c>
      <c r="AX98" s="151">
        <f>SUM(AX$23:AX$34)</f>
        <v>30</v>
      </c>
      <c r="AY98" s="151">
        <f>SUM(AY$23:AY$34)</f>
        <v>0</v>
      </c>
      <c r="AZ98" s="151">
        <f t="shared" ref="AZ98:BB98" si="10">SUM(AZ$23:AZ$34)</f>
        <v>0</v>
      </c>
      <c r="BA98" s="151">
        <f t="shared" si="10"/>
        <v>0</v>
      </c>
      <c r="BB98" s="151">
        <f t="shared" si="10"/>
        <v>0</v>
      </c>
    </row>
    <row r="99" spans="31:54">
      <c r="AF99" s="151">
        <v>3</v>
      </c>
      <c r="AH99" s="151">
        <f t="shared" ref="AH99:AW99" si="11">SUM(AH$23:AH$40)</f>
        <v>21</v>
      </c>
      <c r="AI99" s="151">
        <f t="shared" si="11"/>
        <v>43</v>
      </c>
      <c r="AJ99" s="151">
        <f t="shared" si="11"/>
        <v>21</v>
      </c>
      <c r="AK99" s="151">
        <f t="shared" si="11"/>
        <v>250</v>
      </c>
      <c r="AL99" s="151">
        <f t="shared" si="11"/>
        <v>21</v>
      </c>
      <c r="AM99" s="151">
        <f t="shared" si="11"/>
        <v>0</v>
      </c>
      <c r="AN99" s="151">
        <f t="shared" si="11"/>
        <v>11</v>
      </c>
      <c r="AO99" s="151">
        <f t="shared" si="11"/>
        <v>0</v>
      </c>
      <c r="AP99" s="151">
        <f t="shared" si="11"/>
        <v>15</v>
      </c>
      <c r="AQ99" s="151">
        <f t="shared" si="11"/>
        <v>0</v>
      </c>
      <c r="AR99" s="151">
        <f t="shared" si="11"/>
        <v>0</v>
      </c>
      <c r="AS99" s="151">
        <f t="shared" si="11"/>
        <v>0</v>
      </c>
      <c r="AT99" s="151">
        <f t="shared" si="11"/>
        <v>31</v>
      </c>
      <c r="AU99" s="151">
        <f t="shared" si="11"/>
        <v>0</v>
      </c>
      <c r="AV99" s="151">
        <f t="shared" si="11"/>
        <v>0</v>
      </c>
      <c r="AW99" s="151">
        <f t="shared" si="11"/>
        <v>15</v>
      </c>
      <c r="AX99" s="151">
        <f>SUM(AX$23:AX$40)</f>
        <v>85</v>
      </c>
      <c r="AY99" s="151">
        <f>SUM(AY$23:AY$40)</f>
        <v>0</v>
      </c>
      <c r="AZ99" s="151">
        <f t="shared" ref="AZ99:BB99" si="12">SUM(AZ$23:AZ$40)</f>
        <v>0</v>
      </c>
      <c r="BA99" s="151">
        <f t="shared" si="12"/>
        <v>0</v>
      </c>
      <c r="BB99" s="151">
        <f t="shared" si="12"/>
        <v>0</v>
      </c>
    </row>
    <row r="100" spans="31:54">
      <c r="AF100" s="151">
        <v>4</v>
      </c>
      <c r="AH100" s="151">
        <f t="shared" ref="AH100:AW100" si="13">SUM(AH$23:AH$46)</f>
        <v>61</v>
      </c>
      <c r="AI100" s="151">
        <f t="shared" si="13"/>
        <v>52</v>
      </c>
      <c r="AJ100" s="151">
        <f t="shared" si="13"/>
        <v>30</v>
      </c>
      <c r="AK100" s="151">
        <f t="shared" si="13"/>
        <v>530</v>
      </c>
      <c r="AL100" s="151">
        <f t="shared" si="13"/>
        <v>108</v>
      </c>
      <c r="AM100" s="151">
        <f t="shared" si="13"/>
        <v>0</v>
      </c>
      <c r="AN100" s="151">
        <f t="shared" si="13"/>
        <v>20</v>
      </c>
      <c r="AO100" s="151">
        <f t="shared" si="13"/>
        <v>0</v>
      </c>
      <c r="AP100" s="151">
        <f t="shared" si="13"/>
        <v>40</v>
      </c>
      <c r="AQ100" s="151">
        <f t="shared" si="13"/>
        <v>0</v>
      </c>
      <c r="AR100" s="151">
        <f t="shared" si="13"/>
        <v>0</v>
      </c>
      <c r="AS100" s="151">
        <f t="shared" si="13"/>
        <v>0</v>
      </c>
      <c r="AT100" s="151">
        <f t="shared" si="13"/>
        <v>31</v>
      </c>
      <c r="AU100" s="151">
        <f t="shared" si="13"/>
        <v>0</v>
      </c>
      <c r="AV100" s="151">
        <f t="shared" si="13"/>
        <v>0</v>
      </c>
      <c r="AW100" s="151">
        <f t="shared" si="13"/>
        <v>255</v>
      </c>
      <c r="AX100" s="151">
        <f>SUM(AX$23:AX$46)</f>
        <v>85</v>
      </c>
      <c r="AY100" s="151">
        <f>SUM(AY$23:AY$46)</f>
        <v>0</v>
      </c>
      <c r="AZ100" s="151">
        <f t="shared" ref="AZ100:BB100" si="14">SUM(AZ$23:AZ$46)</f>
        <v>0</v>
      </c>
      <c r="BA100" s="151">
        <f t="shared" si="14"/>
        <v>0</v>
      </c>
      <c r="BB100" s="151">
        <f t="shared" si="14"/>
        <v>0</v>
      </c>
    </row>
    <row r="101" spans="31:54">
      <c r="AF101" s="151">
        <v>5</v>
      </c>
      <c r="AH101" s="151">
        <f t="shared" ref="AH101:AW101" si="15">SUM(AH$23:AH$52)</f>
        <v>102</v>
      </c>
      <c r="AI101" s="151">
        <f t="shared" si="15"/>
        <v>64</v>
      </c>
      <c r="AJ101" s="151">
        <f t="shared" si="15"/>
        <v>42</v>
      </c>
      <c r="AK101" s="151">
        <f t="shared" si="15"/>
        <v>530</v>
      </c>
      <c r="AL101" s="151">
        <f t="shared" si="15"/>
        <v>206</v>
      </c>
      <c r="AM101" s="151">
        <f t="shared" si="15"/>
        <v>0</v>
      </c>
      <c r="AN101" s="151">
        <f t="shared" si="15"/>
        <v>23</v>
      </c>
      <c r="AO101" s="151">
        <f t="shared" si="15"/>
        <v>22</v>
      </c>
      <c r="AP101" s="151">
        <f t="shared" si="15"/>
        <v>50</v>
      </c>
      <c r="AQ101" s="151">
        <f t="shared" si="15"/>
        <v>0</v>
      </c>
      <c r="AR101" s="151">
        <f t="shared" si="15"/>
        <v>0</v>
      </c>
      <c r="AS101" s="151">
        <f t="shared" si="15"/>
        <v>0</v>
      </c>
      <c r="AT101" s="151">
        <f t="shared" si="15"/>
        <v>31</v>
      </c>
      <c r="AU101" s="151">
        <f t="shared" si="15"/>
        <v>0</v>
      </c>
      <c r="AV101" s="151">
        <f t="shared" si="15"/>
        <v>0</v>
      </c>
      <c r="AW101" s="151">
        <f t="shared" si="15"/>
        <v>435</v>
      </c>
      <c r="AX101" s="151">
        <f>SUM(AX$23:AX$52)</f>
        <v>117</v>
      </c>
      <c r="AY101" s="151">
        <f>SUM(AY$23:AY$52)</f>
        <v>0</v>
      </c>
      <c r="AZ101" s="151">
        <f t="shared" ref="AZ101:BB101" si="16">SUM(AZ$23:AZ$52)</f>
        <v>0</v>
      </c>
      <c r="BA101" s="151">
        <f t="shared" si="16"/>
        <v>0</v>
      </c>
      <c r="BB101" s="151">
        <f t="shared" si="16"/>
        <v>0</v>
      </c>
    </row>
    <row r="102" spans="31:54">
      <c r="AF102" s="151">
        <v>6</v>
      </c>
      <c r="AH102" s="151">
        <f t="shared" ref="AH102:AW102" si="17">SUM(AH$23:AH$58)</f>
        <v>137</v>
      </c>
      <c r="AI102" s="151">
        <f t="shared" si="17"/>
        <v>115</v>
      </c>
      <c r="AJ102" s="151">
        <f t="shared" si="17"/>
        <v>61</v>
      </c>
      <c r="AK102" s="151">
        <f t="shared" si="17"/>
        <v>780</v>
      </c>
      <c r="AL102" s="151">
        <f t="shared" si="17"/>
        <v>302</v>
      </c>
      <c r="AM102" s="151">
        <f t="shared" si="17"/>
        <v>0</v>
      </c>
      <c r="AN102" s="151">
        <f t="shared" si="17"/>
        <v>38</v>
      </c>
      <c r="AO102" s="151">
        <f t="shared" si="17"/>
        <v>22</v>
      </c>
      <c r="AP102" s="151">
        <f t="shared" si="17"/>
        <v>93</v>
      </c>
      <c r="AQ102" s="151">
        <f t="shared" si="17"/>
        <v>7</v>
      </c>
      <c r="AR102" s="151">
        <f t="shared" si="17"/>
        <v>0</v>
      </c>
      <c r="AS102" s="151">
        <f t="shared" si="17"/>
        <v>0</v>
      </c>
      <c r="AT102" s="151">
        <f t="shared" si="17"/>
        <v>47</v>
      </c>
      <c r="AU102" s="151">
        <f t="shared" si="17"/>
        <v>0</v>
      </c>
      <c r="AV102" s="151">
        <f t="shared" si="17"/>
        <v>0</v>
      </c>
      <c r="AW102" s="151">
        <f t="shared" si="17"/>
        <v>435</v>
      </c>
      <c r="AX102" s="151">
        <f>SUM(AX$23:AX$58)</f>
        <v>157</v>
      </c>
      <c r="AY102" s="151">
        <f>SUM(AY$23:AY$58)</f>
        <v>0</v>
      </c>
      <c r="AZ102" s="151">
        <f t="shared" ref="AZ102:BB102" si="18">SUM(AZ$23:AZ$58)</f>
        <v>0</v>
      </c>
      <c r="BA102" s="151">
        <f t="shared" si="18"/>
        <v>0</v>
      </c>
      <c r="BB102" s="151">
        <f t="shared" si="18"/>
        <v>0</v>
      </c>
    </row>
    <row r="103" spans="31:54">
      <c r="AF103" s="151">
        <v>7</v>
      </c>
      <c r="AH103" s="151">
        <f t="shared" ref="AH103:AW103" si="19">SUM(AH$23:AH$64)</f>
        <v>177</v>
      </c>
      <c r="AI103" s="151">
        <f t="shared" si="19"/>
        <v>155</v>
      </c>
      <c r="AJ103" s="151">
        <f t="shared" si="19"/>
        <v>101</v>
      </c>
      <c r="AK103" s="151">
        <f t="shared" si="19"/>
        <v>1060</v>
      </c>
      <c r="AL103" s="151">
        <f t="shared" si="19"/>
        <v>358</v>
      </c>
      <c r="AM103" s="151">
        <f t="shared" si="19"/>
        <v>0</v>
      </c>
      <c r="AN103" s="151">
        <f t="shared" si="19"/>
        <v>59</v>
      </c>
      <c r="AO103" s="151">
        <f t="shared" si="19"/>
        <v>37</v>
      </c>
      <c r="AP103" s="151">
        <f t="shared" si="19"/>
        <v>128</v>
      </c>
      <c r="AQ103" s="151">
        <f t="shared" si="19"/>
        <v>12</v>
      </c>
      <c r="AR103" s="151">
        <f t="shared" si="19"/>
        <v>0</v>
      </c>
      <c r="AS103" s="151">
        <f t="shared" si="19"/>
        <v>0</v>
      </c>
      <c r="AT103" s="151">
        <f t="shared" si="19"/>
        <v>47</v>
      </c>
      <c r="AU103" s="151">
        <f t="shared" si="19"/>
        <v>0</v>
      </c>
      <c r="AV103" s="151">
        <f t="shared" si="19"/>
        <v>0</v>
      </c>
      <c r="AW103" s="151">
        <f t="shared" si="19"/>
        <v>675</v>
      </c>
      <c r="AX103" s="151">
        <f>SUM(AX$23:AX$64)</f>
        <v>187</v>
      </c>
      <c r="AY103" s="151">
        <f>SUM(AY$23:AY$64)</f>
        <v>0</v>
      </c>
      <c r="AZ103" s="151">
        <f t="shared" ref="AZ103:BB103" si="20">SUM(AZ$23:AZ$64)</f>
        <v>0</v>
      </c>
      <c r="BA103" s="151">
        <f t="shared" si="20"/>
        <v>0</v>
      </c>
      <c r="BB103" s="151">
        <f t="shared" si="20"/>
        <v>0</v>
      </c>
    </row>
    <row r="104" spans="31:54">
      <c r="AF104" s="151">
        <v>8</v>
      </c>
      <c r="AH104" s="151">
        <f t="shared" ref="AH104:AW104" si="21">SUM(AH$23:AH$70)</f>
        <v>227</v>
      </c>
      <c r="AI104" s="151">
        <f t="shared" si="21"/>
        <v>210</v>
      </c>
      <c r="AJ104" s="151">
        <f t="shared" si="21"/>
        <v>126</v>
      </c>
      <c r="AK104" s="151">
        <f t="shared" si="21"/>
        <v>1060</v>
      </c>
      <c r="AL104" s="151">
        <f t="shared" si="21"/>
        <v>540</v>
      </c>
      <c r="AM104" s="151">
        <f t="shared" si="21"/>
        <v>0</v>
      </c>
      <c r="AN104" s="151">
        <f t="shared" si="21"/>
        <v>64</v>
      </c>
      <c r="AO104" s="151">
        <f t="shared" si="21"/>
        <v>37</v>
      </c>
      <c r="AP104" s="151">
        <f t="shared" si="21"/>
        <v>168</v>
      </c>
      <c r="AQ104" s="151">
        <f t="shared" si="21"/>
        <v>19</v>
      </c>
      <c r="AR104" s="151">
        <f t="shared" si="21"/>
        <v>0</v>
      </c>
      <c r="AS104" s="151">
        <f t="shared" si="21"/>
        <v>0</v>
      </c>
      <c r="AT104" s="151">
        <f t="shared" si="21"/>
        <v>47</v>
      </c>
      <c r="AU104" s="151">
        <f t="shared" si="21"/>
        <v>0</v>
      </c>
      <c r="AV104" s="151">
        <f t="shared" si="21"/>
        <v>30</v>
      </c>
      <c r="AW104" s="151">
        <f t="shared" si="21"/>
        <v>815</v>
      </c>
      <c r="AX104" s="151">
        <f>SUM(AX$23:AX$70)</f>
        <v>237</v>
      </c>
      <c r="AY104" s="151">
        <f>SUM(AY$23:AY$70)</f>
        <v>0</v>
      </c>
      <c r="AZ104" s="151">
        <f t="shared" ref="AZ104:BB104" si="22">SUM(AZ$23:AZ$70)</f>
        <v>0</v>
      </c>
      <c r="BA104" s="151">
        <f t="shared" si="22"/>
        <v>0</v>
      </c>
      <c r="BB104" s="151">
        <f t="shared" si="22"/>
        <v>0</v>
      </c>
    </row>
    <row r="105" spans="31:54">
      <c r="AF105" s="151">
        <v>9</v>
      </c>
      <c r="AH105" s="151">
        <f t="shared" ref="AH105:AW105" si="23">SUM(AH$23:AH$76)</f>
        <v>262</v>
      </c>
      <c r="AI105" s="151">
        <f t="shared" si="23"/>
        <v>235</v>
      </c>
      <c r="AJ105" s="151">
        <f t="shared" si="23"/>
        <v>151</v>
      </c>
      <c r="AK105" s="151">
        <f t="shared" si="23"/>
        <v>1060</v>
      </c>
      <c r="AL105" s="151">
        <f t="shared" si="23"/>
        <v>694</v>
      </c>
      <c r="AM105" s="151">
        <f t="shared" si="23"/>
        <v>0</v>
      </c>
      <c r="AN105" s="151">
        <f t="shared" si="23"/>
        <v>69</v>
      </c>
      <c r="AO105" s="151">
        <f t="shared" si="23"/>
        <v>72</v>
      </c>
      <c r="AP105" s="151">
        <f t="shared" si="23"/>
        <v>228</v>
      </c>
      <c r="AQ105" s="151">
        <f t="shared" si="23"/>
        <v>19</v>
      </c>
      <c r="AR105" s="151">
        <f t="shared" si="23"/>
        <v>0</v>
      </c>
      <c r="AS105" s="151">
        <f t="shared" si="23"/>
        <v>0</v>
      </c>
      <c r="AT105" s="151">
        <f t="shared" si="23"/>
        <v>63</v>
      </c>
      <c r="AU105" s="151">
        <f t="shared" si="23"/>
        <v>0</v>
      </c>
      <c r="AV105" s="151">
        <f t="shared" si="23"/>
        <v>30</v>
      </c>
      <c r="AW105" s="151">
        <f t="shared" si="23"/>
        <v>915</v>
      </c>
      <c r="AX105" s="151">
        <f>SUM(AX$23:AX$76)</f>
        <v>277</v>
      </c>
      <c r="AY105" s="151">
        <f>SUM(AY$23:AY$76)</f>
        <v>0</v>
      </c>
      <c r="AZ105" s="151">
        <f t="shared" ref="AZ105:BB105" si="24">SUM(AZ$23:AZ$76)</f>
        <v>0</v>
      </c>
      <c r="BA105" s="151">
        <f t="shared" si="24"/>
        <v>0</v>
      </c>
      <c r="BB105" s="151">
        <f t="shared" si="24"/>
        <v>0</v>
      </c>
    </row>
    <row r="106" spans="31:54">
      <c r="AF106" s="151">
        <v>10</v>
      </c>
      <c r="AH106" s="151">
        <f t="shared" ref="AH106:AW106" si="25">SUM(AH$23:AH$82)</f>
        <v>337</v>
      </c>
      <c r="AI106" s="151">
        <f t="shared" si="25"/>
        <v>260</v>
      </c>
      <c r="AJ106" s="151">
        <f t="shared" si="25"/>
        <v>176</v>
      </c>
      <c r="AK106" s="151">
        <f t="shared" si="25"/>
        <v>1940</v>
      </c>
      <c r="AL106" s="151">
        <f t="shared" si="25"/>
        <v>887</v>
      </c>
      <c r="AM106" s="151">
        <f t="shared" si="25"/>
        <v>0</v>
      </c>
      <c r="AN106" s="151">
        <f t="shared" si="25"/>
        <v>73</v>
      </c>
      <c r="AO106" s="151">
        <f t="shared" si="25"/>
        <v>82</v>
      </c>
      <c r="AP106" s="151">
        <f t="shared" si="25"/>
        <v>293</v>
      </c>
      <c r="AQ106" s="151">
        <f t="shared" si="25"/>
        <v>29</v>
      </c>
      <c r="AR106" s="151">
        <f t="shared" si="25"/>
        <v>0</v>
      </c>
      <c r="AS106" s="151">
        <f t="shared" si="25"/>
        <v>0</v>
      </c>
      <c r="AT106" s="151">
        <f t="shared" si="25"/>
        <v>63</v>
      </c>
      <c r="AU106" s="151">
        <f t="shared" si="25"/>
        <v>0</v>
      </c>
      <c r="AV106" s="151">
        <f t="shared" si="25"/>
        <v>30</v>
      </c>
      <c r="AW106" s="151">
        <f t="shared" si="25"/>
        <v>1755</v>
      </c>
      <c r="AX106" s="151">
        <f>SUM(AX$23:AX$82)</f>
        <v>277</v>
      </c>
      <c r="AY106" s="151">
        <f>SUM(AY$23:AY$82)</f>
        <v>0</v>
      </c>
      <c r="AZ106" s="151">
        <f t="shared" ref="AZ106:BB106" si="26">SUM(AZ$23:AZ$82)</f>
        <v>0</v>
      </c>
      <c r="BA106" s="151">
        <f t="shared" si="26"/>
        <v>0</v>
      </c>
      <c r="BB106" s="151">
        <f t="shared" si="26"/>
        <v>0</v>
      </c>
    </row>
    <row r="107" spans="31:54">
      <c r="AF107" s="151">
        <v>11</v>
      </c>
      <c r="AH107" s="151">
        <f t="shared" ref="AH107:BB107" si="27">SUM(AH$23:AH$88)</f>
        <v>473</v>
      </c>
      <c r="AI107" s="151">
        <f t="shared" si="27"/>
        <v>327</v>
      </c>
      <c r="AJ107" s="151">
        <f t="shared" si="27"/>
        <v>207</v>
      </c>
      <c r="AK107" s="151">
        <f t="shared" si="27"/>
        <v>2540</v>
      </c>
      <c r="AL107" s="151">
        <f t="shared" si="27"/>
        <v>1017</v>
      </c>
      <c r="AM107" s="151">
        <f t="shared" si="27"/>
        <v>0</v>
      </c>
      <c r="AN107" s="151">
        <f t="shared" si="27"/>
        <v>103</v>
      </c>
      <c r="AO107" s="151">
        <f t="shared" si="27"/>
        <v>82</v>
      </c>
      <c r="AP107" s="151">
        <f t="shared" si="27"/>
        <v>293</v>
      </c>
      <c r="AQ107" s="151">
        <f t="shared" si="27"/>
        <v>29</v>
      </c>
      <c r="AR107" s="151">
        <f t="shared" si="27"/>
        <v>0</v>
      </c>
      <c r="AS107" s="151">
        <f t="shared" si="27"/>
        <v>0</v>
      </c>
      <c r="AT107" s="151">
        <f t="shared" si="27"/>
        <v>118</v>
      </c>
      <c r="AU107" s="151">
        <f t="shared" si="27"/>
        <v>8</v>
      </c>
      <c r="AV107" s="151">
        <f t="shared" si="27"/>
        <v>30</v>
      </c>
      <c r="AW107" s="151">
        <f t="shared" si="27"/>
        <v>2355</v>
      </c>
      <c r="AX107" s="151">
        <f t="shared" si="27"/>
        <v>277</v>
      </c>
      <c r="AY107" s="151">
        <f t="shared" si="27"/>
        <v>0</v>
      </c>
      <c r="AZ107" s="151">
        <f t="shared" si="27"/>
        <v>0</v>
      </c>
      <c r="BA107" s="151">
        <f t="shared" si="27"/>
        <v>0</v>
      </c>
      <c r="BB107" s="151">
        <f t="shared" si="27"/>
        <v>0</v>
      </c>
    </row>
    <row r="108" spans="31:54">
      <c r="AF108" s="151">
        <v>12</v>
      </c>
      <c r="AH108" s="151">
        <f t="shared" ref="AH108:BB108" si="28">SUM(AH$23:AH$94)</f>
        <v>529</v>
      </c>
      <c r="AI108" s="151">
        <f t="shared" si="28"/>
        <v>383</v>
      </c>
      <c r="AJ108" s="151">
        <f t="shared" si="28"/>
        <v>263</v>
      </c>
      <c r="AK108" s="151">
        <f t="shared" si="28"/>
        <v>2790</v>
      </c>
      <c r="AL108" s="151">
        <f t="shared" si="28"/>
        <v>1267</v>
      </c>
      <c r="AM108" s="151">
        <f t="shared" si="28"/>
        <v>0</v>
      </c>
      <c r="AN108" s="151">
        <f t="shared" si="28"/>
        <v>103</v>
      </c>
      <c r="AO108" s="151">
        <f t="shared" si="28"/>
        <v>97</v>
      </c>
      <c r="AP108" s="151">
        <f t="shared" si="28"/>
        <v>299</v>
      </c>
      <c r="AQ108" s="151">
        <f t="shared" si="28"/>
        <v>43</v>
      </c>
      <c r="AR108" s="151">
        <f t="shared" si="28"/>
        <v>0</v>
      </c>
      <c r="AS108" s="151">
        <f t="shared" si="28"/>
        <v>0</v>
      </c>
      <c r="AT108" s="151">
        <f t="shared" si="28"/>
        <v>118</v>
      </c>
      <c r="AU108" s="151">
        <f t="shared" si="28"/>
        <v>8</v>
      </c>
      <c r="AV108" s="151">
        <f t="shared" si="28"/>
        <v>30</v>
      </c>
      <c r="AW108" s="151">
        <f t="shared" si="28"/>
        <v>2855</v>
      </c>
      <c r="AX108" s="151">
        <f t="shared" si="28"/>
        <v>277</v>
      </c>
      <c r="AY108" s="151">
        <f t="shared" si="28"/>
        <v>0</v>
      </c>
      <c r="AZ108" s="151">
        <f t="shared" si="28"/>
        <v>0</v>
      </c>
      <c r="BA108" s="151">
        <f t="shared" si="28"/>
        <v>0</v>
      </c>
      <c r="BB108" s="151">
        <f t="shared" si="28"/>
        <v>0</v>
      </c>
    </row>
    <row r="110" spans="31:54">
      <c r="AF110" s="151" t="s">
        <v>1095</v>
      </c>
      <c r="AG110" s="151">
        <f>$V$2</f>
        <v>11</v>
      </c>
      <c r="AH110" s="50" t="s">
        <v>3</v>
      </c>
      <c r="AI110" s="50" t="s">
        <v>4</v>
      </c>
      <c r="AJ110" s="50" t="s">
        <v>5</v>
      </c>
      <c r="AK110" s="50" t="s">
        <v>103</v>
      </c>
      <c r="AL110" s="50" t="s">
        <v>14</v>
      </c>
      <c r="AM110" s="50" t="s">
        <v>47</v>
      </c>
      <c r="AN110" s="50" t="s">
        <v>35</v>
      </c>
      <c r="AO110" s="50" t="s">
        <v>38</v>
      </c>
      <c r="AP110" s="50" t="s">
        <v>34</v>
      </c>
      <c r="AQ110" s="50" t="s">
        <v>56</v>
      </c>
      <c r="AR110" s="50" t="s">
        <v>84</v>
      </c>
      <c r="AS110" s="50" t="s">
        <v>98</v>
      </c>
      <c r="AT110" s="50" t="s">
        <v>2099</v>
      </c>
      <c r="AU110" s="119" t="s">
        <v>1874</v>
      </c>
      <c r="AV110" s="50" t="s">
        <v>91</v>
      </c>
      <c r="AW110" s="50" t="s">
        <v>13</v>
      </c>
      <c r="AX110" s="50" t="s">
        <v>18</v>
      </c>
      <c r="AY110" s="51" t="s">
        <v>71</v>
      </c>
      <c r="AZ110" s="50" t="s">
        <v>130</v>
      </c>
      <c r="BA110" s="141" t="s">
        <v>1867</v>
      </c>
      <c r="BB110" s="141" t="s">
        <v>1877</v>
      </c>
    </row>
    <row r="111" spans="31:54">
      <c r="AE111" s="151" t="str">
        <f>英雄对比!$C$12</f>
        <v>√</v>
      </c>
      <c r="AF111" s="151" t="str">
        <f>IFERROR(VLOOKUP($AG111,装备属性!$A:$B,2,0),"暂无")</f>
        <v>橙装</v>
      </c>
      <c r="AG111" s="151" t="str">
        <f>IF($AE111="√",VLOOKUP($AG$110,$V$42:$AC$53,3,0),0)</f>
        <v>欺诈者之剑</v>
      </c>
      <c r="AH111" s="151">
        <f>IFERROR(VLOOKUP($AG111,装备属性!$A:$Y,5,0),0)</f>
        <v>40</v>
      </c>
      <c r="AI111" s="151">
        <f>IFERROR(VLOOKUP($AG111,装备属性!$A:$Y,6,0),0)</f>
        <v>0</v>
      </c>
      <c r="AJ111" s="151">
        <f>IFERROR(VLOOKUP($AG111,装备属性!$A:$Y,7,0),0)</f>
        <v>0</v>
      </c>
      <c r="AK111" s="151">
        <f>IFERROR(VLOOKUP($AG111,装备属性!$A:$Y,8,0),0)</f>
        <v>0</v>
      </c>
      <c r="AL111" s="151">
        <f>IFERROR(VLOOKUP($AG111,装备属性!$A:$Y,9,0),0)</f>
        <v>80</v>
      </c>
      <c r="AM111" s="151">
        <f>IFERROR(VLOOKUP($AG111,装备属性!$A:$Y,10,0),0)</f>
        <v>0</v>
      </c>
      <c r="AN111" s="151">
        <f>IFERROR(VLOOKUP($AG111,装备属性!$A:$Y,11,0),0)</f>
        <v>15</v>
      </c>
      <c r="AO111" s="151">
        <f>IFERROR(VLOOKUP($AG111,装备属性!$A:$Y,12,0),0)</f>
        <v>0</v>
      </c>
      <c r="AP111" s="151">
        <f>IFERROR(VLOOKUP($AG111,装备属性!$A:$Y,13,0),0)</f>
        <v>0</v>
      </c>
      <c r="AQ111" s="151">
        <f>IFERROR(VLOOKUP($AG111,装备属性!$A:$Y,14,0),0)</f>
        <v>0</v>
      </c>
      <c r="AR111" s="151">
        <f>IFERROR(VLOOKUP($AG111,装备属性!$A:$Y,15,0),0)</f>
        <v>0</v>
      </c>
      <c r="AS111" s="151">
        <f>IFERROR(VLOOKUP($AG111,装备属性!$A:$Y,16,0),0)</f>
        <v>0</v>
      </c>
      <c r="AT111" s="151">
        <f>IFERROR(VLOOKUP($AG111,装备属性!$A:$Y,17,0),0)</f>
        <v>30</v>
      </c>
      <c r="AU111" s="151">
        <f>IFERROR(VLOOKUP($AG111,装备属性!$A:$Y,18,0),0)</f>
        <v>0</v>
      </c>
      <c r="AV111" s="151">
        <f>IFERROR(VLOOKUP($AG111,装备属性!$A:$Y,19,0),0)</f>
        <v>0</v>
      </c>
      <c r="AW111" s="151">
        <f>IFERROR(VLOOKUP($AG111,装备属性!$A:$Y,20,0),0)</f>
        <v>0</v>
      </c>
      <c r="AX111" s="151">
        <f>IFERROR(VLOOKUP($AG111,装备属性!$A:$Y,21,0),0)</f>
        <v>0</v>
      </c>
      <c r="AY111" s="151">
        <f>IFERROR(VLOOKUP($AG111,装备属性!$A:$Y,22,0),0)</f>
        <v>0</v>
      </c>
      <c r="AZ111" s="151">
        <f>IFERROR(VLOOKUP($AG111,装备属性!$A:$Y,23,0),0)</f>
        <v>0</v>
      </c>
      <c r="BA111" s="151">
        <f>IFERROR(VLOOKUP($AG111,装备属性!$A:$Y,24,0),0)</f>
        <v>0</v>
      </c>
      <c r="BB111" s="151">
        <f>IFERROR(VLOOKUP($AG111,装备属性!$A:$Y,25,0),0)</f>
        <v>0</v>
      </c>
    </row>
    <row r="112" spans="31:54">
      <c r="AE112" s="151" t="str">
        <f>英雄对比!$D$12</f>
        <v>√</v>
      </c>
      <c r="AF112" s="151" t="str">
        <f>IFERROR(VLOOKUP($AG112,装备属性!$A:$B,2,0),"暂无")</f>
        <v>橙装</v>
      </c>
      <c r="AG112" s="151" t="str">
        <f>IF($AE112="√",VLOOKUP($AG$110,$V$42:$AC$53,4,0),0)</f>
        <v>鹰羽指环</v>
      </c>
      <c r="AH112" s="151">
        <f>IFERROR(VLOOKUP($AG112,装备属性!$A:$Y,5,0),0)</f>
        <v>0</v>
      </c>
      <c r="AI112" s="151">
        <f>IFERROR(VLOOKUP($AG112,装备属性!$A:$Y,6,0),0)</f>
        <v>36</v>
      </c>
      <c r="AJ112" s="151">
        <f>IFERROR(VLOOKUP($AG112,装备属性!$A:$Y,7,0),0)</f>
        <v>0</v>
      </c>
      <c r="AK112" s="151">
        <f>IFERROR(VLOOKUP($AG112,装备属性!$A:$Y,8,0),0)</f>
        <v>0</v>
      </c>
      <c r="AL112" s="151">
        <f>IFERROR(VLOOKUP($AG112,装备属性!$A:$Y,9,0),0)</f>
        <v>0</v>
      </c>
      <c r="AM112" s="151">
        <f>IFERROR(VLOOKUP($AG112,装备属性!$A:$Y,10,0),0)</f>
        <v>0</v>
      </c>
      <c r="AN112" s="151">
        <f>IFERROR(VLOOKUP($AG112,装备属性!$A:$Y,11,0),0)</f>
        <v>0</v>
      </c>
      <c r="AO112" s="151">
        <f>IFERROR(VLOOKUP($AG112,装备属性!$A:$Y,12,0),0)</f>
        <v>0</v>
      </c>
      <c r="AP112" s="151">
        <f>IFERROR(VLOOKUP($AG112,装备属性!$A:$Y,13,0),0)</f>
        <v>0</v>
      </c>
      <c r="AQ112" s="151">
        <f>IFERROR(VLOOKUP($AG112,装备属性!$A:$Y,14,0),0)</f>
        <v>0</v>
      </c>
      <c r="AR112" s="151">
        <f>IFERROR(VLOOKUP($AG112,装备属性!$A:$Y,15,0),0)</f>
        <v>0</v>
      </c>
      <c r="AS112" s="151">
        <f>IFERROR(VLOOKUP($AG112,装备属性!$A:$Y,16,0),0)</f>
        <v>0</v>
      </c>
      <c r="AT112" s="151">
        <f>IFERROR(VLOOKUP($AG112,装备属性!$A:$Y,17,0),0)</f>
        <v>0</v>
      </c>
      <c r="AU112" s="151">
        <f>IFERROR(VLOOKUP($AG112,装备属性!$A:$Y,18,0),0)</f>
        <v>0</v>
      </c>
      <c r="AV112" s="151">
        <f>IFERROR(VLOOKUP($AG112,装备属性!$A:$Y,19,0),0)</f>
        <v>0</v>
      </c>
      <c r="AW112" s="151">
        <f>IFERROR(VLOOKUP($AG112,装备属性!$A:$Y,20,0),0)</f>
        <v>0</v>
      </c>
      <c r="AX112" s="151">
        <f>IFERROR(VLOOKUP($AG112,装备属性!$A:$Y,21,0),0)</f>
        <v>0</v>
      </c>
      <c r="AY112" s="151">
        <f>IFERROR(VLOOKUP($AG112,装备属性!$A:$Y,22,0),0)</f>
        <v>0</v>
      </c>
      <c r="AZ112" s="151">
        <f>IFERROR(VLOOKUP($AG112,装备属性!$A:$Y,23,0),0)</f>
        <v>0</v>
      </c>
      <c r="BA112" s="151">
        <f>IFERROR(VLOOKUP($AG112,装备属性!$A:$Y,24,0),0)</f>
        <v>0</v>
      </c>
      <c r="BB112" s="151">
        <f>IFERROR(VLOOKUP($AG112,装备属性!$A:$Y,25,0),0)</f>
        <v>0</v>
      </c>
    </row>
    <row r="113" spans="30:54">
      <c r="AE113" s="151" t="str">
        <f>英雄对比!$E$12</f>
        <v>√</v>
      </c>
      <c r="AF113" s="151" t="str">
        <f>IFERROR(VLOOKUP($AG113,装备属性!$A:$B,2,0),"暂无")</f>
        <v>紫装</v>
      </c>
      <c r="AG113" s="151" t="str">
        <f>IF($AE113="√",VLOOKUP($AG$110,$V$42:$AC$53,5,0),0)</f>
        <v>撒旦</v>
      </c>
      <c r="AH113" s="151">
        <f>IFERROR(VLOOKUP($AG113,装备属性!$A:$Y,5,0),0)</f>
        <v>25</v>
      </c>
      <c r="AI113" s="151">
        <f>IFERROR(VLOOKUP($AG113,装备属性!$A:$Y,6,0),0)</f>
        <v>0</v>
      </c>
      <c r="AJ113" s="151">
        <f>IFERROR(VLOOKUP($AG113,装备属性!$A:$Y,7,0),0)</f>
        <v>0</v>
      </c>
      <c r="AK113" s="151">
        <f>IFERROR(VLOOKUP($AG113,装备属性!$A:$Y,8,0),0)</f>
        <v>0</v>
      </c>
      <c r="AL113" s="151">
        <f>IFERROR(VLOOKUP($AG113,装备属性!$A:$Y,9,0),0)</f>
        <v>50</v>
      </c>
      <c r="AM113" s="151">
        <f>IFERROR(VLOOKUP($AG113,装备属性!$A:$Y,10,0),0)</f>
        <v>0</v>
      </c>
      <c r="AN113" s="151">
        <f>IFERROR(VLOOKUP($AG113,装备属性!$A:$Y,11,0),0)</f>
        <v>15</v>
      </c>
      <c r="AO113" s="151">
        <f>IFERROR(VLOOKUP($AG113,装备属性!$A:$Y,12,0),0)</f>
        <v>0</v>
      </c>
      <c r="AP113" s="151">
        <f>IFERROR(VLOOKUP($AG113,装备属性!$A:$Y,13,0),0)</f>
        <v>0</v>
      </c>
      <c r="AQ113" s="151">
        <f>IFERROR(VLOOKUP($AG113,装备属性!$A:$Y,14,0),0)</f>
        <v>0</v>
      </c>
      <c r="AR113" s="151">
        <f>IFERROR(VLOOKUP($AG113,装备属性!$A:$Y,15,0),0)</f>
        <v>0</v>
      </c>
      <c r="AS113" s="151">
        <f>IFERROR(VLOOKUP($AG113,装备属性!$A:$Y,16,0),0)</f>
        <v>0</v>
      </c>
      <c r="AT113" s="151">
        <f>IFERROR(VLOOKUP($AG113,装备属性!$A:$Y,17,0),0)</f>
        <v>25</v>
      </c>
      <c r="AU113" s="151">
        <f>IFERROR(VLOOKUP($AG113,装备属性!$A:$Y,18,0),0)</f>
        <v>0</v>
      </c>
      <c r="AV113" s="151">
        <f>IFERROR(VLOOKUP($AG113,装备属性!$A:$Y,19,0),0)</f>
        <v>0</v>
      </c>
      <c r="AW113" s="151">
        <f>IFERROR(VLOOKUP($AG113,装备属性!$A:$Y,20,0),0)</f>
        <v>0</v>
      </c>
      <c r="AX113" s="151">
        <f>IFERROR(VLOOKUP($AG113,装备属性!$A:$Y,21,0),0)</f>
        <v>0</v>
      </c>
      <c r="AY113" s="151">
        <f>IFERROR(VLOOKUP($AG113,装备属性!$A:$Y,22,0),0)</f>
        <v>0</v>
      </c>
      <c r="AZ113" s="151">
        <f>IFERROR(VLOOKUP($AG113,装备属性!$A:$Y,23,0),0)</f>
        <v>0</v>
      </c>
      <c r="BA113" s="151">
        <f>IFERROR(VLOOKUP($AG113,装备属性!$A:$Y,24,0),0)</f>
        <v>0</v>
      </c>
      <c r="BB113" s="151">
        <f>IFERROR(VLOOKUP($AG113,装备属性!$A:$Y,25,0),0)</f>
        <v>0</v>
      </c>
    </row>
    <row r="114" spans="30:54">
      <c r="AE114" s="151" t="str">
        <f>英雄对比!$F$12</f>
        <v>√</v>
      </c>
      <c r="AF114" s="151" t="str">
        <f>IFERROR(VLOOKUP($AG114,装备属性!$A:$B,2,0),"暂无")</f>
        <v>紫装</v>
      </c>
      <c r="AG114" s="151" t="str">
        <f>IF($AE114="√",VLOOKUP($AG$110,$V$42:$AC$53,6,0),0)</f>
        <v>龙心</v>
      </c>
      <c r="AH114" s="151">
        <f>IFERROR(VLOOKUP($AG114,装备属性!$A:$Y,5,0),0)</f>
        <v>40</v>
      </c>
      <c r="AI114" s="151">
        <f>IFERROR(VLOOKUP($AG114,装备属性!$A:$Y,6,0),0)</f>
        <v>0</v>
      </c>
      <c r="AJ114" s="151">
        <f>IFERROR(VLOOKUP($AG114,装备属性!$A:$Y,7,0),0)</f>
        <v>0</v>
      </c>
      <c r="AK114" s="151">
        <f>IFERROR(VLOOKUP($AG114,装备属性!$A:$Y,8,0),0)</f>
        <v>600</v>
      </c>
      <c r="AL114" s="151">
        <f>IFERROR(VLOOKUP($AG114,装备属性!$A:$Y,9,0),0)</f>
        <v>0</v>
      </c>
      <c r="AM114" s="151">
        <f>IFERROR(VLOOKUP($AG114,装备属性!$A:$Y,10,0),0)</f>
        <v>0</v>
      </c>
      <c r="AN114" s="151">
        <f>IFERROR(VLOOKUP($AG114,装备属性!$A:$Y,11,0),0)</f>
        <v>0</v>
      </c>
      <c r="AO114" s="151">
        <f>IFERROR(VLOOKUP($AG114,装备属性!$A:$Y,12,0),0)</f>
        <v>0</v>
      </c>
      <c r="AP114" s="151">
        <f>IFERROR(VLOOKUP($AG114,装备属性!$A:$Y,13,0),0)</f>
        <v>0</v>
      </c>
      <c r="AQ114" s="151">
        <f>IFERROR(VLOOKUP($AG114,装备属性!$A:$Y,14,0),0)</f>
        <v>0</v>
      </c>
      <c r="AR114" s="151">
        <f>IFERROR(VLOOKUP($AG114,装备属性!$A:$Y,15,0),0)</f>
        <v>0</v>
      </c>
      <c r="AS114" s="151">
        <f>IFERROR(VLOOKUP($AG114,装备属性!$A:$Y,16,0),0)</f>
        <v>0</v>
      </c>
      <c r="AT114" s="151">
        <f>IFERROR(VLOOKUP($AG114,装备属性!$A:$Y,17,0),0)</f>
        <v>0</v>
      </c>
      <c r="AU114" s="151">
        <f>IFERROR(VLOOKUP($AG114,装备属性!$A:$Y,18,0),0)</f>
        <v>0</v>
      </c>
      <c r="AV114" s="151">
        <f>IFERROR(VLOOKUP($AG114,装备属性!$A:$Y,19,0),0)</f>
        <v>0</v>
      </c>
      <c r="AW114" s="151">
        <f>IFERROR(VLOOKUP($AG114,装备属性!$A:$Y,20,0),0)</f>
        <v>600</v>
      </c>
      <c r="AX114" s="151">
        <f>IFERROR(VLOOKUP($AG114,装备属性!$A:$Y,21,0),0)</f>
        <v>0</v>
      </c>
      <c r="AY114" s="151">
        <f>IFERROR(VLOOKUP($AG114,装备属性!$A:$Y,22,0),0)</f>
        <v>0</v>
      </c>
      <c r="AZ114" s="151">
        <f>IFERROR(VLOOKUP($AG114,装备属性!$A:$Y,23,0),0)</f>
        <v>0</v>
      </c>
      <c r="BA114" s="151">
        <f>IFERROR(VLOOKUP($AG114,装备属性!$A:$Y,24,0),0)</f>
        <v>0</v>
      </c>
      <c r="BB114" s="151">
        <f>IFERROR(VLOOKUP($AG114,装备属性!$A:$Y,25,0),0)</f>
        <v>0</v>
      </c>
    </row>
    <row r="115" spans="30:54">
      <c r="AE115" s="151" t="str">
        <f>英雄对比!$G$12</f>
        <v>√</v>
      </c>
      <c r="AF115" s="151" t="str">
        <f>IFERROR(VLOOKUP($AG115,装备属性!$A:$B,2,0),"暂无")</f>
        <v>蓝装</v>
      </c>
      <c r="AG115" s="151" t="str">
        <f>IF($AE115="√",VLOOKUP($AG$110,$V$42:$AC$53,7,0),0)</f>
        <v>射手指环</v>
      </c>
      <c r="AH115" s="151">
        <f>IFERROR(VLOOKUP($AG115,装备属性!$A:$Y,5,0),0)</f>
        <v>0</v>
      </c>
      <c r="AI115" s="151">
        <f>IFERROR(VLOOKUP($AG115,装备属性!$A:$Y,6,0),0)</f>
        <v>0</v>
      </c>
      <c r="AJ115" s="151">
        <f>IFERROR(VLOOKUP($AG115,装备属性!$A:$Y,7,0),0)</f>
        <v>0</v>
      </c>
      <c r="AK115" s="151">
        <f>IFERROR(VLOOKUP($AG115,装备属性!$A:$Y,8,0),0)</f>
        <v>0</v>
      </c>
      <c r="AL115" s="151">
        <f>IFERROR(VLOOKUP($AG115,装备属性!$A:$Y,9,0),0)</f>
        <v>0</v>
      </c>
      <c r="AM115" s="151">
        <f>IFERROR(VLOOKUP($AG115,装备属性!$A:$Y,10,0),0)</f>
        <v>0</v>
      </c>
      <c r="AN115" s="151">
        <f>IFERROR(VLOOKUP($AG115,装备属性!$A:$Y,11,0),0)</f>
        <v>0</v>
      </c>
      <c r="AO115" s="151">
        <f>IFERROR(VLOOKUP($AG115,装备属性!$A:$Y,12,0),0)</f>
        <v>0</v>
      </c>
      <c r="AP115" s="151">
        <f>IFERROR(VLOOKUP($AG115,装备属性!$A:$Y,13,0),0)</f>
        <v>0</v>
      </c>
      <c r="AQ115" s="151">
        <f>IFERROR(VLOOKUP($AG115,装备属性!$A:$Y,14,0),0)</f>
        <v>0</v>
      </c>
      <c r="AR115" s="151">
        <f>IFERROR(VLOOKUP($AG115,装备属性!$A:$Y,15,0),0)</f>
        <v>0</v>
      </c>
      <c r="AS115" s="151">
        <f>IFERROR(VLOOKUP($AG115,装备属性!$A:$Y,16,0),0)</f>
        <v>0</v>
      </c>
      <c r="AT115" s="151">
        <f>IFERROR(VLOOKUP($AG115,装备属性!$A:$Y,17,0),0)</f>
        <v>0</v>
      </c>
      <c r="AU115" s="151">
        <f>IFERROR(VLOOKUP($AG115,装备属性!$A:$Y,18,0),0)</f>
        <v>8</v>
      </c>
      <c r="AV115" s="151">
        <f>IFERROR(VLOOKUP($AG115,装备属性!$A:$Y,19,0),0)</f>
        <v>0</v>
      </c>
      <c r="AW115" s="151">
        <f>IFERROR(VLOOKUP($AG115,装备属性!$A:$Y,20,0),0)</f>
        <v>0</v>
      </c>
      <c r="AX115" s="151">
        <f>IFERROR(VLOOKUP($AG115,装备属性!$A:$Y,21,0),0)</f>
        <v>0</v>
      </c>
      <c r="AY115" s="151">
        <f>IFERROR(VLOOKUP($AG115,装备属性!$A:$Y,22,0),0)</f>
        <v>0</v>
      </c>
      <c r="AZ115" s="151">
        <f>IFERROR(VLOOKUP($AG115,装备属性!$A:$Y,23,0),0)</f>
        <v>0</v>
      </c>
      <c r="BA115" s="151">
        <f>IFERROR(VLOOKUP($AG115,装备属性!$A:$Y,24,0),0)</f>
        <v>0</v>
      </c>
      <c r="BB115" s="151">
        <f>IFERROR(VLOOKUP($AG115,装备属性!$A:$Y,25,0),0)</f>
        <v>0</v>
      </c>
    </row>
    <row r="116" spans="30:54">
      <c r="AE116" s="151" t="str">
        <f>英雄对比!$H$12</f>
        <v>√</v>
      </c>
      <c r="AF116" s="151" t="str">
        <f>IFERROR(VLOOKUP($AG116,装备属性!$A:$B,2,0),"暂无")</f>
        <v>紫装</v>
      </c>
      <c r="AG116" s="151" t="str">
        <f>IF($AE116="√",VLOOKUP($AG$110,$V$42:$AC$53,8,0),0)</f>
        <v>疾行鞋</v>
      </c>
      <c r="AH116" s="151">
        <f>IFERROR(VLOOKUP($AG116,装备属性!$A:$Y,5,0),0)</f>
        <v>31</v>
      </c>
      <c r="AI116" s="151">
        <f>IFERROR(VLOOKUP($AG116,装备属性!$A:$Y,6,0),0)</f>
        <v>31</v>
      </c>
      <c r="AJ116" s="151">
        <f>IFERROR(VLOOKUP($AG116,装备属性!$A:$Y,7,0),0)</f>
        <v>31</v>
      </c>
      <c r="AK116" s="151">
        <f>IFERROR(VLOOKUP($AG116,装备属性!$A:$Y,8,0),0)</f>
        <v>0</v>
      </c>
      <c r="AL116" s="151">
        <f>IFERROR(VLOOKUP($AG116,装备属性!$A:$Y,9,0),0)</f>
        <v>0</v>
      </c>
      <c r="AM116" s="151">
        <f>IFERROR(VLOOKUP($AG116,装备属性!$A:$Y,10,0),0)</f>
        <v>0</v>
      </c>
      <c r="AN116" s="151">
        <f>IFERROR(VLOOKUP($AG116,装备属性!$A:$Y,11,0),0)</f>
        <v>0</v>
      </c>
      <c r="AO116" s="151">
        <f>IFERROR(VLOOKUP($AG116,装备属性!$A:$Y,12,0),0)</f>
        <v>0</v>
      </c>
      <c r="AP116" s="151">
        <f>IFERROR(VLOOKUP($AG116,装备属性!$A:$Y,13,0),0)</f>
        <v>0</v>
      </c>
      <c r="AQ116" s="151">
        <f>IFERROR(VLOOKUP($AG116,装备属性!$A:$Y,14,0),0)</f>
        <v>0</v>
      </c>
      <c r="AR116" s="151">
        <f>IFERROR(VLOOKUP($AG116,装备属性!$A:$Y,15,0),0)</f>
        <v>0</v>
      </c>
      <c r="AS116" s="151">
        <f>IFERROR(VLOOKUP($AG116,装备属性!$A:$Y,16,0),0)</f>
        <v>0</v>
      </c>
      <c r="AT116" s="151">
        <f>IFERROR(VLOOKUP($AG116,装备属性!$A:$Y,17,0),0)</f>
        <v>0</v>
      </c>
      <c r="AU116" s="151">
        <f>IFERROR(VLOOKUP($AG116,装备属性!$A:$Y,18,0),0)</f>
        <v>0</v>
      </c>
      <c r="AV116" s="151">
        <f>IFERROR(VLOOKUP($AG116,装备属性!$A:$Y,19,0),0)</f>
        <v>0</v>
      </c>
      <c r="AW116" s="151">
        <f>IFERROR(VLOOKUP($AG116,装备属性!$A:$Y,20,0),0)</f>
        <v>0</v>
      </c>
      <c r="AX116" s="151">
        <f>IFERROR(VLOOKUP($AG116,装备属性!$A:$Y,21,0),0)</f>
        <v>0</v>
      </c>
      <c r="AY116" s="151">
        <f>IFERROR(VLOOKUP($AG116,装备属性!$A:$Y,22,0),0)</f>
        <v>0</v>
      </c>
      <c r="AZ116" s="151">
        <f>IFERROR(VLOOKUP($AG116,装备属性!$A:$Y,23,0),0)</f>
        <v>0</v>
      </c>
      <c r="BA116" s="151">
        <f>IFERROR(VLOOKUP($AG116,装备属性!$A:$Y,24,0),0)</f>
        <v>0</v>
      </c>
      <c r="BB116" s="151">
        <f>IFERROR(VLOOKUP($AG116,装备属性!$A:$Y,25,0),0)</f>
        <v>0</v>
      </c>
    </row>
    <row r="118" spans="30:54">
      <c r="AF118" s="151" t="s">
        <v>1096</v>
      </c>
      <c r="AH118" s="50" t="s">
        <v>3</v>
      </c>
      <c r="AI118" s="50" t="s">
        <v>4</v>
      </c>
      <c r="AJ118" s="50" t="s">
        <v>5</v>
      </c>
      <c r="AK118" s="50" t="s">
        <v>103</v>
      </c>
      <c r="AL118" s="50" t="s">
        <v>14</v>
      </c>
      <c r="AM118" s="50" t="s">
        <v>47</v>
      </c>
      <c r="AN118" s="50" t="s">
        <v>35</v>
      </c>
      <c r="AO118" s="50" t="s">
        <v>38</v>
      </c>
      <c r="AP118" s="50" t="s">
        <v>34</v>
      </c>
      <c r="AQ118" s="50" t="s">
        <v>56</v>
      </c>
      <c r="AR118" s="50" t="s">
        <v>84</v>
      </c>
      <c r="AS118" s="50" t="s">
        <v>98</v>
      </c>
      <c r="AT118" s="50" t="s">
        <v>2099</v>
      </c>
      <c r="AU118" s="119" t="s">
        <v>1874</v>
      </c>
      <c r="AV118" s="50" t="s">
        <v>91</v>
      </c>
      <c r="AW118" s="50" t="s">
        <v>13</v>
      </c>
      <c r="AX118" s="50" t="s">
        <v>18</v>
      </c>
      <c r="AY118" s="51" t="s">
        <v>71</v>
      </c>
      <c r="AZ118" s="50" t="s">
        <v>130</v>
      </c>
      <c r="BA118" s="141" t="s">
        <v>1867</v>
      </c>
      <c r="BB118" s="141" t="s">
        <v>1877</v>
      </c>
    </row>
    <row r="119" spans="30:54">
      <c r="AF119" s="151">
        <f>HLOOKUP(英雄对比!$C$13,中介表格2!$V$65:$AA$66,2,0)</f>
        <v>5</v>
      </c>
      <c r="AG119" s="151" t="str">
        <f>VLOOKUP($AG$110,$V$42:$AC$53,3,0)</f>
        <v>欺诈者之剑</v>
      </c>
      <c r="AH119" s="151">
        <f>IFERROR(VLOOKUP($AG119,装备附魔!$A:$Y,5,0)*$AF119,0)</f>
        <v>30</v>
      </c>
      <c r="AI119" s="151">
        <f>IFERROR(VLOOKUP($AG119,装备附魔!$A:$Y,6,0)*$AF119,0)</f>
        <v>0</v>
      </c>
      <c r="AJ119" s="151">
        <f>IFERROR(VLOOKUP($AG119,装备附魔!$A:$Y,7,0)*$AF119,0)</f>
        <v>0</v>
      </c>
      <c r="AK119" s="151">
        <f>IFERROR(VLOOKUP($AG119,装备附魔!$A:$Y,8,0)*$AF119,0)</f>
        <v>0</v>
      </c>
      <c r="AL119" s="151">
        <f>IFERROR(VLOOKUP($AG119,装备附魔!$A:$Y,9,0)*$AF119,0)</f>
        <v>90</v>
      </c>
      <c r="AM119" s="151">
        <f>IFERROR(VLOOKUP($AG119,装备附魔!$A:$Y,10,0)*$AF119,0)</f>
        <v>0</v>
      </c>
      <c r="AN119" s="151">
        <f>IFERROR(VLOOKUP($AG119,装备附魔!$A:$Y,11,0)*$AF119,0)</f>
        <v>10</v>
      </c>
      <c r="AO119" s="151">
        <f>IFERROR(VLOOKUP($AG119,装备附魔!$A:$Y,12,0)*$AF119,0)</f>
        <v>0</v>
      </c>
      <c r="AP119" s="151">
        <f>IFERROR(VLOOKUP($AG119,装备附魔!$A:$Y,13,0)*$AF119,0)</f>
        <v>0</v>
      </c>
      <c r="AQ119" s="151">
        <f>IFERROR(VLOOKUP($AG119,装备附魔!$A:$Y,14,0)*$AF119,0)</f>
        <v>0</v>
      </c>
      <c r="AR119" s="151">
        <f>IFERROR(VLOOKUP($AG119,装备附魔!$A:$Y,15,0)*$AF119,0)</f>
        <v>0</v>
      </c>
      <c r="AS119" s="151">
        <f>IFERROR(VLOOKUP($AG119,装备附魔!$A:$Y,16,0)*$AF119,0)</f>
        <v>0</v>
      </c>
      <c r="AT119" s="151">
        <f>IFERROR(VLOOKUP($AG119,装备附魔!$A:$Y,17,0)*$AF119,0)</f>
        <v>30</v>
      </c>
      <c r="AU119" s="151">
        <f>IFERROR(VLOOKUP($AG119,装备附魔!$A:$Y,18,0)*$AF119,0)</f>
        <v>0</v>
      </c>
      <c r="AV119" s="151">
        <f>IFERROR(VLOOKUP($AG119,装备附魔!$A:$Y,19,0)*$AF119,0)</f>
        <v>0</v>
      </c>
      <c r="AW119" s="151">
        <f>IFERROR(VLOOKUP($AG119,装备附魔!$A:$Y,20,0)*$AF119,0)</f>
        <v>0</v>
      </c>
      <c r="AX119" s="151">
        <f>IFERROR(VLOOKUP($AG119,装备附魔!$A:$Y,21,0)*$AF119,0)</f>
        <v>0</v>
      </c>
      <c r="AY119" s="151">
        <f>IFERROR(VLOOKUP($AG119,装备附魔!$A:$Y,22,0)*$AF119,0)</f>
        <v>0</v>
      </c>
      <c r="AZ119" s="151">
        <f>IFERROR(VLOOKUP($AG119,装备附魔!$A:$Y,23,0)*$AF119,0)</f>
        <v>0</v>
      </c>
      <c r="BA119" s="151">
        <f>IFERROR(VLOOKUP($AG119,装备附魔!$A:$Y,24,0)*$AF119,0)</f>
        <v>0</v>
      </c>
      <c r="BB119" s="151">
        <f>IFERROR(VLOOKUP($AG119,装备附魔!$A:$Y,25,0)*$AF119,0)</f>
        <v>0</v>
      </c>
    </row>
    <row r="120" spans="30:54">
      <c r="AF120" s="151">
        <f>HLOOKUP(英雄对比!$D$13,中介表格2!$V$65:$AA$66,2,0)</f>
        <v>4</v>
      </c>
      <c r="AG120" s="151" t="str">
        <f>VLOOKUP($AG$110,$V$42:$AC$53,4,0)</f>
        <v>鹰羽指环</v>
      </c>
      <c r="AH120" s="151">
        <f>IFERROR(VLOOKUP($AG120,装备附魔!$A:$Y,5,0)*$AF120,0)</f>
        <v>0</v>
      </c>
      <c r="AI120" s="151">
        <f>IFERROR(VLOOKUP($AG120,装备附魔!$A:$Y,6,0)*$AF120,0)</f>
        <v>80</v>
      </c>
      <c r="AJ120" s="151">
        <f>IFERROR(VLOOKUP($AG120,装备附魔!$A:$Y,7,0)*$AF120,0)</f>
        <v>0</v>
      </c>
      <c r="AK120" s="151">
        <f>IFERROR(VLOOKUP($AG120,装备附魔!$A:$Y,8,0)*$AF120,0)</f>
        <v>0</v>
      </c>
      <c r="AL120" s="151">
        <f>IFERROR(VLOOKUP($AG120,装备附魔!$A:$Y,9,0)*$AF120,0)</f>
        <v>0</v>
      </c>
      <c r="AM120" s="151">
        <f>IFERROR(VLOOKUP($AG120,装备附魔!$A:$Y,10,0)*$AF120,0)</f>
        <v>0</v>
      </c>
      <c r="AN120" s="151">
        <f>IFERROR(VLOOKUP($AG120,装备附魔!$A:$Y,11,0)*$AF120,0)</f>
        <v>0</v>
      </c>
      <c r="AO120" s="151">
        <f>IFERROR(VLOOKUP($AG120,装备附魔!$A:$Y,12,0)*$AF120,0)</f>
        <v>0</v>
      </c>
      <c r="AP120" s="151">
        <f>IFERROR(VLOOKUP($AG120,装备附魔!$A:$Y,13,0)*$AF120,0)</f>
        <v>0</v>
      </c>
      <c r="AQ120" s="151">
        <f>IFERROR(VLOOKUP($AG120,装备附魔!$A:$Y,14,0)*$AF120,0)</f>
        <v>0</v>
      </c>
      <c r="AR120" s="151">
        <f>IFERROR(VLOOKUP($AG120,装备附魔!$A:$Y,15,0)*$AF120,0)</f>
        <v>0</v>
      </c>
      <c r="AS120" s="151">
        <f>IFERROR(VLOOKUP($AG120,装备附魔!$A:$Y,16,0)*$AF120,0)</f>
        <v>0</v>
      </c>
      <c r="AT120" s="151">
        <f>IFERROR(VLOOKUP($AG120,装备附魔!$A:$Y,17,0)*$AF120,0)</f>
        <v>0</v>
      </c>
      <c r="AU120" s="151">
        <f>IFERROR(VLOOKUP($AG120,装备附魔!$A:$Y,18,0)*$AF120,0)</f>
        <v>0</v>
      </c>
      <c r="AV120" s="151">
        <f>IFERROR(VLOOKUP($AG120,装备附魔!$A:$Y,19,0)*$AF120,0)</f>
        <v>0</v>
      </c>
      <c r="AW120" s="151">
        <f>IFERROR(VLOOKUP($AG120,装备附魔!$A:$Y,20,0)*$AF120,0)</f>
        <v>0</v>
      </c>
      <c r="AX120" s="151">
        <f>IFERROR(VLOOKUP($AG120,装备附魔!$A:$Y,21,0)*$AF120,0)</f>
        <v>0</v>
      </c>
      <c r="AY120" s="151">
        <f>IFERROR(VLOOKUP($AG120,装备附魔!$A:$Y,22,0)*$AF120,0)</f>
        <v>0</v>
      </c>
      <c r="AZ120" s="151">
        <f>IFERROR(VLOOKUP($AG120,装备附魔!$A:$Y,23,0)*$AF120,0)</f>
        <v>0</v>
      </c>
      <c r="BA120" s="151">
        <f>IFERROR(VLOOKUP($AG120,装备附魔!$A:$Y,24,0)*$AF120,0)</f>
        <v>0</v>
      </c>
      <c r="BB120" s="151">
        <f>IFERROR(VLOOKUP($AG120,装备附魔!$A:$Y,25,0)*$AF120,0)</f>
        <v>0</v>
      </c>
    </row>
    <row r="121" spans="30:54">
      <c r="AF121" s="151">
        <f>HLOOKUP(英雄对比!$E$13,中介表格2!$V$65:$AA$66,2,0)</f>
        <v>4</v>
      </c>
      <c r="AG121" s="151" t="str">
        <f>VLOOKUP($AG$110,$V$42:$AC$53,5,0)</f>
        <v>撒旦</v>
      </c>
      <c r="AH121" s="151">
        <f>IFERROR(VLOOKUP($AG121,装备附魔!$A:$Y,5,0)*$AF121,0)</f>
        <v>20</v>
      </c>
      <c r="AI121" s="151">
        <f>IFERROR(VLOOKUP($AG121,装备附魔!$A:$Y,6,0)*$AF121,0)</f>
        <v>0</v>
      </c>
      <c r="AJ121" s="151">
        <f>IFERROR(VLOOKUP($AG121,装备附魔!$A:$Y,7,0)*$AF121,0)</f>
        <v>0</v>
      </c>
      <c r="AK121" s="151">
        <f>IFERROR(VLOOKUP($AG121,装备附魔!$A:$Y,8,0)*$AF121,0)</f>
        <v>0</v>
      </c>
      <c r="AL121" s="151">
        <f>IFERROR(VLOOKUP($AG121,装备附魔!$A:$Y,9,0)*$AF121,0)</f>
        <v>40</v>
      </c>
      <c r="AM121" s="151">
        <f>IFERROR(VLOOKUP($AG121,装备附魔!$A:$Y,10,0)*$AF121,0)</f>
        <v>0</v>
      </c>
      <c r="AN121" s="151">
        <f>IFERROR(VLOOKUP($AG121,装备附魔!$A:$Y,11,0)*$AF121,0)</f>
        <v>12</v>
      </c>
      <c r="AO121" s="151">
        <f>IFERROR(VLOOKUP($AG121,装备附魔!$A:$Y,12,0)*$AF121,0)</f>
        <v>0</v>
      </c>
      <c r="AP121" s="151">
        <f>IFERROR(VLOOKUP($AG121,装备附魔!$A:$Y,13,0)*$AF121,0)</f>
        <v>0</v>
      </c>
      <c r="AQ121" s="151">
        <f>IFERROR(VLOOKUP($AG121,装备附魔!$A:$Y,14,0)*$AF121,0)</f>
        <v>0</v>
      </c>
      <c r="AR121" s="151">
        <f>IFERROR(VLOOKUP($AG121,装备附魔!$A:$Y,15,0)*$AF121,0)</f>
        <v>0</v>
      </c>
      <c r="AS121" s="151">
        <f>IFERROR(VLOOKUP($AG121,装备附魔!$A:$Y,16,0)*$AF121,0)</f>
        <v>0</v>
      </c>
      <c r="AT121" s="151">
        <f>IFERROR(VLOOKUP($AG121,装备附魔!$A:$Y,17,0)*$AF121,0)</f>
        <v>20</v>
      </c>
      <c r="AU121" s="151">
        <f>IFERROR(VLOOKUP($AG121,装备附魔!$A:$Y,18,0)*$AF121,0)</f>
        <v>0</v>
      </c>
      <c r="AV121" s="151">
        <f>IFERROR(VLOOKUP($AG121,装备附魔!$A:$Y,19,0)*$AF121,0)</f>
        <v>0</v>
      </c>
      <c r="AW121" s="151">
        <f>IFERROR(VLOOKUP($AG121,装备附魔!$A:$Y,20,0)*$AF121,0)</f>
        <v>0</v>
      </c>
      <c r="AX121" s="151">
        <f>IFERROR(VLOOKUP($AG121,装备附魔!$A:$Y,21,0)*$AF121,0)</f>
        <v>0</v>
      </c>
      <c r="AY121" s="151">
        <f>IFERROR(VLOOKUP($AG121,装备附魔!$A:$Y,22,0)*$AF121,0)</f>
        <v>0</v>
      </c>
      <c r="AZ121" s="151">
        <f>IFERROR(VLOOKUP($AG121,装备附魔!$A:$Y,23,0)*$AF121,0)</f>
        <v>0</v>
      </c>
      <c r="BA121" s="151">
        <f>IFERROR(VLOOKUP($AG121,装备附魔!$A:$Y,24,0)*$AF121,0)</f>
        <v>0</v>
      </c>
      <c r="BB121" s="151">
        <f>IFERROR(VLOOKUP($AG121,装备附魔!$A:$Y,25,0)*$AF121,0)</f>
        <v>0</v>
      </c>
    </row>
    <row r="122" spans="30:54">
      <c r="AF122" s="151">
        <f>HLOOKUP(英雄对比!$F$13,中介表格2!$V$65:$AA$66,2,0)</f>
        <v>4</v>
      </c>
      <c r="AG122" s="151" t="str">
        <f>VLOOKUP($AG$110,$V$42:$AC$53,6,0)</f>
        <v>龙心</v>
      </c>
      <c r="AH122" s="151">
        <f>IFERROR(VLOOKUP($AG122,装备附魔!$A:$Y,5,0)*$AF122,0)</f>
        <v>32</v>
      </c>
      <c r="AI122" s="151">
        <f>IFERROR(VLOOKUP($AG122,装备附魔!$A:$Y,6,0)*$AF122,0)</f>
        <v>0</v>
      </c>
      <c r="AJ122" s="151">
        <f>IFERROR(VLOOKUP($AG122,装备附魔!$A:$Y,7,0)*$AF122,0)</f>
        <v>0</v>
      </c>
      <c r="AK122" s="151">
        <f>IFERROR(VLOOKUP($AG122,装备附魔!$A:$Y,8,0)*$AF122,0)</f>
        <v>480</v>
      </c>
      <c r="AL122" s="151">
        <f>IFERROR(VLOOKUP($AG122,装备附魔!$A:$Y,9,0)*$AF122,0)</f>
        <v>0</v>
      </c>
      <c r="AM122" s="151">
        <f>IFERROR(VLOOKUP($AG122,装备附魔!$A:$Y,10,0)*$AF122,0)</f>
        <v>0</v>
      </c>
      <c r="AN122" s="151">
        <f>IFERROR(VLOOKUP($AG122,装备附魔!$A:$Y,11,0)*$AF122,0)</f>
        <v>0</v>
      </c>
      <c r="AO122" s="151">
        <f>IFERROR(VLOOKUP($AG122,装备附魔!$A:$Y,12,0)*$AF122,0)</f>
        <v>0</v>
      </c>
      <c r="AP122" s="151">
        <f>IFERROR(VLOOKUP($AG122,装备附魔!$A:$Y,13,0)*$AF122,0)</f>
        <v>0</v>
      </c>
      <c r="AQ122" s="151">
        <f>IFERROR(VLOOKUP($AG122,装备附魔!$A:$Y,14,0)*$AF122,0)</f>
        <v>0</v>
      </c>
      <c r="AR122" s="151">
        <f>IFERROR(VLOOKUP($AG122,装备附魔!$A:$Y,15,0)*$AF122,0)</f>
        <v>0</v>
      </c>
      <c r="AS122" s="151">
        <f>IFERROR(VLOOKUP($AG122,装备附魔!$A:$Y,16,0)*$AF122,0)</f>
        <v>0</v>
      </c>
      <c r="AT122" s="151">
        <f>IFERROR(VLOOKUP($AG122,装备附魔!$A:$Y,17,0)*$AF122,0)</f>
        <v>0</v>
      </c>
      <c r="AU122" s="151">
        <f>IFERROR(VLOOKUP($AG122,装备附魔!$A:$Y,18,0)*$AF122,0)</f>
        <v>0</v>
      </c>
      <c r="AV122" s="151">
        <f>IFERROR(VLOOKUP($AG122,装备附魔!$A:$Y,19,0)*$AF122,0)</f>
        <v>0</v>
      </c>
      <c r="AW122" s="151">
        <f>IFERROR(VLOOKUP($AG122,装备附魔!$A:$Y,20,0)*$AF122,0)</f>
        <v>480</v>
      </c>
      <c r="AX122" s="151">
        <f>IFERROR(VLOOKUP($AG122,装备附魔!$A:$Y,21,0)*$AF122,0)</f>
        <v>0</v>
      </c>
      <c r="AY122" s="151">
        <f>IFERROR(VLOOKUP($AG122,装备附魔!$A:$Y,22,0)*$AF122,0)</f>
        <v>0</v>
      </c>
      <c r="AZ122" s="151">
        <f>IFERROR(VLOOKUP($AG122,装备附魔!$A:$Y,23,0)*$AF122,0)</f>
        <v>0</v>
      </c>
      <c r="BA122" s="151">
        <f>IFERROR(VLOOKUP($AG122,装备附魔!$A:$Y,24,0)*$AF122,0)</f>
        <v>0</v>
      </c>
      <c r="BB122" s="151">
        <f>IFERROR(VLOOKUP($AG122,装备附魔!$A:$Y,25,0)*$AF122,0)</f>
        <v>0</v>
      </c>
    </row>
    <row r="123" spans="30:54">
      <c r="AF123" s="151">
        <f>HLOOKUP(英雄对比!$G$13,中介表格2!$V$65:$AA$66,2,0)</f>
        <v>3</v>
      </c>
      <c r="AG123" s="151" t="str">
        <f>VLOOKUP($AG$110,$V$42:$AC$53,7,0)</f>
        <v>射手指环</v>
      </c>
      <c r="AH123" s="151">
        <f>IFERROR(VLOOKUP($AG123,装备附魔!$A:$Y,5,0)*$AF123,0)</f>
        <v>0</v>
      </c>
      <c r="AI123" s="151">
        <f>IFERROR(VLOOKUP($AG123,装备附魔!$A:$Y,6,0)*$AF123,0)</f>
        <v>0</v>
      </c>
      <c r="AJ123" s="151">
        <f>IFERROR(VLOOKUP($AG123,装备附魔!$A:$Y,7,0)*$AF123,0)</f>
        <v>0</v>
      </c>
      <c r="AK123" s="151">
        <f>IFERROR(VLOOKUP($AG123,装备附魔!$A:$Y,8,0)*$AF123,0)</f>
        <v>0</v>
      </c>
      <c r="AL123" s="151">
        <f>IFERROR(VLOOKUP($AG123,装备附魔!$A:$Y,9,0)*$AF123,0)</f>
        <v>0</v>
      </c>
      <c r="AM123" s="151">
        <f>IFERROR(VLOOKUP($AG123,装备附魔!$A:$Y,10,0)*$AF123,0)</f>
        <v>0</v>
      </c>
      <c r="AN123" s="151">
        <f>IFERROR(VLOOKUP($AG123,装备附魔!$A:$Y,11,0)*$AF123,0)</f>
        <v>0</v>
      </c>
      <c r="AO123" s="151">
        <f>IFERROR(VLOOKUP($AG123,装备附魔!$A:$Y,12,0)*$AF123,0)</f>
        <v>0</v>
      </c>
      <c r="AP123" s="151">
        <f>IFERROR(VLOOKUP($AG123,装备附魔!$A:$Y,13,0)*$AF123,0)</f>
        <v>0</v>
      </c>
      <c r="AQ123" s="151">
        <f>IFERROR(VLOOKUP($AG123,装备附魔!$A:$Y,14,0)*$AF123,0)</f>
        <v>0</v>
      </c>
      <c r="AR123" s="151">
        <f>IFERROR(VLOOKUP($AG123,装备附魔!$A:$Y,15,0)*$AF123,0)</f>
        <v>0</v>
      </c>
      <c r="AS123" s="151">
        <f>IFERROR(VLOOKUP($AG123,装备附魔!$A:$Y,16,0)*$AF123,0)</f>
        <v>0</v>
      </c>
      <c r="AT123" s="151">
        <f>IFERROR(VLOOKUP($AG123,装备附魔!$A:$Y,17,0)*$AF123,0)</f>
        <v>0</v>
      </c>
      <c r="AU123" s="151">
        <f>IFERROR(VLOOKUP($AG123,装备附魔!$A:$Y,18,0)*$AF123,0)</f>
        <v>12</v>
      </c>
      <c r="AV123" s="151">
        <f>IFERROR(VLOOKUP($AG123,装备附魔!$A:$Y,19,0)*$AF123,0)</f>
        <v>0</v>
      </c>
      <c r="AW123" s="151">
        <f>IFERROR(VLOOKUP($AG123,装备附魔!$A:$Y,20,0)*$AF123,0)</f>
        <v>0</v>
      </c>
      <c r="AX123" s="151">
        <f>IFERROR(VLOOKUP($AG123,装备附魔!$A:$Y,21,0)*$AF123,0)</f>
        <v>0</v>
      </c>
      <c r="AY123" s="151">
        <f>IFERROR(VLOOKUP($AG123,装备附魔!$A:$Y,22,0)*$AF123,0)</f>
        <v>0</v>
      </c>
      <c r="AZ123" s="151">
        <f>IFERROR(VLOOKUP($AG123,装备附魔!$A:$Y,23,0)*$AF123,0)</f>
        <v>0</v>
      </c>
      <c r="BA123" s="151">
        <f>IFERROR(VLOOKUP($AG123,装备附魔!$A:$Y,24,0)*$AF123,0)</f>
        <v>0</v>
      </c>
      <c r="BB123" s="151">
        <f>IFERROR(VLOOKUP($AG123,装备附魔!$A:$Y,25,0)*$AF123,0)</f>
        <v>0</v>
      </c>
    </row>
    <row r="124" spans="30:54">
      <c r="AF124" s="151">
        <f>HLOOKUP(英雄对比!$H$13,中介表格2!$V$65:$AA$66,2,0)</f>
        <v>4</v>
      </c>
      <c r="AG124" s="151" t="str">
        <f>VLOOKUP($AG$110,$V$42:$AC$53,8,0)</f>
        <v>疾行鞋</v>
      </c>
      <c r="AH124" s="151">
        <f>IFERROR(VLOOKUP($AG124,装备附魔!$A:$Y,5,0)*$AF124,0)</f>
        <v>24</v>
      </c>
      <c r="AI124" s="151">
        <f>IFERROR(VLOOKUP($AG124,装备附魔!$A:$Y,6,0)*$AF124,0)</f>
        <v>24</v>
      </c>
      <c r="AJ124" s="151">
        <f>IFERROR(VLOOKUP($AG124,装备附魔!$A:$Y,7,0)*$AF124,0)</f>
        <v>24</v>
      </c>
      <c r="AK124" s="151">
        <f>IFERROR(VLOOKUP($AG124,装备附魔!$A:$Y,8,0)*$AF124,0)</f>
        <v>0</v>
      </c>
      <c r="AL124" s="151">
        <f>IFERROR(VLOOKUP($AG124,装备附魔!$A:$Y,9,0)*$AF124,0)</f>
        <v>0</v>
      </c>
      <c r="AM124" s="151">
        <f>IFERROR(VLOOKUP($AG124,装备附魔!$A:$Y,10,0)*$AF124,0)</f>
        <v>0</v>
      </c>
      <c r="AN124" s="151">
        <f>IFERROR(VLOOKUP($AG124,装备附魔!$A:$Y,11,0)*$AF124,0)</f>
        <v>0</v>
      </c>
      <c r="AO124" s="151">
        <f>IFERROR(VLOOKUP($AG124,装备附魔!$A:$Y,12,0)*$AF124,0)</f>
        <v>0</v>
      </c>
      <c r="AP124" s="151">
        <f>IFERROR(VLOOKUP($AG124,装备附魔!$A:$Y,13,0)*$AF124,0)</f>
        <v>0</v>
      </c>
      <c r="AQ124" s="151">
        <f>IFERROR(VLOOKUP($AG124,装备附魔!$A:$Y,14,0)*$AF124,0)</f>
        <v>0</v>
      </c>
      <c r="AR124" s="151">
        <f>IFERROR(VLOOKUP($AG124,装备附魔!$A:$Y,15,0)*$AF124,0)</f>
        <v>0</v>
      </c>
      <c r="AS124" s="151">
        <f>IFERROR(VLOOKUP($AG124,装备附魔!$A:$Y,16,0)*$AF124,0)</f>
        <v>0</v>
      </c>
      <c r="AT124" s="151">
        <f>IFERROR(VLOOKUP($AG124,装备附魔!$A:$Y,17,0)*$AF124,0)</f>
        <v>0</v>
      </c>
      <c r="AU124" s="151">
        <f>IFERROR(VLOOKUP($AG124,装备附魔!$A:$Y,18,0)*$AF124,0)</f>
        <v>0</v>
      </c>
      <c r="AV124" s="151">
        <f>IFERROR(VLOOKUP($AG124,装备附魔!$A:$Y,19,0)*$AF124,0)</f>
        <v>0</v>
      </c>
      <c r="AW124" s="151">
        <f>IFERROR(VLOOKUP($AG124,装备附魔!$A:$Y,20,0)*$AF124,0)</f>
        <v>0</v>
      </c>
      <c r="AX124" s="151">
        <f>IFERROR(VLOOKUP($AG124,装备附魔!$A:$Y,21,0)*$AF124,0)</f>
        <v>0</v>
      </c>
      <c r="AY124" s="151">
        <f>IFERROR(VLOOKUP($AG124,装备附魔!$A:$Y,22,0)*$AF124,0)</f>
        <v>0</v>
      </c>
      <c r="AZ124" s="151">
        <f>IFERROR(VLOOKUP($AG124,装备附魔!$A:$Y,23,0)*$AF124,0)</f>
        <v>0</v>
      </c>
      <c r="BA124" s="151">
        <f>IFERROR(VLOOKUP($AG124,装备附魔!$A:$Y,24,0)*$AF124,0)</f>
        <v>0</v>
      </c>
      <c r="BB124" s="151">
        <f>IFERROR(VLOOKUP($AG124,装备附魔!$A:$Y,25,0)*$AF124,0)</f>
        <v>0</v>
      </c>
    </row>
    <row r="127" spans="30:54">
      <c r="AG127" s="48" t="s">
        <v>1741</v>
      </c>
    </row>
    <row r="128" spans="30:54">
      <c r="AD128" s="151">
        <f>IF($AG$128="",,VLOOKUP(英雄对比!$C$2,英雄初始!$A:$AE,20,0))</f>
        <v>0</v>
      </c>
      <c r="AE128" s="151">
        <f>VLOOKUP(英雄对比!$C$2,英雄初始!$A:$AE,24,0)</f>
        <v>0</v>
      </c>
      <c r="AF128" s="151">
        <f>VLOOKUP(英雄对比!$C$2,英雄初始!$A:$AE,28,0)</f>
        <v>0</v>
      </c>
      <c r="AG128" s="56" t="str">
        <f>IF($G$5="",VLOOKUP(英雄对比!$C$2,英雄初始!$A:$AE,16,0),"")</f>
        <v>巨魔用狂野的战吼激发队友的战意，提升所有友军25%的移动速度和攻击速度，并提高攻击力和魔法强度。</v>
      </c>
    </row>
    <row r="129" spans="30:52">
      <c r="AD129" s="151">
        <f>IF($AG$129="",,VLOOKUP(英雄对比!$C$2,英雄初始!$A:$AE,21,0))</f>
        <v>0</v>
      </c>
      <c r="AE129" s="151">
        <f>VLOOKUP(英雄对比!$C$2,英雄初始!$A:$AE,25,0)</f>
        <v>0</v>
      </c>
      <c r="AF129" s="151">
        <f>VLOOKUP(英雄对比!$C$2,英雄初始!$A:$AE,29,0)</f>
        <v>0</v>
      </c>
      <c r="AG129" s="56" t="str">
        <f>IF(AND($V$2&gt;1,$G$5=""),VLOOKUP(英雄对比!$C$2,英雄初始!$A:$AE,17,0),"")</f>
        <v>巨魔扔出3把旋转的飞斧，对前方大片区域造成物理伤害。</v>
      </c>
    </row>
    <row r="130" spans="30:52">
      <c r="AD130" s="151">
        <f>IF($AG$130="",,VLOOKUP(英雄对比!$C$2,英雄初始!$A:$AE,22,0))</f>
        <v>0</v>
      </c>
      <c r="AE130" s="151">
        <f>VLOOKUP(英雄对比!$C$2,英雄初始!$A:$AE,26,0)</f>
        <v>0</v>
      </c>
      <c r="AF130" s="151">
        <f>VLOOKUP(英雄对比!$C$2,英雄初始!$A:$AE,30,0)</f>
        <v>0</v>
      </c>
      <c r="AG130" s="56" t="str">
        <f>IF(AND($V$2&gt;3,$G$5=""),VLOOKUP(英雄对比!$C$2,英雄初始!$A:$AE,18,0),"")</f>
        <v>巨魔不仅投掷飞斧，还会用巨斧砍杀靠近的敌人。</v>
      </c>
    </row>
    <row r="131" spans="30:52">
      <c r="AD131" s="151">
        <f>IF($AG$131="",,VLOOKUP(英雄对比!$C$2,英雄初始!$A:$AE,23,0))</f>
        <v>0</v>
      </c>
      <c r="AE131" s="151">
        <f>VLOOKUP(英雄对比!$C$2,英雄初始!$A:$AE,27,0)</f>
        <v>0</v>
      </c>
      <c r="AF131" s="151">
        <f>VLOOKUP(英雄对比!$C$2,英雄初始!$A:$AE,31,0)</f>
        <v>0</v>
      </c>
      <c r="AG131" s="56" t="str">
        <f>IF(AND($V$2&gt;6,$G$5=""),VLOOKUP(英雄对比!$C$2,英雄初始!$A:$AE,19,0),"")</f>
        <v>被动：巨魔的攻击异常迅捷，大幅提升攻击速度。</v>
      </c>
    </row>
    <row r="133" spans="30:52">
      <c r="AG133" s="234" t="s">
        <v>1742</v>
      </c>
      <c r="AH133" s="232" t="s">
        <v>203</v>
      </c>
      <c r="AI133" s="232" t="s">
        <v>3</v>
      </c>
      <c r="AJ133" s="232">
        <f>IF($AD$128=AI133,$AE$128+英雄对比!$C$4*中介表格2!$AF$128,0)+IF($AD$129=AI133,$AE$129+英雄对比!$C$4*中介表格2!$AF$129,0)+IF($AD$130=AI133,$AE$130+(英雄对比!$C$4-20)*中介表格2!$AF$130,0)+IF($AD$131=AI133,$AE$131+(英雄对比!$C$4-40)*中介表格2!$AF$131,0)</f>
        <v>0</v>
      </c>
      <c r="AK133" s="232" t="s">
        <v>4</v>
      </c>
      <c r="AL133" s="232">
        <f>IF($AD$128=AK133,$AE$128+英雄对比!$C$4*中介表格2!$AF$128,0)+IF($AD$129=AK133,$AE$129+英雄对比!$C$4*中介表格2!$AF$129,0)+IF($AD$130=AK133,$AE$130+(英雄对比!$C$4-20)*中介表格2!$AF$130,0)+IF($AD$131=AK133,$AE$131+(英雄对比!$C$4-40)*中介表格2!$AF$131,0)</f>
        <v>0</v>
      </c>
      <c r="AM133" s="232" t="s">
        <v>5</v>
      </c>
      <c r="AN133" s="232">
        <f>IF($AD$128=AM133,$AE$128+英雄对比!$C$4*中介表格2!$AF$128,0)+IF($AD$129=AM133,$AE$129+英雄对比!$C$4*中介表格2!$AF$129,0)+IF($AD$130=AM133,$AE$130+(英雄对比!$C$4-20)*中介表格2!$AF$130,0)+IF($AD$131=AM133,$AE$131+(英雄对比!$C$4-40)*中介表格2!$AF$131,0)</f>
        <v>0</v>
      </c>
    </row>
    <row r="134" spans="30:52">
      <c r="AG134" s="234"/>
      <c r="AH134" s="232"/>
      <c r="AI134" s="232"/>
      <c r="AJ134" s="232"/>
      <c r="AK134" s="232"/>
      <c r="AL134" s="232"/>
      <c r="AM134" s="232"/>
      <c r="AN134" s="232"/>
    </row>
    <row r="135" spans="30:52">
      <c r="AG135" s="234"/>
      <c r="AH135" s="232" t="s">
        <v>1077</v>
      </c>
      <c r="AI135" s="50" t="s">
        <v>103</v>
      </c>
      <c r="AJ135" s="50" t="s">
        <v>14</v>
      </c>
      <c r="AK135" s="50" t="s">
        <v>47</v>
      </c>
      <c r="AL135" s="50" t="s">
        <v>35</v>
      </c>
      <c r="AM135" s="50" t="s">
        <v>38</v>
      </c>
      <c r="AN135" s="50" t="s">
        <v>34</v>
      </c>
      <c r="AO135" s="50" t="s">
        <v>56</v>
      </c>
      <c r="AP135" s="50" t="s">
        <v>84</v>
      </c>
      <c r="AQ135" s="50" t="s">
        <v>98</v>
      </c>
      <c r="AR135" s="50" t="s">
        <v>2099</v>
      </c>
      <c r="AS135" s="119" t="s">
        <v>1874</v>
      </c>
      <c r="AT135" s="50" t="s">
        <v>91</v>
      </c>
      <c r="AU135" s="50" t="s">
        <v>13</v>
      </c>
      <c r="AV135" s="50" t="s">
        <v>18</v>
      </c>
      <c r="AW135" s="51" t="s">
        <v>71</v>
      </c>
      <c r="AX135" s="50" t="s">
        <v>130</v>
      </c>
      <c r="AY135" s="141" t="s">
        <v>1867</v>
      </c>
      <c r="AZ135" s="141" t="s">
        <v>1877</v>
      </c>
    </row>
    <row r="136" spans="30:52">
      <c r="AG136" s="234"/>
      <c r="AH136" s="232"/>
      <c r="AI136" s="151">
        <f>IF($AD$128=AI135,$AE$128+英雄对比!$C$4*中介表格2!$AF$128,0)+IF($AD$129=AI135,$AE$129+英雄对比!$C$4*中介表格2!$AF$129,0)+IF($AD$130=AI135,$AE$130+(英雄对比!$C$4-20)*中介表格2!$AF$130,0)+IF($AD$131=AI135,$AE$131+(英雄对比!$C$4-40)*中介表格2!$AF$131,0)</f>
        <v>0</v>
      </c>
      <c r="AJ136" s="151">
        <f>IF($AD$128=AJ135,$AE$128+英雄对比!$C$4*中介表格2!$AF$128,0)+IF($AD$129=AJ135,$AE$129+英雄对比!$C$4*中介表格2!$AF$129,0)+IF($AD$130=AJ135,$AE$130+(英雄对比!$C$4-20)*中介表格2!$AF$130,0)+IF($AD$131=AJ135,$AE$131+(英雄对比!$C$4-40)*中介表格2!$AF$131,0)</f>
        <v>0</v>
      </c>
      <c r="AK136" s="151">
        <f>IF($AD$128=AK135,$AE$128+英雄对比!$C$4*中介表格2!$AF$128,0)+IF($AD$129=AK135,$AE$129+英雄对比!$C$4*中介表格2!$AF$129,0)+IF($AD$130=AK135,$AE$130+(英雄对比!$C$4-20)*中介表格2!$AF$130,0)+IF($AD$131=AK135,$AE$131+(英雄对比!$C$4-40)*中介表格2!$AF$131,0)</f>
        <v>0</v>
      </c>
      <c r="AL136" s="151">
        <f>IF($AD$128=AL135,$AE$128+英雄对比!$C$4*中介表格2!$AF$128,0)+IF($AD$129=AL135,$AE$129+英雄对比!$C$4*中介表格2!$AF$129,0)+IF($AD$130=AL135,$AE$130+(英雄对比!$C$4-20)*中介表格2!$AF$130,0)+IF($AD$131=AL135,$AE$131+(英雄对比!$C$4-40)*中介表格2!$AF$131,0)</f>
        <v>0</v>
      </c>
      <c r="AM136" s="151">
        <f>IF($AD$128=AM135,$AE$128+英雄对比!$C$4*中介表格2!$AF$128,0)+IF($AD$129=AM135,$AE$129+英雄对比!$C$4*中介表格2!$AF$129,0)+IF($AD$130=AM135,$AE$130+(英雄对比!$C$4-20)*中介表格2!$AF$130,0)+IF($AD$131=AM135,$AE$131+(英雄对比!$C$4-40)*中介表格2!$AF$131,0)</f>
        <v>0</v>
      </c>
      <c r="AN136" s="151">
        <f>IF($AD$128=AN135,$AE$128+英雄对比!$C$4*中介表格2!$AF$128,0)+IF($AD$129=AN135,$AE$129+英雄对比!$C$4*中介表格2!$AF$129,0)+IF($AD$130=AN135,$AE$130+(英雄对比!$C$4-20)*中介表格2!$AF$130,0)+IF($AD$131=AN135,$AE$131+(英雄对比!$C$4-40)*中介表格2!$AF$131,0)</f>
        <v>0</v>
      </c>
      <c r="AO136" s="151">
        <f>IF($AD$128=AO135,$AE$128+英雄对比!$C$4*中介表格2!$AF$128,0)+IF($AD$129=AO135,$AE$129+英雄对比!$C$4*中介表格2!$AF$129,0)+IF($AD$130=AO135,$AE$130+(英雄对比!$C$4-20)*中介表格2!$AF$130,0)+IF($AD$131=AO135,$AE$131+(英雄对比!$C$4-40)*中介表格2!$AF$131,0)</f>
        <v>0</v>
      </c>
      <c r="AP136" s="151">
        <f>IF($AD$128=AP135,$AE$128+英雄对比!$C$4*中介表格2!$AF$128,0)+IF($AD$129=AP135,$AE$129+英雄对比!$C$4*中介表格2!$AF$129,0)+IF($AD$130=AP135,$AE$130+(英雄对比!$C$4-20)*中介表格2!$AF$130,0)+IF($AD$131=AP135,$AE$131+(英雄对比!$C$4-40)*中介表格2!$AF$131,0)</f>
        <v>0</v>
      </c>
      <c r="AQ136" s="151">
        <f>IF($AD$128=AQ135,$AE$128+英雄对比!$C$4*中介表格2!$AF$128,0)+IF($AD$129=AQ135,$AE$129+英雄对比!$C$4*中介表格2!$AF$129,0)+IF($AD$130=AQ135,$AE$130+(英雄对比!$C$4-20)*中介表格2!$AF$130,0)+IF($AD$131=AQ135,$AE$131+(英雄对比!$C$4-40)*中介表格2!$AF$131,0)</f>
        <v>0</v>
      </c>
      <c r="AR136" s="151">
        <f>IF($AD$128=AR135,$AE$128+英雄对比!$C$4*中介表格2!$AF$128,0)+IF($AD$129=AR135,$AE$129+英雄对比!$C$4*中介表格2!$AF$129,0)+IF($AD$130=AR135,$AE$130+(英雄对比!$C$4-20)*中介表格2!$AF$130,0)+IF($AD$131=AR135,$AE$131+(英雄对比!$C$4-40)*中介表格2!$AF$131,0)</f>
        <v>0</v>
      </c>
      <c r="AS136" s="151">
        <f>IF($AD$128=AS135,$AE$128+英雄对比!$C$4*中介表格2!$AF$128,0)+IF($AD$129=AS135,$AE$129+英雄对比!$C$4*中介表格2!$AF$129,0)+IF($AD$130=AS135,$AE$130+(英雄对比!$C$4-20)*中介表格2!$AF$130,0)+IF($AD$131=AS135,$AE$131+(英雄对比!$C$4-40)*中介表格2!$AF$131,0)</f>
        <v>0</v>
      </c>
      <c r="AT136" s="151">
        <f>IF($AD$128=AT135,$AE$128+英雄对比!$C$4*中介表格2!$AF$128,0)+IF($AD$129=AT135,$AE$129+英雄对比!$C$4*中介表格2!$AF$129,0)+IF($AD$130=AT135,$AE$130+(英雄对比!$C$4-20)*中介表格2!$AF$130,0)+IF($AD$131=AT135,$AE$131+(英雄对比!$C$4-40)*中介表格2!$AF$131,0)</f>
        <v>0</v>
      </c>
      <c r="AU136" s="151">
        <f>IF($AD$128=AU135,$AE$128+英雄对比!$C$4*中介表格2!$AF$128,0)+IF($AD$129=AU135,$AE$129+英雄对比!$C$4*中介表格2!$AF$129,0)+IF($AD$130=AU135,$AE$130+(英雄对比!$C$4-20)*中介表格2!$AF$130,0)+IF($AD$131=AU135,$AE$131+(英雄对比!$C$4-40)*中介表格2!$AF$131,0)</f>
        <v>0</v>
      </c>
      <c r="AV136" s="151">
        <f>IF($AD$128=AV135,$AE$128+英雄对比!$C$4*中介表格2!$AF$128,0)+IF($AD$129=AV135,$AE$129+英雄对比!$C$4*中介表格2!$AF$129,0)+IF($AD$130=AV135,$AE$130+(英雄对比!$C$4-20)*中介表格2!$AF$130,0)+IF($AD$131=AV135,$AE$131+(英雄对比!$C$4-40)*中介表格2!$AF$131,0)</f>
        <v>0</v>
      </c>
      <c r="AW136" s="151">
        <f>IF($AD$128=AW135,$AE$128+英雄对比!$C$4*中介表格2!$AF$128,0)+IF($AD$129=AW135,$AE$129+英雄对比!$C$4*中介表格2!$AF$129,0)+IF($AD$130=AW135,$AE$130+(英雄对比!$C$4-20)*中介表格2!$AF$130,0)+IF($AD$131=AW135,$AE$131+(英雄对比!$C$4-40)*中介表格2!$AF$131,0)</f>
        <v>0</v>
      </c>
      <c r="AX136" s="151">
        <f>IF($AD$128=AX135,$AE$128+英雄对比!$C$4*中介表格2!$AF$128,0)+IF($AD$129=AX135,$AE$129+英雄对比!$C$4*中介表格2!$AF$129,0)+IF($AD$130=AX135,$AE$130+(英雄对比!$C$4-20)*中介表格2!$AF$130,0)+IF($AD$131=AX135,$AE$131+(英雄对比!$C$4-40)*中介表格2!$AF$131,0)</f>
        <v>0</v>
      </c>
      <c r="AY136" s="151">
        <f>IF($AD$128=AY135,$AE$128+英雄对比!$C$4*中介表格2!$AF$128,0)+IF($AD$129=AY135,$AE$129+英雄对比!$C$4*中介表格2!$AF$129,0)+IF($AD$130=AY135,$AE$130+(英雄对比!$C$4-20)*中介表格2!$AF$130,0)+IF($AD$131=AY135,$AE$131+(英雄对比!$C$4-40)*中介表格2!$AF$131,0)</f>
        <v>0</v>
      </c>
      <c r="AZ136" s="151">
        <f>IF($AD$128=AZ135,$AE$128+英雄对比!$C$4*中介表格2!$AF$128,0)+IF($AD$129=AZ135,$AE$129+英雄对比!$C$4*中介表格2!$AF$129,0)+IF($AD$130=AZ135,$AE$130+(英雄对比!$C$4-20)*中介表格2!$AF$130,0)+IF($AD$131=AZ135,$AE$131+(英雄对比!$C$4-40)*中介表格2!$AF$131,0)</f>
        <v>0</v>
      </c>
    </row>
  </sheetData>
  <sheetProtection password="8926" sheet="1" objects="1" scenarios="1" selectLockedCells="1" selectUnlockedCells="1"/>
  <mergeCells count="52">
    <mergeCell ref="AL133:AL134"/>
    <mergeCell ref="AM133:AM134"/>
    <mergeCell ref="AN133:AN134"/>
    <mergeCell ref="AH135:AH136"/>
    <mergeCell ref="AM16:AM17"/>
    <mergeCell ref="AN16:AN17"/>
    <mergeCell ref="AH18:AH19"/>
    <mergeCell ref="AJ133:AJ134"/>
    <mergeCell ref="AK133:AK134"/>
    <mergeCell ref="E24:E29"/>
    <mergeCell ref="V71:AA72"/>
    <mergeCell ref="AG133:AG136"/>
    <mergeCell ref="AH133:AH134"/>
    <mergeCell ref="AI133:AI134"/>
    <mergeCell ref="AM11:AM12"/>
    <mergeCell ref="AN11:AN12"/>
    <mergeCell ref="AH13:AH14"/>
    <mergeCell ref="AG16:AG19"/>
    <mergeCell ref="AH16:AH17"/>
    <mergeCell ref="AI16:AI17"/>
    <mergeCell ref="AJ16:AJ17"/>
    <mergeCell ref="AK16:AK17"/>
    <mergeCell ref="AL16:AL17"/>
    <mergeCell ref="AK11:AK12"/>
    <mergeCell ref="AG11:AG14"/>
    <mergeCell ref="AH11:AH12"/>
    <mergeCell ref="AI11:AI12"/>
    <mergeCell ref="AJ11:AJ12"/>
    <mergeCell ref="AL11:AL12"/>
    <mergeCell ref="AM1:AM2"/>
    <mergeCell ref="AN1:AN2"/>
    <mergeCell ref="AO1:AO2"/>
    <mergeCell ref="AP1:AP2"/>
    <mergeCell ref="AK6:AK7"/>
    <mergeCell ref="AL6:AL7"/>
    <mergeCell ref="AM6:AM7"/>
    <mergeCell ref="AN6:AN7"/>
    <mergeCell ref="AO6:AO7"/>
    <mergeCell ref="AK1:AK2"/>
    <mergeCell ref="AL1:AL2"/>
    <mergeCell ref="G5:G10"/>
    <mergeCell ref="AG6:AG9"/>
    <mergeCell ref="AH6:AH7"/>
    <mergeCell ref="AI6:AI7"/>
    <mergeCell ref="AP6:AP7"/>
    <mergeCell ref="AH8:AH9"/>
    <mergeCell ref="AJ6:AJ7"/>
    <mergeCell ref="AG1:AG4"/>
    <mergeCell ref="AH1:AH2"/>
    <mergeCell ref="AI1:AI2"/>
    <mergeCell ref="AJ1:AJ2"/>
    <mergeCell ref="AH3:AH4"/>
  </mergeCells>
  <phoneticPr fontId="32" type="noConversion"/>
  <conditionalFormatting sqref="I3:T53">
    <cfRule type="expression" dxfId="34" priority="1" stopIfTrue="1">
      <formula>AND(I3&lt;&gt;"",COUNTIF($A:$A,I3)&gt;0)</formula>
    </cfRule>
    <cfRule type="expression" dxfId="33" priority="2" stopIfTrue="1">
      <formula>AND(I3&lt;&gt;"",COUNTIF($B:$B,I3)&gt;0)</formula>
    </cfRule>
    <cfRule type="expression" dxfId="32" priority="3" stopIfTrue="1">
      <formula>AND(I3&lt;&gt;"",COUNTIF($C:$C,I3)&gt;0)</formula>
    </cfRule>
    <cfRule type="expression" dxfId="31" priority="4" stopIfTrue="1">
      <formula>AND(I3&lt;&gt;"",COUNTIF($D:$D,I3)&gt;0)</formula>
    </cfRule>
    <cfRule type="expression" dxfId="30" priority="5" stopIfTrue="1">
      <formula>AND(I3&lt;&gt;"",COUNTIF($E:$E,I3)&gt;0)</formula>
    </cfRule>
  </conditionalFormatting>
  <dataValidations disablePrompts="1" count="1">
    <dataValidation type="whole" allowBlank="1" showInputMessage="1" showErrorMessage="1" sqref="D25">
      <formula1>0</formula1>
      <formula2>100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4"/>
  <dimension ref="A1:BC136"/>
  <sheetViews>
    <sheetView topLeftCell="BC28" zoomScale="85" zoomScaleNormal="85" workbookViewId="0">
      <selection activeCell="S56" sqref="S56"/>
    </sheetView>
  </sheetViews>
  <sheetFormatPr defaultRowHeight="13.5" outlineLevelCol="1"/>
  <cols>
    <col min="1" max="3" width="9" style="151" hidden="1" customWidth="1" outlineLevel="1"/>
    <col min="4" max="4" width="9.25" style="151" hidden="1" customWidth="1" outlineLevel="1"/>
    <col min="5" max="5" width="10.375" style="151" hidden="1" customWidth="1" outlineLevel="1"/>
    <col min="6" max="7" width="9" style="151" hidden="1" customWidth="1" outlineLevel="1"/>
    <col min="8" max="8" width="9" style="50" hidden="1" customWidth="1" outlineLevel="1"/>
    <col min="9" max="17" width="8.625" style="50" hidden="1" customWidth="1" outlineLevel="1"/>
    <col min="18" max="20" width="9" style="50" hidden="1" customWidth="1" outlineLevel="1"/>
    <col min="21" max="54" width="9" style="151" hidden="1" customWidth="1" outlineLevel="1"/>
    <col min="55" max="55" width="9" style="151" collapsed="1"/>
    <col min="56" max="16384" width="9" style="151"/>
  </cols>
  <sheetData>
    <row r="1" spans="1:52">
      <c r="A1" s="48" t="s">
        <v>1054</v>
      </c>
      <c r="B1" s="151" t="str">
        <f>英雄初始!A2</f>
        <v>潮汐</v>
      </c>
      <c r="D1" s="48" t="s">
        <v>1056</v>
      </c>
      <c r="E1" s="151" t="s">
        <v>247</v>
      </c>
      <c r="G1" s="48" t="s">
        <v>1063</v>
      </c>
      <c r="H1" s="50" t="s">
        <v>202</v>
      </c>
      <c r="I1" s="50" t="s">
        <v>1064</v>
      </c>
      <c r="J1" s="50" t="s">
        <v>1065</v>
      </c>
      <c r="K1" s="50" t="s">
        <v>1066</v>
      </c>
      <c r="L1" s="50" t="s">
        <v>1067</v>
      </c>
      <c r="M1" s="50" t="s">
        <v>1068</v>
      </c>
      <c r="N1" s="50" t="s">
        <v>1069</v>
      </c>
      <c r="O1" s="50" t="s">
        <v>1070</v>
      </c>
      <c r="P1" s="50" t="s">
        <v>1071</v>
      </c>
      <c r="Q1" s="50" t="s">
        <v>1072</v>
      </c>
      <c r="R1" s="50" t="s">
        <v>2088</v>
      </c>
      <c r="S1" s="50" t="s">
        <v>2089</v>
      </c>
      <c r="T1" s="50" t="s">
        <v>2090</v>
      </c>
      <c r="V1" s="48" t="s">
        <v>1073</v>
      </c>
      <c r="W1" s="151" t="str">
        <f>IF($V$2&lt;1,"","白")</f>
        <v>白</v>
      </c>
      <c r="X1" s="151" t="str">
        <f>VLOOKUP(英雄对比!$G$2,英雄装备!$F:$BZ,2,0)</f>
        <v>树枝</v>
      </c>
      <c r="Y1" s="151" t="str">
        <f>VLOOKUP(英雄对比!$G$2,英雄装备!$F:$BZ,3,0)</f>
        <v>树枝</v>
      </c>
      <c r="Z1" s="151" t="str">
        <f>VLOOKUP(英雄对比!$G$2,英雄装备!$F:$BZ,4,0)</f>
        <v>敏捷丝袜</v>
      </c>
      <c r="AA1" s="151" t="str">
        <f>VLOOKUP(英雄对比!$G$2,英雄装备!$F:$BZ,5,0)</f>
        <v>敏捷丝袜</v>
      </c>
      <c r="AB1" s="151" t="str">
        <f>VLOOKUP(英雄对比!$G$2,英雄装备!$F:$BZ,6,0)</f>
        <v>防御指环</v>
      </c>
      <c r="AC1" s="151" t="str">
        <f>VLOOKUP(英雄对比!$G$2,英雄装备!$F:$BZ,7,0)</f>
        <v>小圆盾</v>
      </c>
      <c r="AF1" s="48" t="s">
        <v>1078</v>
      </c>
      <c r="AG1" s="234" t="s">
        <v>1075</v>
      </c>
      <c r="AH1" s="232" t="s">
        <v>203</v>
      </c>
      <c r="AI1" s="232" t="s">
        <v>3</v>
      </c>
      <c r="AJ1" s="232">
        <f>AJ11+AJ16</f>
        <v>1183</v>
      </c>
      <c r="AK1" s="232" t="s">
        <v>4</v>
      </c>
      <c r="AL1" s="232">
        <f>AL11+AL16</f>
        <v>1194</v>
      </c>
      <c r="AM1" s="232" t="s">
        <v>5</v>
      </c>
      <c r="AN1" s="232">
        <f>AN11+AN16</f>
        <v>607</v>
      </c>
      <c r="AO1" s="232" t="s">
        <v>203</v>
      </c>
      <c r="AP1" s="232">
        <f>IF(英雄对比!$N$2="力量",AJ1,IF(英雄对比!$N$2="敏捷",AL1,AN1))</f>
        <v>1194</v>
      </c>
    </row>
    <row r="2" spans="1:52">
      <c r="B2" s="151" t="str">
        <f>英雄初始!A3</f>
        <v>船长</v>
      </c>
      <c r="E2" s="151" t="s">
        <v>1058</v>
      </c>
      <c r="I2" s="50" t="s">
        <v>228</v>
      </c>
      <c r="J2" s="50" t="s">
        <v>209</v>
      </c>
      <c r="K2" s="50" t="s">
        <v>210</v>
      </c>
      <c r="L2" s="50" t="s">
        <v>211</v>
      </c>
      <c r="M2" s="50" t="s">
        <v>212</v>
      </c>
      <c r="N2" s="50" t="s">
        <v>213</v>
      </c>
      <c r="O2" s="50" t="s">
        <v>214</v>
      </c>
      <c r="P2" s="50" t="s">
        <v>215</v>
      </c>
      <c r="Q2" s="50" t="s">
        <v>216</v>
      </c>
      <c r="R2" s="50" t="s">
        <v>217</v>
      </c>
      <c r="S2" s="50" t="s">
        <v>2091</v>
      </c>
      <c r="T2" s="50" t="s">
        <v>1862</v>
      </c>
      <c r="V2" s="151">
        <f>MIN(VLOOKUP(英雄对比!$G$5,中介表格3!$E$11:$F$22,2,0),IF(英雄对比!$G$4&lt;$G$11,1,IF(英雄对比!$G$4&lt;$G$12,2,IF(英雄对比!$G$4&lt;$G$13,3,IF(英雄对比!$G$4&lt;$G$14,4,IF(英雄对比!$G$4&lt;$G$15,5,IF(英雄对比!$G$4&lt;$G$16,6,IF(英雄对比!$G$4&lt;$G$17,7,IF(英雄对比!$G$4&lt;$G$18,8,IF(英雄对比!$G$4&lt;$G$19,9,IF(英雄对比!$G$4&lt;$G$20,10,IF(英雄对比!$G$4&lt;$G$21,11,12))))))))))))</f>
        <v>12</v>
      </c>
      <c r="W2" s="151" t="str">
        <f>IF($V$2&lt;2,"","绿")</f>
        <v>绿</v>
      </c>
      <c r="X2" s="151" t="str">
        <f>VLOOKUP(英雄对比!$G$2,英雄装备!$F:$BZ,8,0)</f>
        <v>吸血面具</v>
      </c>
      <c r="Y2" s="151" t="str">
        <f>VLOOKUP(英雄对比!$G$2,英雄装备!$F:$BZ,9,0)</f>
        <v>圣殿指环</v>
      </c>
      <c r="Z2" s="151" t="str">
        <f>VLOOKUP(英雄对比!$G$2,英雄装备!$F:$BZ,10,0)</f>
        <v>敏捷系带</v>
      </c>
      <c r="AA2" s="151" t="str">
        <f>VLOOKUP(英雄对比!$G$2,英雄装备!$F:$BZ,11,0)</f>
        <v>敏捷系带</v>
      </c>
      <c r="AB2" s="151" t="str">
        <f>VLOOKUP(英雄对比!$G$2,英雄装备!$F:$BZ,12,0)</f>
        <v>补刀斧</v>
      </c>
      <c r="AC2" s="151" t="str">
        <f>VLOOKUP(英雄对比!$G$2,英雄装备!$F:$BZ,13,0)</f>
        <v>鞋</v>
      </c>
      <c r="AG2" s="234"/>
      <c r="AH2" s="232"/>
      <c r="AI2" s="232"/>
      <c r="AJ2" s="232"/>
      <c r="AK2" s="232"/>
      <c r="AL2" s="232"/>
      <c r="AM2" s="232"/>
      <c r="AN2" s="232"/>
      <c r="AO2" s="232"/>
      <c r="AP2" s="232"/>
    </row>
    <row r="3" spans="1:52">
      <c r="B3" s="151" t="str">
        <f>英雄初始!A4</f>
        <v>大鱼人</v>
      </c>
      <c r="E3" s="151" t="s">
        <v>1059</v>
      </c>
      <c r="G3" s="151">
        <f>INDEX($H:$T,MATCH(英雄对比!$G$2,$H:$H,0),MATCH(英雄对比!$G$5,H2:T2,0)-1)</f>
        <v>84</v>
      </c>
      <c r="H3" s="50" t="s">
        <v>157</v>
      </c>
      <c r="I3" s="51">
        <f>MAX(VLOOKUP(INDEX(英雄装备!$F:$BZ,MATCH($H3,英雄装备!$F:$F,0),MATCH(I$2,英雄装备!$1:$1,0)-5),装备属性!$A:$C,3,0),VLOOKUP(INDEX(英雄装备!$F:$BZ,MATCH($H3,英雄装备!$F:$F,0),MATCH(I$2,英雄装备!$1:$1,0)-4),装备属性!$A:$C,3,0),VLOOKUP(INDEX(英雄装备!$F:$BZ,MATCH($H3,英雄装备!$F:$F,0),MATCH(I$2,英雄装备!$1:$1,0)-3),装备属性!$A:$C,3,0),VLOOKUP(INDEX(英雄装备!$F:$BZ,MATCH($H3,英雄装备!$F:$F,0),MATCH(I$2,英雄装备!$1:$1,0)-2),装备属性!$A:$C,3,0),VLOOKUP(INDEX(英雄装备!$F:$BZ,MATCH($H3,英雄装备!$F:$F,0),MATCH(I$2,英雄装备!$1:$1,0)-1),装备属性!$A:$C,3,0),VLOOKUP(INDEX(英雄装备!$F:$BZ,MATCH($H3,英雄装备!$F:$F,0),MATCH(I$2,英雄装备!$1:$1,0)),装备属性!$A:$C,3,0))</f>
        <v>2</v>
      </c>
      <c r="J3" s="51">
        <f>MAX(VLOOKUP(INDEX(英雄装备!$F:$BZ,MATCH($H3,英雄装备!$F:$F,0),MATCH(J$2,英雄装备!$1:$1,0)-5),装备属性!$A:$C,3,0),VLOOKUP(INDEX(英雄装备!$F:$BZ,MATCH($H3,英雄装备!$F:$F,0),MATCH(J$2,英雄装备!$1:$1,0)-4),装备属性!$A:$C,3,0),VLOOKUP(INDEX(英雄装备!$F:$BZ,MATCH($H3,英雄装备!$F:$F,0),MATCH(J$2,英雄装备!$1:$1,0)-3),装备属性!$A:$C,3,0),VLOOKUP(INDEX(英雄装备!$F:$BZ,MATCH($H3,英雄装备!$F:$F,0),MATCH(J$2,英雄装备!$1:$1,0)-2),装备属性!$A:$C,3,0),VLOOKUP(INDEX(英雄装备!$F:$BZ,MATCH($H3,英雄装备!$F:$F,0),MATCH(J$2,英雄装备!$1:$1,0)-1),装备属性!$A:$C,3,0),VLOOKUP(INDEX(英雄装备!$F:$BZ,MATCH($H3,英雄装备!$F:$F,0),MATCH(J$2,英雄装备!$1:$1,0)),装备属性!$A:$C,3,0))</f>
        <v>12</v>
      </c>
      <c r="K3" s="51">
        <f>MAX(VLOOKUP(INDEX(英雄装备!$F:$BZ,MATCH($H3,英雄装备!$F:$F,0),MATCH(K$2,英雄装备!$1:$1,0)-5),装备属性!$A:$C,3,0),VLOOKUP(INDEX(英雄装备!$F:$BZ,MATCH($H3,英雄装备!$F:$F,0),MATCH(K$2,英雄装备!$1:$1,0)-4),装备属性!$A:$C,3,0),VLOOKUP(INDEX(英雄装备!$F:$BZ,MATCH($H3,英雄装备!$F:$F,0),MATCH(K$2,英雄装备!$1:$1,0)-3),装备属性!$A:$C,3,0),VLOOKUP(INDEX(英雄装备!$F:$BZ,MATCH($H3,英雄装备!$F:$F,0),MATCH(K$2,英雄装备!$1:$1,0)-2),装备属性!$A:$C,3,0),VLOOKUP(INDEX(英雄装备!$F:$BZ,MATCH($H3,英雄装备!$F:$F,0),MATCH(K$2,英雄装备!$1:$1,0)-1),装备属性!$A:$C,3,0),VLOOKUP(INDEX(英雄装备!$F:$BZ,MATCH($H3,英雄装备!$F:$F,0),MATCH(K$2,英雄装备!$1:$1,0)),装备属性!$A:$C,3,0))</f>
        <v>22</v>
      </c>
      <c r="L3" s="51">
        <f>MAX(VLOOKUP(INDEX(英雄装备!$F:$BZ,MATCH($H3,英雄装备!$F:$F,0),MATCH(L$2,英雄装备!$1:$1,0)-5),装备属性!$A:$C,3,0),VLOOKUP(INDEX(英雄装备!$F:$BZ,MATCH($H3,英雄装备!$F:$F,0),MATCH(L$2,英雄装备!$1:$1,0)-4),装备属性!$A:$C,3,0),VLOOKUP(INDEX(英雄装备!$F:$BZ,MATCH($H3,英雄装备!$F:$F,0),MATCH(L$2,英雄装备!$1:$1,0)-3),装备属性!$A:$C,3,0),VLOOKUP(INDEX(英雄装备!$F:$BZ,MATCH($H3,英雄装备!$F:$F,0),MATCH(L$2,英雄装备!$1:$1,0)-2),装备属性!$A:$C,3,0),VLOOKUP(INDEX(英雄装备!$F:$BZ,MATCH($H3,英雄装备!$F:$F,0),MATCH(L$2,英雄装备!$1:$1,0)-1),装备属性!$A:$C,3,0),VLOOKUP(INDEX(英雄装备!$F:$BZ,MATCH($H3,英雄装备!$F:$F,0),MATCH(L$2,英雄装备!$1:$1,0)),装备属性!$A:$C,3,0))</f>
        <v>36</v>
      </c>
      <c r="M3" s="51">
        <f>MAX(VLOOKUP(INDEX(英雄装备!$F:$BZ,MATCH($H3,英雄装备!$F:$F,0),MATCH(M$2,英雄装备!$1:$1,0)-5),装备属性!$A:$C,3,0),VLOOKUP(INDEX(英雄装备!$F:$BZ,MATCH($H3,英雄装备!$F:$F,0),MATCH(M$2,英雄装备!$1:$1,0)-4),装备属性!$A:$C,3,0),VLOOKUP(INDEX(英雄装备!$F:$BZ,MATCH($H3,英雄装备!$F:$F,0),MATCH(M$2,英雄装备!$1:$1,0)-3),装备属性!$A:$C,3,0),VLOOKUP(INDEX(英雄装备!$F:$BZ,MATCH($H3,英雄装备!$F:$F,0),MATCH(M$2,英雄装备!$1:$1,0)-2),装备属性!$A:$C,3,0),VLOOKUP(INDEX(英雄装备!$F:$BZ,MATCH($H3,英雄装备!$F:$F,0),MATCH(M$2,英雄装备!$1:$1,0)-1),装备属性!$A:$C,3,0),VLOOKUP(INDEX(英雄装备!$F:$BZ,MATCH($H3,英雄装备!$F:$F,0),MATCH(M$2,英雄装备!$1:$1,0)),装备属性!$A:$C,3,0))</f>
        <v>42</v>
      </c>
      <c r="N3" s="51">
        <f>MAX(VLOOKUP(INDEX(英雄装备!$F:$BZ,MATCH($H3,英雄装备!$F:$F,0),MATCH(N$2,英雄装备!$1:$1,0)-5),装备属性!$A:$C,3,0),VLOOKUP(INDEX(英雄装备!$F:$BZ,MATCH($H3,英雄装备!$F:$F,0),MATCH(N$2,英雄装备!$1:$1,0)-4),装备属性!$A:$C,3,0),VLOOKUP(INDEX(英雄装备!$F:$BZ,MATCH($H3,英雄装备!$F:$F,0),MATCH(N$2,英雄装备!$1:$1,0)-3),装备属性!$A:$C,3,0),VLOOKUP(INDEX(英雄装备!$F:$BZ,MATCH($H3,英雄装备!$F:$F,0),MATCH(N$2,英雄装备!$1:$1,0)-2),装备属性!$A:$C,3,0),VLOOKUP(INDEX(英雄装备!$F:$BZ,MATCH($H3,英雄装备!$F:$F,0),MATCH(N$2,英雄装备!$1:$1,0)-1),装备属性!$A:$C,3,0),VLOOKUP(INDEX(英雄装备!$F:$BZ,MATCH($H3,英雄装备!$F:$F,0),MATCH(N$2,英雄装备!$1:$1,0)),装备属性!$A:$C,3,0))</f>
        <v>51</v>
      </c>
      <c r="O3" s="51">
        <f>MAX(VLOOKUP(INDEX(英雄装备!$F:$BZ,MATCH($H3,英雄装备!$F:$F,0),MATCH(O$2,英雄装备!$1:$1,0)-5),装备属性!$A:$C,3,0),VLOOKUP(INDEX(英雄装备!$F:$BZ,MATCH($H3,英雄装备!$F:$F,0),MATCH(O$2,英雄装备!$1:$1,0)-4),装备属性!$A:$C,3,0),VLOOKUP(INDEX(英雄装备!$F:$BZ,MATCH($H3,英雄装备!$F:$F,0),MATCH(O$2,英雄装备!$1:$1,0)-3),装备属性!$A:$C,3,0),VLOOKUP(INDEX(英雄装备!$F:$BZ,MATCH($H3,英雄装备!$F:$F,0),MATCH(O$2,英雄装备!$1:$1,0)-2),装备属性!$A:$C,3,0),VLOOKUP(INDEX(英雄装备!$F:$BZ,MATCH($H3,英雄装备!$F:$F,0),MATCH(O$2,英雄装备!$1:$1,0)-1),装备属性!$A:$C,3,0),VLOOKUP(INDEX(英雄装备!$F:$BZ,MATCH($H3,英雄装备!$F:$F,0),MATCH(O$2,英雄装备!$1:$1,0)),装备属性!$A:$C,3,0))</f>
        <v>60</v>
      </c>
      <c r="P3" s="51">
        <f>MAX(VLOOKUP(INDEX(英雄装备!$F:$BZ,MATCH($H3,英雄装备!$F:$F,0),MATCH(P$2,英雄装备!$1:$1,0)-5),装备属性!$A:$C,3,0),VLOOKUP(INDEX(英雄装备!$F:$BZ,MATCH($H3,英雄装备!$F:$F,0),MATCH(P$2,英雄装备!$1:$1,0)-4),装备属性!$A:$C,3,0),VLOOKUP(INDEX(英雄装备!$F:$BZ,MATCH($H3,英雄装备!$F:$F,0),MATCH(P$2,英雄装备!$1:$1,0)-3),装备属性!$A:$C,3,0),VLOOKUP(INDEX(英雄装备!$F:$BZ,MATCH($H3,英雄装备!$F:$F,0),MATCH(P$2,英雄装备!$1:$1,0)-2),装备属性!$A:$C,3,0),VLOOKUP(INDEX(英雄装备!$F:$BZ,MATCH($H3,英雄装备!$F:$F,0),MATCH(P$2,英雄装备!$1:$1,0)-1),装备属性!$A:$C,3,0),VLOOKUP(INDEX(英雄装备!$F:$BZ,MATCH($H3,英雄装备!$F:$F,0),MATCH(P$2,英雄装备!$1:$1,0)),装备属性!$A:$C,3,0))</f>
        <v>70</v>
      </c>
      <c r="Q3" s="51">
        <f>MAX(VLOOKUP(INDEX(英雄装备!$F:$BZ,MATCH($H3,英雄装备!$F:$F,0),MATCH(Q$2,英雄装备!$1:$1,0)-5),装备属性!$A:$C,3,0),VLOOKUP(INDEX(英雄装备!$F:$BZ,MATCH($H3,英雄装备!$F:$F,0),MATCH(Q$2,英雄装备!$1:$1,0)-4),装备属性!$A:$C,3,0),VLOOKUP(INDEX(英雄装备!$F:$BZ,MATCH($H3,英雄装备!$F:$F,0),MATCH(Q$2,英雄装备!$1:$1,0)-3),装备属性!$A:$C,3,0),VLOOKUP(INDEX(英雄装备!$F:$BZ,MATCH($H3,英雄装备!$F:$F,0),MATCH(Q$2,英雄装备!$1:$1,0)-2),装备属性!$A:$C,3,0),VLOOKUP(INDEX(英雄装备!$F:$BZ,MATCH($H3,英雄装备!$F:$F,0),MATCH(Q$2,英雄装备!$1:$1,0)-1),装备属性!$A:$C,3,0),VLOOKUP(INDEX(英雄装备!$F:$BZ,MATCH($H3,英雄装备!$F:$F,0),MATCH(Q$2,英雄装备!$1:$1,0)),装备属性!$A:$C,3,0))</f>
        <v>80</v>
      </c>
      <c r="R3" s="51">
        <f>MAX(VLOOKUP(INDEX(英雄装备!$F:$BZ,MATCH($H3,英雄装备!$F:$F,0),MATCH(R$2,英雄装备!$1:$1,0)-5),装备属性!$A:$C,3,0),VLOOKUP(INDEX(英雄装备!$F:$BZ,MATCH($H3,英雄装备!$F:$F,0),MATCH(R$2,英雄装备!$1:$1,0)-4),装备属性!$A:$C,3,0),VLOOKUP(INDEX(英雄装备!$F:$BZ,MATCH($H3,英雄装备!$F:$F,0),MATCH(R$2,英雄装备!$1:$1,0)-3),装备属性!$A:$C,3,0),VLOOKUP(INDEX(英雄装备!$F:$BZ,MATCH($H3,英雄装备!$F:$F,0),MATCH(R$2,英雄装备!$1:$1,0)-2),装备属性!$A:$C,3,0),VLOOKUP(INDEX(英雄装备!$F:$BZ,MATCH($H3,英雄装备!$F:$F,0),MATCH(R$2,英雄装备!$1:$1,0)-1),装备属性!$A:$C,3,0),VLOOKUP(INDEX(英雄装备!$F:$BZ,MATCH($H3,英雄装备!$F:$F,0),MATCH(R$2,英雄装备!$1:$1,0)),装备属性!$A:$C,3,0))</f>
        <v>80</v>
      </c>
      <c r="S3" s="51">
        <f>MAX(VLOOKUP(INDEX(英雄装备!$F:$BZ,MATCH($H3,英雄装备!$F:$F,0),MATCH(S$2,英雄装备!$1:$1,0)-5),装备属性!$A:$C,3,0),VLOOKUP(INDEX(英雄装备!$F:$BZ,MATCH($H3,英雄装备!$F:$F,0),MATCH(S$2,英雄装备!$1:$1,0)-4),装备属性!$A:$C,3,0),VLOOKUP(INDEX(英雄装备!$F:$BZ,MATCH($H3,英雄装备!$F:$F,0),MATCH(S$2,英雄装备!$1:$1,0)-3),装备属性!$A:$C,3,0),VLOOKUP(INDEX(英雄装备!$F:$BZ,MATCH($H3,英雄装备!$F:$F,0),MATCH(S$2,英雄装备!$1:$1,0)-2),装备属性!$A:$C,3,0),VLOOKUP(INDEX(英雄装备!$F:$BZ,MATCH($H3,英雄装备!$F:$F,0),MATCH(S$2,英雄装备!$1:$1,0)-1),装备属性!$A:$C,3,0),VLOOKUP(INDEX(英雄装备!$F:$BZ,MATCH($H3,英雄装备!$F:$F,0),MATCH(S$2,英雄装备!$1:$1,0)),装备属性!$A:$C,3,0))</f>
        <v>85</v>
      </c>
      <c r="T3" s="51">
        <f>MAX(VLOOKUP(INDEX(英雄装备!$F:$BZ,MATCH($H3,英雄装备!$F:$F,0),MATCH(T$2,英雄装备!$1:$1,0)-5),装备属性!$A:$C,3,0),VLOOKUP(INDEX(英雄装备!$F:$BZ,MATCH($H3,英雄装备!$F:$F,0),MATCH(T$2,英雄装备!$1:$1,0)-4),装备属性!$A:$C,3,0),VLOOKUP(INDEX(英雄装备!$F:$BZ,MATCH($H3,英雄装备!$F:$F,0),MATCH(T$2,英雄装备!$1:$1,0)-3),装备属性!$A:$C,3,0),VLOOKUP(INDEX(英雄装备!$F:$BZ,MATCH($H3,英雄装备!$F:$F,0),MATCH(T$2,英雄装备!$1:$1,0)-2),装备属性!$A:$C,3,0),VLOOKUP(INDEX(英雄装备!$F:$BZ,MATCH($H3,英雄装备!$F:$F,0),MATCH(T$2,英雄装备!$1:$1,0)-1),装备属性!$A:$C,3,0))</f>
        <v>88</v>
      </c>
      <c r="W3" s="151" t="str">
        <f>IF($V$2&lt;3,"","绿+1")</f>
        <v>绿+1</v>
      </c>
      <c r="X3" s="151" t="str">
        <f>VLOOKUP(英雄对比!$G$2,英雄装备!$F:$BZ,14,0)</f>
        <v>敏捷之刃</v>
      </c>
      <c r="Y3" s="151" t="str">
        <f>VLOOKUP(英雄对比!$G$2,英雄装备!$F:$BZ,15,0)</f>
        <v>祭品</v>
      </c>
      <c r="Z3" s="151" t="str">
        <f>VLOOKUP(英雄对比!$G$2,英雄装备!$F:$BZ,16,0)</f>
        <v>大魔杖</v>
      </c>
      <c r="AA3" s="151" t="str">
        <f>VLOOKUP(英雄对比!$G$2,英雄装备!$F:$BZ,17,0)</f>
        <v>生命之球</v>
      </c>
      <c r="AB3" s="151" t="str">
        <f>VLOOKUP(英雄对比!$G$2,英雄装备!$F:$BZ,18,0)</f>
        <v>攻击利爪</v>
      </c>
      <c r="AC3" s="151" t="str">
        <f>VLOOKUP(英雄对比!$G$2,英雄装备!$F:$BZ,19,0)</f>
        <v>鞋</v>
      </c>
      <c r="AG3" s="234"/>
      <c r="AH3" s="232" t="s">
        <v>1077</v>
      </c>
      <c r="AI3" s="50" t="s">
        <v>103</v>
      </c>
      <c r="AJ3" s="50" t="s">
        <v>14</v>
      </c>
      <c r="AK3" s="50" t="s">
        <v>47</v>
      </c>
      <c r="AL3" s="50" t="s">
        <v>35</v>
      </c>
      <c r="AM3" s="50" t="s">
        <v>38</v>
      </c>
      <c r="AN3" s="50" t="s">
        <v>34</v>
      </c>
      <c r="AO3" s="50" t="s">
        <v>56</v>
      </c>
      <c r="AP3" s="50" t="s">
        <v>84</v>
      </c>
      <c r="AQ3" s="50" t="s">
        <v>98</v>
      </c>
      <c r="AR3" s="50" t="s">
        <v>2099</v>
      </c>
      <c r="AS3" s="119" t="s">
        <v>1874</v>
      </c>
      <c r="AT3" s="50" t="s">
        <v>91</v>
      </c>
      <c r="AU3" s="50" t="s">
        <v>13</v>
      </c>
      <c r="AV3" s="50" t="s">
        <v>18</v>
      </c>
      <c r="AW3" s="51" t="s">
        <v>71</v>
      </c>
      <c r="AX3" s="50" t="s">
        <v>130</v>
      </c>
      <c r="AY3" s="141" t="s">
        <v>1867</v>
      </c>
      <c r="AZ3" s="141" t="s">
        <v>1877</v>
      </c>
    </row>
    <row r="4" spans="1:52">
      <c r="B4" s="151" t="str">
        <f>英雄初始!A5</f>
        <v>斧王</v>
      </c>
      <c r="E4" s="151" t="s">
        <v>251</v>
      </c>
      <c r="H4" s="50" t="s">
        <v>158</v>
      </c>
      <c r="I4" s="51">
        <f>MAX(VLOOKUP(INDEX(英雄装备!$F:$BZ,MATCH($H4,英雄装备!$F:$F,0),MATCH(I$2,英雄装备!$1:$1,0)-5),装备属性!$A:$C,3,0),VLOOKUP(INDEX(英雄装备!$F:$BZ,MATCH($H4,英雄装备!$F:$F,0),MATCH(I$2,英雄装备!$1:$1,0)-4),装备属性!$A:$C,3,0),VLOOKUP(INDEX(英雄装备!$F:$BZ,MATCH($H4,英雄装备!$F:$F,0),MATCH(I$2,英雄装备!$1:$1,0)-3),装备属性!$A:$C,3,0),VLOOKUP(INDEX(英雄装备!$F:$BZ,MATCH($H4,英雄装备!$F:$F,0),MATCH(I$2,英雄装备!$1:$1,0)-2),装备属性!$A:$C,3,0),VLOOKUP(INDEX(英雄装备!$F:$BZ,MATCH($H4,英雄装备!$F:$F,0),MATCH(I$2,英雄装备!$1:$1,0)-1),装备属性!$A:$C,3,0),VLOOKUP(INDEX(英雄装备!$F:$BZ,MATCH($H4,英雄装备!$F:$F,0),MATCH(I$2,英雄装备!$1:$1,0)),装备属性!$A:$C,3,0))</f>
        <v>2</v>
      </c>
      <c r="J4" s="51">
        <f>MAX(VLOOKUP(INDEX(英雄装备!$F:$BZ,MATCH($H4,英雄装备!$F:$F,0),MATCH(J$2,英雄装备!$1:$1,0)-5),装备属性!$A:$C,3,0),VLOOKUP(INDEX(英雄装备!$F:$BZ,MATCH($H4,英雄装备!$F:$F,0),MATCH(J$2,英雄装备!$1:$1,0)-4),装备属性!$A:$C,3,0),VLOOKUP(INDEX(英雄装备!$F:$BZ,MATCH($H4,英雄装备!$F:$F,0),MATCH(J$2,英雄装备!$1:$1,0)-3),装备属性!$A:$C,3,0),VLOOKUP(INDEX(英雄装备!$F:$BZ,MATCH($H4,英雄装备!$F:$F,0),MATCH(J$2,英雄装备!$1:$1,0)-2),装备属性!$A:$C,3,0),VLOOKUP(INDEX(英雄装备!$F:$BZ,MATCH($H4,英雄装备!$F:$F,0),MATCH(J$2,英雄装备!$1:$1,0)-1),装备属性!$A:$C,3,0),VLOOKUP(INDEX(英雄装备!$F:$BZ,MATCH($H4,英雄装备!$F:$F,0),MATCH(J$2,英雄装备!$1:$1,0)),装备属性!$A:$C,3,0))</f>
        <v>10</v>
      </c>
      <c r="K4" s="51">
        <f>MAX(VLOOKUP(INDEX(英雄装备!$F:$BZ,MATCH($H4,英雄装备!$F:$F,0),MATCH(K$2,英雄装备!$1:$1,0)-5),装备属性!$A:$C,3,0),VLOOKUP(INDEX(英雄装备!$F:$BZ,MATCH($H4,英雄装备!$F:$F,0),MATCH(K$2,英雄装备!$1:$1,0)-4),装备属性!$A:$C,3,0),VLOOKUP(INDEX(英雄装备!$F:$BZ,MATCH($H4,英雄装备!$F:$F,0),MATCH(K$2,英雄装备!$1:$1,0)-3),装备属性!$A:$C,3,0),VLOOKUP(INDEX(英雄装备!$F:$BZ,MATCH($H4,英雄装备!$F:$F,0),MATCH(K$2,英雄装备!$1:$1,0)-2),装备属性!$A:$C,3,0),VLOOKUP(INDEX(英雄装备!$F:$BZ,MATCH($H4,英雄装备!$F:$F,0),MATCH(K$2,英雄装备!$1:$1,0)-1),装备属性!$A:$C,3,0),VLOOKUP(INDEX(英雄装备!$F:$BZ,MATCH($H4,英雄装备!$F:$F,0),MATCH(K$2,英雄装备!$1:$1,0)),装备属性!$A:$C,3,0))</f>
        <v>22</v>
      </c>
      <c r="L4" s="51">
        <f>MAX(VLOOKUP(INDEX(英雄装备!$F:$BZ,MATCH($H4,英雄装备!$F:$F,0),MATCH(L$2,英雄装备!$1:$1,0)-5),装备属性!$A:$C,3,0),VLOOKUP(INDEX(英雄装备!$F:$BZ,MATCH($H4,英雄装备!$F:$F,0),MATCH(L$2,英雄装备!$1:$1,0)-4),装备属性!$A:$C,3,0),VLOOKUP(INDEX(英雄装备!$F:$BZ,MATCH($H4,英雄装备!$F:$F,0),MATCH(L$2,英雄装备!$1:$1,0)-3),装备属性!$A:$C,3,0),VLOOKUP(INDEX(英雄装备!$F:$BZ,MATCH($H4,英雄装备!$F:$F,0),MATCH(L$2,英雄装备!$1:$1,0)-2),装备属性!$A:$C,3,0),VLOOKUP(INDEX(英雄装备!$F:$BZ,MATCH($H4,英雄装备!$F:$F,0),MATCH(L$2,英雄装备!$1:$1,0)-1),装备属性!$A:$C,3,0),VLOOKUP(INDEX(英雄装备!$F:$BZ,MATCH($H4,英雄装备!$F:$F,0),MATCH(L$2,英雄装备!$1:$1,0)),装备属性!$A:$C,3,0))</f>
        <v>34</v>
      </c>
      <c r="M4" s="51">
        <f>MAX(VLOOKUP(INDEX(英雄装备!$F:$BZ,MATCH($H4,英雄装备!$F:$F,0),MATCH(M$2,英雄装备!$1:$1,0)-5),装备属性!$A:$C,3,0),VLOOKUP(INDEX(英雄装备!$F:$BZ,MATCH($H4,英雄装备!$F:$F,0),MATCH(M$2,英雄装备!$1:$1,0)-4),装备属性!$A:$C,3,0),VLOOKUP(INDEX(英雄装备!$F:$BZ,MATCH($H4,英雄装备!$F:$F,0),MATCH(M$2,英雄装备!$1:$1,0)-3),装备属性!$A:$C,3,0),VLOOKUP(INDEX(英雄装备!$F:$BZ,MATCH($H4,英雄装备!$F:$F,0),MATCH(M$2,英雄装备!$1:$1,0)-2),装备属性!$A:$C,3,0),VLOOKUP(INDEX(英雄装备!$F:$BZ,MATCH($H4,英雄装备!$F:$F,0),MATCH(M$2,英雄装备!$1:$1,0)-1),装备属性!$A:$C,3,0),VLOOKUP(INDEX(英雄装备!$F:$BZ,MATCH($H4,英雄装备!$F:$F,0),MATCH(M$2,英雄装备!$1:$1,0)),装备属性!$A:$C,3,0))</f>
        <v>43</v>
      </c>
      <c r="N4" s="51">
        <f>MAX(VLOOKUP(INDEX(英雄装备!$F:$BZ,MATCH($H4,英雄装备!$F:$F,0),MATCH(N$2,英雄装备!$1:$1,0)-5),装备属性!$A:$C,3,0),VLOOKUP(INDEX(英雄装备!$F:$BZ,MATCH($H4,英雄装备!$F:$F,0),MATCH(N$2,英雄装备!$1:$1,0)-4),装备属性!$A:$C,3,0),VLOOKUP(INDEX(英雄装备!$F:$BZ,MATCH($H4,英雄装备!$F:$F,0),MATCH(N$2,英雄装备!$1:$1,0)-3),装备属性!$A:$C,3,0),VLOOKUP(INDEX(英雄装备!$F:$BZ,MATCH($H4,英雄装备!$F:$F,0),MATCH(N$2,英雄装备!$1:$1,0)-2),装备属性!$A:$C,3,0),VLOOKUP(INDEX(英雄装备!$F:$BZ,MATCH($H4,英雄装备!$F:$F,0),MATCH(N$2,英雄装备!$1:$1,0)-1),装备属性!$A:$C,3,0),VLOOKUP(INDEX(英雄装备!$F:$BZ,MATCH($H4,英雄装备!$F:$F,0),MATCH(N$2,英雄装备!$1:$1,0)),装备属性!$A:$C,3,0))</f>
        <v>51</v>
      </c>
      <c r="O4" s="51">
        <f>MAX(VLOOKUP(INDEX(英雄装备!$F:$BZ,MATCH($H4,英雄装备!$F:$F,0),MATCH(O$2,英雄装备!$1:$1,0)-5),装备属性!$A:$C,3,0),VLOOKUP(INDEX(英雄装备!$F:$BZ,MATCH($H4,英雄装备!$F:$F,0),MATCH(O$2,英雄装备!$1:$1,0)-4),装备属性!$A:$C,3,0),VLOOKUP(INDEX(英雄装备!$F:$BZ,MATCH($H4,英雄装备!$F:$F,0),MATCH(O$2,英雄装备!$1:$1,0)-3),装备属性!$A:$C,3,0),VLOOKUP(INDEX(英雄装备!$F:$BZ,MATCH($H4,英雄装备!$F:$F,0),MATCH(O$2,英雄装备!$1:$1,0)-2),装备属性!$A:$C,3,0),VLOOKUP(INDEX(英雄装备!$F:$BZ,MATCH($H4,英雄装备!$F:$F,0),MATCH(O$2,英雄装备!$1:$1,0)-1),装备属性!$A:$C,3,0),VLOOKUP(INDEX(英雄装备!$F:$BZ,MATCH($H4,英雄装备!$F:$F,0),MATCH(O$2,英雄装备!$1:$1,0)),装备属性!$A:$C,3,0))</f>
        <v>59</v>
      </c>
      <c r="P4" s="51">
        <f>MAX(VLOOKUP(INDEX(英雄装备!$F:$BZ,MATCH($H4,英雄装备!$F:$F,0),MATCH(P$2,英雄装备!$1:$1,0)-5),装备属性!$A:$C,3,0),VLOOKUP(INDEX(英雄装备!$F:$BZ,MATCH($H4,英雄装备!$F:$F,0),MATCH(P$2,英雄装备!$1:$1,0)-4),装备属性!$A:$C,3,0),VLOOKUP(INDEX(英雄装备!$F:$BZ,MATCH($H4,英雄装备!$F:$F,0),MATCH(P$2,英雄装备!$1:$1,0)-3),装备属性!$A:$C,3,0),VLOOKUP(INDEX(英雄装备!$F:$BZ,MATCH($H4,英雄装备!$F:$F,0),MATCH(P$2,英雄装备!$1:$1,0)-2),装备属性!$A:$C,3,0),VLOOKUP(INDEX(英雄装备!$F:$BZ,MATCH($H4,英雄装备!$F:$F,0),MATCH(P$2,英雄装备!$1:$1,0)-1),装备属性!$A:$C,3,0),VLOOKUP(INDEX(英雄装备!$F:$BZ,MATCH($H4,英雄装备!$F:$F,0),MATCH(P$2,英雄装备!$1:$1,0)),装备属性!$A:$C,3,0))</f>
        <v>72</v>
      </c>
      <c r="Q4" s="51">
        <f>MAX(VLOOKUP(INDEX(英雄装备!$F:$BZ,MATCH($H4,英雄装备!$F:$F,0),MATCH(Q$2,英雄装备!$1:$1,0)-5),装备属性!$A:$C,3,0),VLOOKUP(INDEX(英雄装备!$F:$BZ,MATCH($H4,英雄装备!$F:$F,0),MATCH(Q$2,英雄装备!$1:$1,0)-4),装备属性!$A:$C,3,0),VLOOKUP(INDEX(英雄装备!$F:$BZ,MATCH($H4,英雄装备!$F:$F,0),MATCH(Q$2,英雄装备!$1:$1,0)-3),装备属性!$A:$C,3,0),VLOOKUP(INDEX(英雄装备!$F:$BZ,MATCH($H4,英雄装备!$F:$F,0),MATCH(Q$2,英雄装备!$1:$1,0)-2),装备属性!$A:$C,3,0),VLOOKUP(INDEX(英雄装备!$F:$BZ,MATCH($H4,英雄装备!$F:$F,0),MATCH(Q$2,英雄装备!$1:$1,0)-1),装备属性!$A:$C,3,0),VLOOKUP(INDEX(英雄装备!$F:$BZ,MATCH($H4,英雄装备!$F:$F,0),MATCH(Q$2,英雄装备!$1:$1,0)),装备属性!$A:$C,3,0))</f>
        <v>79</v>
      </c>
      <c r="R4" s="51">
        <f>MAX(VLOOKUP(INDEX(英雄装备!$F:$BZ,MATCH($H4,英雄装备!$F:$F,0),MATCH(R$2,英雄装备!$1:$1,0)-5),装备属性!$A:$C,3,0),VLOOKUP(INDEX(英雄装备!$F:$BZ,MATCH($H4,英雄装备!$F:$F,0),MATCH(R$2,英雄装备!$1:$1,0)-4),装备属性!$A:$C,3,0),VLOOKUP(INDEX(英雄装备!$F:$BZ,MATCH($H4,英雄装备!$F:$F,0),MATCH(R$2,英雄装备!$1:$1,0)-3),装备属性!$A:$C,3,0),VLOOKUP(INDEX(英雄装备!$F:$BZ,MATCH($H4,英雄装备!$F:$F,0),MATCH(R$2,英雄装备!$1:$1,0)-2),装备属性!$A:$C,3,0),VLOOKUP(INDEX(英雄装备!$F:$BZ,MATCH($H4,英雄装备!$F:$F,0),MATCH(R$2,英雄装备!$1:$1,0)-1),装备属性!$A:$C,3,0),VLOOKUP(INDEX(英雄装备!$F:$BZ,MATCH($H4,英雄装备!$F:$F,0),MATCH(R$2,英雄装备!$1:$1,0)),装备属性!$A:$C,3,0))</f>
        <v>80</v>
      </c>
      <c r="S4" s="51">
        <f>MAX(VLOOKUP(INDEX(英雄装备!$F:$BZ,MATCH($H4,英雄装备!$F:$F,0),MATCH(S$2,英雄装备!$1:$1,0)-5),装备属性!$A:$C,3,0),VLOOKUP(INDEX(英雄装备!$F:$BZ,MATCH($H4,英雄装备!$F:$F,0),MATCH(S$2,英雄装备!$1:$1,0)-4),装备属性!$A:$C,3,0),VLOOKUP(INDEX(英雄装备!$F:$BZ,MATCH($H4,英雄装备!$F:$F,0),MATCH(S$2,英雄装备!$1:$1,0)-3),装备属性!$A:$C,3,0),VLOOKUP(INDEX(英雄装备!$F:$BZ,MATCH($H4,英雄装备!$F:$F,0),MATCH(S$2,英雄装备!$1:$1,0)-2),装备属性!$A:$C,3,0),VLOOKUP(INDEX(英雄装备!$F:$BZ,MATCH($H4,英雄装备!$F:$F,0),MATCH(S$2,英雄装备!$1:$1,0)-1),装备属性!$A:$C,3,0),VLOOKUP(INDEX(英雄装备!$F:$BZ,MATCH($H4,英雄装备!$F:$F,0),MATCH(S$2,英雄装备!$1:$1,0)),装备属性!$A:$C,3,0))</f>
        <v>85</v>
      </c>
      <c r="T4" s="51">
        <f>MAX(VLOOKUP(INDEX(英雄装备!$F:$BZ,MATCH($H4,英雄装备!$F:$F,0),MATCH(T$2,英雄装备!$1:$1,0)-5),装备属性!$A:$C,3,0),VLOOKUP(INDEX(英雄装备!$F:$BZ,MATCH($H4,英雄装备!$F:$F,0),MATCH(T$2,英雄装备!$1:$1,0)-4),装备属性!$A:$C,3,0),VLOOKUP(INDEX(英雄装备!$F:$BZ,MATCH($H4,英雄装备!$F:$F,0),MATCH(T$2,英雄装备!$1:$1,0)-3),装备属性!$A:$C,3,0),VLOOKUP(INDEX(英雄装备!$F:$BZ,MATCH($H4,英雄装备!$F:$F,0),MATCH(T$2,英雄装备!$1:$1,0)-2),装备属性!$A:$C,3,0),VLOOKUP(INDEX(英雄装备!$F:$BZ,MATCH($H4,英雄装备!$F:$F,0),MATCH(T$2,英雄装备!$1:$1,0)-1),装备属性!$A:$C,3,0))</f>
        <v>88</v>
      </c>
      <c r="W4" s="151" t="str">
        <f>IF($V$2&lt;4,"","蓝")</f>
        <v>蓝</v>
      </c>
      <c r="X4" s="151" t="str">
        <f>VLOOKUP(英雄对比!$G$2,英雄装备!$F:$BZ,20,0)</f>
        <v>洛萨</v>
      </c>
      <c r="Y4" s="151" t="str">
        <f>VLOOKUP(英雄对比!$G$2,英雄装备!$F:$BZ,21,0)</f>
        <v>鬼手</v>
      </c>
      <c r="Z4" s="151" t="str">
        <f>VLOOKUP(英雄对比!$G$2,英雄装备!$F:$BZ,22,0)</f>
        <v>标枪</v>
      </c>
      <c r="AA4" s="151" t="str">
        <f>VLOOKUP(英雄对比!$G$2,英雄装备!$F:$BZ,23,0)</f>
        <v>冲锋盾</v>
      </c>
      <c r="AB4" s="151" t="str">
        <f>VLOOKUP(英雄对比!$G$2,英雄装备!$F:$BZ,24,0)</f>
        <v>力量腰带</v>
      </c>
      <c r="AC4" s="151" t="str">
        <f>VLOOKUP(英雄对比!$G$2,英雄装备!$F:$BZ,25,0)</f>
        <v>相位鞋</v>
      </c>
      <c r="AG4" s="234"/>
      <c r="AH4" s="232"/>
      <c r="AI4" s="151">
        <f>AI14+AI19+(AJ1-AF7)*18</f>
        <v>24001</v>
      </c>
      <c r="AJ4" s="151">
        <f>AJ14+AJ19+(AP1-VLOOKUP(英雄对比!$N$2,中介表格3!$AE$7:$AF$9,2,0))+(AL1-AF8)*0.4</f>
        <v>2706.2</v>
      </c>
      <c r="AK4" s="151">
        <f>AK14+AK19+(AN1-AF9)*2.4</f>
        <v>1456.6</v>
      </c>
      <c r="AL4" s="151">
        <f>AL14+AL19+(AJ1-AF7)*0.15+(AL1-AF8)*0.08</f>
        <v>374.74</v>
      </c>
      <c r="AM4" s="151">
        <f>AM14+AM19+(AN1-AF9)/10</f>
        <v>142.4</v>
      </c>
      <c r="AN4" s="151">
        <f>AN14+AN19+(AL1-AF8)*0.4</f>
        <v>770.2</v>
      </c>
      <c r="AO4" s="151">
        <f t="shared" ref="AO4:AZ4" si="0">AO14+AO19</f>
        <v>29</v>
      </c>
      <c r="AP4" s="151">
        <f t="shared" si="0"/>
        <v>0</v>
      </c>
      <c r="AQ4" s="151">
        <f t="shared" si="0"/>
        <v>0</v>
      </c>
      <c r="AR4" s="151">
        <f t="shared" si="0"/>
        <v>118</v>
      </c>
      <c r="AS4" s="151">
        <f t="shared" si="0"/>
        <v>8</v>
      </c>
      <c r="AT4" s="151">
        <f t="shared" si="0"/>
        <v>30</v>
      </c>
      <c r="AU4" s="151">
        <f t="shared" si="0"/>
        <v>2355</v>
      </c>
      <c r="AV4" s="151">
        <f t="shared" si="0"/>
        <v>277</v>
      </c>
      <c r="AW4" s="151">
        <f t="shared" si="0"/>
        <v>0</v>
      </c>
      <c r="AX4" s="151">
        <f t="shared" si="0"/>
        <v>0</v>
      </c>
      <c r="AY4" s="151">
        <f t="shared" si="0"/>
        <v>0</v>
      </c>
      <c r="AZ4" s="151">
        <f t="shared" si="0"/>
        <v>0</v>
      </c>
    </row>
    <row r="5" spans="1:52" ht="13.5" customHeight="1">
      <c r="B5" s="151" t="str">
        <f>英雄初始!A6</f>
        <v>骷髅王</v>
      </c>
      <c r="E5" s="151" t="s">
        <v>252</v>
      </c>
      <c r="G5" s="233" t="str">
        <f>IF(英雄对比!$G$5="白","",IF($G$3&gt;英雄对比!$G$4,"你输入的级别无法达到当前卡色，请重新输入",""))</f>
        <v/>
      </c>
      <c r="H5" s="50" t="s">
        <v>159</v>
      </c>
      <c r="I5" s="51">
        <f>MAX(VLOOKUP(INDEX(英雄装备!$F:$BZ,MATCH($H5,英雄装备!$F:$F,0),MATCH(I$2,英雄装备!$1:$1,0)-5),装备属性!$A:$C,3,0),VLOOKUP(INDEX(英雄装备!$F:$BZ,MATCH($H5,英雄装备!$F:$F,0),MATCH(I$2,英雄装备!$1:$1,0)-4),装备属性!$A:$C,3,0),VLOOKUP(INDEX(英雄装备!$F:$BZ,MATCH($H5,英雄装备!$F:$F,0),MATCH(I$2,英雄装备!$1:$1,0)-3),装备属性!$A:$C,3,0),VLOOKUP(INDEX(英雄装备!$F:$BZ,MATCH($H5,英雄装备!$F:$F,0),MATCH(I$2,英雄装备!$1:$1,0)-2),装备属性!$A:$C,3,0),VLOOKUP(INDEX(英雄装备!$F:$BZ,MATCH($H5,英雄装备!$F:$F,0),MATCH(I$2,英雄装备!$1:$1,0)-1),装备属性!$A:$C,3,0),VLOOKUP(INDEX(英雄装备!$F:$BZ,MATCH($H5,英雄装备!$F:$F,0),MATCH(I$2,英雄装备!$1:$1,0)),装备属性!$A:$C,3,0))</f>
        <v>2</v>
      </c>
      <c r="J5" s="51">
        <f>MAX(VLOOKUP(INDEX(英雄装备!$F:$BZ,MATCH($H5,英雄装备!$F:$F,0),MATCH(J$2,英雄装备!$1:$1,0)-5),装备属性!$A:$C,3,0),VLOOKUP(INDEX(英雄装备!$F:$BZ,MATCH($H5,英雄装备!$F:$F,0),MATCH(J$2,英雄装备!$1:$1,0)-4),装备属性!$A:$C,3,0),VLOOKUP(INDEX(英雄装备!$F:$BZ,MATCH($H5,英雄装备!$F:$F,0),MATCH(J$2,英雄装备!$1:$1,0)-3),装备属性!$A:$C,3,0),VLOOKUP(INDEX(英雄装备!$F:$BZ,MATCH($H5,英雄装备!$F:$F,0),MATCH(J$2,英雄装备!$1:$1,0)-2),装备属性!$A:$C,3,0),VLOOKUP(INDEX(英雄装备!$F:$BZ,MATCH($H5,英雄装备!$F:$F,0),MATCH(J$2,英雄装备!$1:$1,0)-1),装备属性!$A:$C,3,0),VLOOKUP(INDEX(英雄装备!$F:$BZ,MATCH($H5,英雄装备!$F:$F,0),MATCH(J$2,英雄装备!$1:$1,0)),装备属性!$A:$C,3,0))</f>
        <v>10</v>
      </c>
      <c r="K5" s="51">
        <f>MAX(VLOOKUP(INDEX(英雄装备!$F:$BZ,MATCH($H5,英雄装备!$F:$F,0),MATCH(K$2,英雄装备!$1:$1,0)-5),装备属性!$A:$C,3,0),VLOOKUP(INDEX(英雄装备!$F:$BZ,MATCH($H5,英雄装备!$F:$F,0),MATCH(K$2,英雄装备!$1:$1,0)-4),装备属性!$A:$C,3,0),VLOOKUP(INDEX(英雄装备!$F:$BZ,MATCH($H5,英雄装备!$F:$F,0),MATCH(K$2,英雄装备!$1:$1,0)-3),装备属性!$A:$C,3,0),VLOOKUP(INDEX(英雄装备!$F:$BZ,MATCH($H5,英雄装备!$F:$F,0),MATCH(K$2,英雄装备!$1:$1,0)-2),装备属性!$A:$C,3,0),VLOOKUP(INDEX(英雄装备!$F:$BZ,MATCH($H5,英雄装备!$F:$F,0),MATCH(K$2,英雄装备!$1:$1,0)-1),装备属性!$A:$C,3,0),VLOOKUP(INDEX(英雄装备!$F:$BZ,MATCH($H5,英雄装备!$F:$F,0),MATCH(K$2,英雄装备!$1:$1,0)),装备属性!$A:$C,3,0))</f>
        <v>26</v>
      </c>
      <c r="L5" s="51">
        <f>MAX(VLOOKUP(INDEX(英雄装备!$F:$BZ,MATCH($H5,英雄装备!$F:$F,0),MATCH(L$2,英雄装备!$1:$1,0)-5),装备属性!$A:$C,3,0),VLOOKUP(INDEX(英雄装备!$F:$BZ,MATCH($H5,英雄装备!$F:$F,0),MATCH(L$2,英雄装备!$1:$1,0)-4),装备属性!$A:$C,3,0),VLOOKUP(INDEX(英雄装备!$F:$BZ,MATCH($H5,英雄装备!$F:$F,0),MATCH(L$2,英雄装备!$1:$1,0)-3),装备属性!$A:$C,3,0),VLOOKUP(INDEX(英雄装备!$F:$BZ,MATCH($H5,英雄装备!$F:$F,0),MATCH(L$2,英雄装备!$1:$1,0)-2),装备属性!$A:$C,3,0),VLOOKUP(INDEX(英雄装备!$F:$BZ,MATCH($H5,英雄装备!$F:$F,0),MATCH(L$2,英雄装备!$1:$1,0)-1),装备属性!$A:$C,3,0),VLOOKUP(INDEX(英雄装备!$F:$BZ,MATCH($H5,英雄装备!$F:$F,0),MATCH(L$2,英雄装备!$1:$1,0)),装备属性!$A:$C,3,0))</f>
        <v>35</v>
      </c>
      <c r="M5" s="51">
        <f>MAX(VLOOKUP(INDEX(英雄装备!$F:$BZ,MATCH($H5,英雄装备!$F:$F,0),MATCH(M$2,英雄装备!$1:$1,0)-5),装备属性!$A:$C,3,0),VLOOKUP(INDEX(英雄装备!$F:$BZ,MATCH($H5,英雄装备!$F:$F,0),MATCH(M$2,英雄装备!$1:$1,0)-4),装备属性!$A:$C,3,0),VLOOKUP(INDEX(英雄装备!$F:$BZ,MATCH($H5,英雄装备!$F:$F,0),MATCH(M$2,英雄装备!$1:$1,0)-3),装备属性!$A:$C,3,0),VLOOKUP(INDEX(英雄装备!$F:$BZ,MATCH($H5,英雄装备!$F:$F,0),MATCH(M$2,英雄装备!$1:$1,0)-2),装备属性!$A:$C,3,0),VLOOKUP(INDEX(英雄装备!$F:$BZ,MATCH($H5,英雄装备!$F:$F,0),MATCH(M$2,英雄装备!$1:$1,0)-1),装备属性!$A:$C,3,0),VLOOKUP(INDEX(英雄装备!$F:$BZ,MATCH($H5,英雄装备!$F:$F,0),MATCH(M$2,英雄装备!$1:$1,0)),装备属性!$A:$C,3,0))</f>
        <v>36</v>
      </c>
      <c r="N5" s="51">
        <f>MAX(VLOOKUP(INDEX(英雄装备!$F:$BZ,MATCH($H5,英雄装备!$F:$F,0),MATCH(N$2,英雄装备!$1:$1,0)-5),装备属性!$A:$C,3,0),VLOOKUP(INDEX(英雄装备!$F:$BZ,MATCH($H5,英雄装备!$F:$F,0),MATCH(N$2,英雄装备!$1:$1,0)-4),装备属性!$A:$C,3,0),VLOOKUP(INDEX(英雄装备!$F:$BZ,MATCH($H5,英雄装备!$F:$F,0),MATCH(N$2,英雄装备!$1:$1,0)-3),装备属性!$A:$C,3,0),VLOOKUP(INDEX(英雄装备!$F:$BZ,MATCH($H5,英雄装备!$F:$F,0),MATCH(N$2,英雄装备!$1:$1,0)-2),装备属性!$A:$C,3,0),VLOOKUP(INDEX(英雄装备!$F:$BZ,MATCH($H5,英雄装备!$F:$F,0),MATCH(N$2,英雄装备!$1:$1,0)-1),装备属性!$A:$C,3,0),VLOOKUP(INDEX(英雄装备!$F:$BZ,MATCH($H5,英雄装备!$F:$F,0),MATCH(N$2,英雄装备!$1:$1,0)),装备属性!$A:$C,3,0))</f>
        <v>52</v>
      </c>
      <c r="O5" s="51">
        <f>MAX(VLOOKUP(INDEX(英雄装备!$F:$BZ,MATCH($H5,英雄装备!$F:$F,0),MATCH(O$2,英雄装备!$1:$1,0)-5),装备属性!$A:$C,3,0),VLOOKUP(INDEX(英雄装备!$F:$BZ,MATCH($H5,英雄装备!$F:$F,0),MATCH(O$2,英雄装备!$1:$1,0)-4),装备属性!$A:$C,3,0),VLOOKUP(INDEX(英雄装备!$F:$BZ,MATCH($H5,英雄装备!$F:$F,0),MATCH(O$2,英雄装备!$1:$1,0)-3),装备属性!$A:$C,3,0),VLOOKUP(INDEX(英雄装备!$F:$BZ,MATCH($H5,英雄装备!$F:$F,0),MATCH(O$2,英雄装备!$1:$1,0)-2),装备属性!$A:$C,3,0),VLOOKUP(INDEX(英雄装备!$F:$BZ,MATCH($H5,英雄装备!$F:$F,0),MATCH(O$2,英雄装备!$1:$1,0)-1),装备属性!$A:$C,3,0),VLOOKUP(INDEX(英雄装备!$F:$BZ,MATCH($H5,英雄装备!$F:$F,0),MATCH(O$2,英雄装备!$1:$1,0)),装备属性!$A:$C,3,0))</f>
        <v>62</v>
      </c>
      <c r="P5" s="51">
        <f>MAX(VLOOKUP(INDEX(英雄装备!$F:$BZ,MATCH($H5,英雄装备!$F:$F,0),MATCH(P$2,英雄装备!$1:$1,0)-5),装备属性!$A:$C,3,0),VLOOKUP(INDEX(英雄装备!$F:$BZ,MATCH($H5,英雄装备!$F:$F,0),MATCH(P$2,英雄装备!$1:$1,0)-4),装备属性!$A:$C,3,0),VLOOKUP(INDEX(英雄装备!$F:$BZ,MATCH($H5,英雄装备!$F:$F,0),MATCH(P$2,英雄装备!$1:$1,0)-3),装备属性!$A:$C,3,0),VLOOKUP(INDEX(英雄装备!$F:$BZ,MATCH($H5,英雄装备!$F:$F,0),MATCH(P$2,英雄装备!$1:$1,0)-2),装备属性!$A:$C,3,0),VLOOKUP(INDEX(英雄装备!$F:$BZ,MATCH($H5,英雄装备!$F:$F,0),MATCH(P$2,英雄装备!$1:$1,0)-1),装备属性!$A:$C,3,0),VLOOKUP(INDEX(英雄装备!$F:$BZ,MATCH($H5,英雄装备!$F:$F,0),MATCH(P$2,英雄装备!$1:$1,0)),装备属性!$A:$C,3,0))</f>
        <v>72</v>
      </c>
      <c r="Q5" s="51">
        <f>MAX(VLOOKUP(INDEX(英雄装备!$F:$BZ,MATCH($H5,英雄装备!$F:$F,0),MATCH(Q$2,英雄装备!$1:$1,0)-5),装备属性!$A:$C,3,0),VLOOKUP(INDEX(英雄装备!$F:$BZ,MATCH($H5,英雄装备!$F:$F,0),MATCH(Q$2,英雄装备!$1:$1,0)-4),装备属性!$A:$C,3,0),VLOOKUP(INDEX(英雄装备!$F:$BZ,MATCH($H5,英雄装备!$F:$F,0),MATCH(Q$2,英雄装备!$1:$1,0)-3),装备属性!$A:$C,3,0),VLOOKUP(INDEX(英雄装备!$F:$BZ,MATCH($H5,英雄装备!$F:$F,0),MATCH(Q$2,英雄装备!$1:$1,0)-2),装备属性!$A:$C,3,0),VLOOKUP(INDEX(英雄装备!$F:$BZ,MATCH($H5,英雄装备!$F:$F,0),MATCH(Q$2,英雄装备!$1:$1,0)-1),装备属性!$A:$C,3,0),VLOOKUP(INDEX(英雄装备!$F:$BZ,MATCH($H5,英雄装备!$F:$F,0),MATCH(Q$2,英雄装备!$1:$1,0)),装备属性!$A:$C,3,0))</f>
        <v>80</v>
      </c>
      <c r="R5" s="51">
        <f>MAX(VLOOKUP(INDEX(英雄装备!$F:$BZ,MATCH($H5,英雄装备!$F:$F,0),MATCH(R$2,英雄装备!$1:$1,0)-5),装备属性!$A:$C,3,0),VLOOKUP(INDEX(英雄装备!$F:$BZ,MATCH($H5,英雄装备!$F:$F,0),MATCH(R$2,英雄装备!$1:$1,0)-4),装备属性!$A:$C,3,0),VLOOKUP(INDEX(英雄装备!$F:$BZ,MATCH($H5,英雄装备!$F:$F,0),MATCH(R$2,英雄装备!$1:$1,0)-3),装备属性!$A:$C,3,0),VLOOKUP(INDEX(英雄装备!$F:$BZ,MATCH($H5,英雄装备!$F:$F,0),MATCH(R$2,英雄装备!$1:$1,0)-2),装备属性!$A:$C,3,0),VLOOKUP(INDEX(英雄装备!$F:$BZ,MATCH($H5,英雄装备!$F:$F,0),MATCH(R$2,英雄装备!$1:$1,0)-1),装备属性!$A:$C,3,0),VLOOKUP(INDEX(英雄装备!$F:$BZ,MATCH($H5,英雄装备!$F:$F,0),MATCH(R$2,英雄装备!$1:$1,0)),装备属性!$A:$C,3,0))</f>
        <v>79</v>
      </c>
      <c r="S5" s="51">
        <f>MAX(VLOOKUP(INDEX(英雄装备!$F:$BZ,MATCH($H5,英雄装备!$F:$F,0),MATCH(S$2,英雄装备!$1:$1,0)-5),装备属性!$A:$C,3,0),VLOOKUP(INDEX(英雄装备!$F:$BZ,MATCH($H5,英雄装备!$F:$F,0),MATCH(S$2,英雄装备!$1:$1,0)-4),装备属性!$A:$C,3,0),VLOOKUP(INDEX(英雄装备!$F:$BZ,MATCH($H5,英雄装备!$F:$F,0),MATCH(S$2,英雄装备!$1:$1,0)-3),装备属性!$A:$C,3,0),VLOOKUP(INDEX(英雄装备!$F:$BZ,MATCH($H5,英雄装备!$F:$F,0),MATCH(S$2,英雄装备!$1:$1,0)-2),装备属性!$A:$C,3,0),VLOOKUP(INDEX(英雄装备!$F:$BZ,MATCH($H5,英雄装备!$F:$F,0),MATCH(S$2,英雄装备!$1:$1,0)-1),装备属性!$A:$C,3,0),VLOOKUP(INDEX(英雄装备!$F:$BZ,MATCH($H5,英雄装备!$F:$F,0),MATCH(S$2,英雄装备!$1:$1,0)),装备属性!$A:$C,3,0))</f>
        <v>84</v>
      </c>
      <c r="T5" s="51">
        <f>MAX(VLOOKUP(INDEX(英雄装备!$F:$BZ,MATCH($H5,英雄装备!$F:$F,0),MATCH(T$2,英雄装备!$1:$1,0)-5),装备属性!$A:$C,3,0),VLOOKUP(INDEX(英雄装备!$F:$BZ,MATCH($H5,英雄装备!$F:$F,0),MATCH(T$2,英雄装备!$1:$1,0)-4),装备属性!$A:$C,3,0),VLOOKUP(INDEX(英雄装备!$F:$BZ,MATCH($H5,英雄装备!$F:$F,0),MATCH(T$2,英雄装备!$1:$1,0)-3),装备属性!$A:$C,3,0),VLOOKUP(INDEX(英雄装备!$F:$BZ,MATCH($H5,英雄装备!$F:$F,0),MATCH(T$2,英雄装备!$1:$1,0)-2),装备属性!$A:$C,3,0),VLOOKUP(INDEX(英雄装备!$F:$BZ,MATCH($H5,英雄装备!$F:$F,0),MATCH(T$2,英雄装备!$1:$1,0)-1),装备属性!$A:$C,3,0))</f>
        <v>87</v>
      </c>
      <c r="W5" s="151" t="str">
        <f>IF($V$2&lt;5,"","蓝+1")</f>
        <v>蓝+1</v>
      </c>
      <c r="X5" s="151" t="str">
        <f>VLOOKUP(英雄对比!$G$2,英雄装备!$F:$BZ,26,0)</f>
        <v>碎骨锤</v>
      </c>
      <c r="Y5" s="151" t="str">
        <f>VLOOKUP(英雄对比!$G$2,英雄装备!$F:$BZ,27,0)</f>
        <v>黑黄</v>
      </c>
      <c r="Z5" s="151" t="str">
        <f>VLOOKUP(英雄对比!$G$2,英雄装备!$F:$BZ,28,0)</f>
        <v>散华</v>
      </c>
      <c r="AA5" s="151" t="str">
        <f>VLOOKUP(英雄对比!$G$2,英雄装备!$F:$BZ,29,0)</f>
        <v>魔抗头巾</v>
      </c>
      <c r="AB5" s="151" t="str">
        <f>VLOOKUP(英雄对比!$G$2,英雄装备!$F:$BZ,30,0)</f>
        <v>天鹰之戒</v>
      </c>
      <c r="AC5" s="151" t="str">
        <f>VLOOKUP(英雄对比!$G$2,英雄装备!$F:$BZ,31,0)</f>
        <v>相位鞋</v>
      </c>
    </row>
    <row r="6" spans="1:52">
      <c r="B6" s="151" t="str">
        <f>英雄初始!A7</f>
        <v>全能骑士</v>
      </c>
      <c r="G6" s="233"/>
      <c r="H6" s="50" t="s">
        <v>160</v>
      </c>
      <c r="I6" s="51">
        <f>MAX(VLOOKUP(INDEX(英雄装备!$F:$BZ,MATCH($H6,英雄装备!$F:$F,0),MATCH(I$2,英雄装备!$1:$1,0)-5),装备属性!$A:$C,3,0),VLOOKUP(INDEX(英雄装备!$F:$BZ,MATCH($H6,英雄装备!$F:$F,0),MATCH(I$2,英雄装备!$1:$1,0)-4),装备属性!$A:$C,3,0),VLOOKUP(INDEX(英雄装备!$F:$BZ,MATCH($H6,英雄装备!$F:$F,0),MATCH(I$2,英雄装备!$1:$1,0)-3),装备属性!$A:$C,3,0),VLOOKUP(INDEX(英雄装备!$F:$BZ,MATCH($H6,英雄装备!$F:$F,0),MATCH(I$2,英雄装备!$1:$1,0)-2),装备属性!$A:$C,3,0),VLOOKUP(INDEX(英雄装备!$F:$BZ,MATCH($H6,英雄装备!$F:$F,0),MATCH(I$2,英雄装备!$1:$1,0)-1),装备属性!$A:$C,3,0),VLOOKUP(INDEX(英雄装备!$F:$BZ,MATCH($H6,英雄装备!$F:$F,0),MATCH(I$2,英雄装备!$1:$1,0)),装备属性!$A:$C,3,0))</f>
        <v>2</v>
      </c>
      <c r="J6" s="51">
        <f>MAX(VLOOKUP(INDEX(英雄装备!$F:$BZ,MATCH($H6,英雄装备!$F:$F,0),MATCH(J$2,英雄装备!$1:$1,0)-5),装备属性!$A:$C,3,0),VLOOKUP(INDEX(英雄装备!$F:$BZ,MATCH($H6,英雄装备!$F:$F,0),MATCH(J$2,英雄装备!$1:$1,0)-4),装备属性!$A:$C,3,0),VLOOKUP(INDEX(英雄装备!$F:$BZ,MATCH($H6,英雄装备!$F:$F,0),MATCH(J$2,英雄装备!$1:$1,0)-3),装备属性!$A:$C,3,0),VLOOKUP(INDEX(英雄装备!$F:$BZ,MATCH($H6,英雄装备!$F:$F,0),MATCH(J$2,英雄装备!$1:$1,0)-2),装备属性!$A:$C,3,0),VLOOKUP(INDEX(英雄装备!$F:$BZ,MATCH($H6,英雄装备!$F:$F,0),MATCH(J$2,英雄装备!$1:$1,0)-1),装备属性!$A:$C,3,0),VLOOKUP(INDEX(英雄装备!$F:$BZ,MATCH($H6,英雄装备!$F:$F,0),MATCH(J$2,英雄装备!$1:$1,0)),装备属性!$A:$C,3,0))</f>
        <v>12</v>
      </c>
      <c r="K6" s="51">
        <f>MAX(VLOOKUP(INDEX(英雄装备!$F:$BZ,MATCH($H6,英雄装备!$F:$F,0),MATCH(K$2,英雄装备!$1:$1,0)-5),装备属性!$A:$C,3,0),VLOOKUP(INDEX(英雄装备!$F:$BZ,MATCH($H6,英雄装备!$F:$F,0),MATCH(K$2,英雄装备!$1:$1,0)-4),装备属性!$A:$C,3,0),VLOOKUP(INDEX(英雄装备!$F:$BZ,MATCH($H6,英雄装备!$F:$F,0),MATCH(K$2,英雄装备!$1:$1,0)-3),装备属性!$A:$C,3,0),VLOOKUP(INDEX(英雄装备!$F:$BZ,MATCH($H6,英雄装备!$F:$F,0),MATCH(K$2,英雄装备!$1:$1,0)-2),装备属性!$A:$C,3,0),VLOOKUP(INDEX(英雄装备!$F:$BZ,MATCH($H6,英雄装备!$F:$F,0),MATCH(K$2,英雄装备!$1:$1,0)-1),装备属性!$A:$C,3,0),VLOOKUP(INDEX(英雄装备!$F:$BZ,MATCH($H6,英雄装备!$F:$F,0),MATCH(K$2,英雄装备!$1:$1,0)),装备属性!$A:$C,3,0))</f>
        <v>21</v>
      </c>
      <c r="L6" s="51">
        <f>MAX(VLOOKUP(INDEX(英雄装备!$F:$BZ,MATCH($H6,英雄装备!$F:$F,0),MATCH(L$2,英雄装备!$1:$1,0)-5),装备属性!$A:$C,3,0),VLOOKUP(INDEX(英雄装备!$F:$BZ,MATCH($H6,英雄装备!$F:$F,0),MATCH(L$2,英雄装备!$1:$1,0)-4),装备属性!$A:$C,3,0),VLOOKUP(INDEX(英雄装备!$F:$BZ,MATCH($H6,英雄装备!$F:$F,0),MATCH(L$2,英雄装备!$1:$1,0)-3),装备属性!$A:$C,3,0),VLOOKUP(INDEX(英雄装备!$F:$BZ,MATCH($H6,英雄装备!$F:$F,0),MATCH(L$2,英雄装备!$1:$1,0)-2),装备属性!$A:$C,3,0),VLOOKUP(INDEX(英雄装备!$F:$BZ,MATCH($H6,英雄装备!$F:$F,0),MATCH(L$2,英雄装备!$1:$1,0)-1),装备属性!$A:$C,3,0),VLOOKUP(INDEX(英雄装备!$F:$BZ,MATCH($H6,英雄装备!$F:$F,0),MATCH(L$2,英雄装备!$1:$1,0)),装备属性!$A:$C,3,0))</f>
        <v>36</v>
      </c>
      <c r="M6" s="51">
        <f>MAX(VLOOKUP(INDEX(英雄装备!$F:$BZ,MATCH($H6,英雄装备!$F:$F,0),MATCH(M$2,英雄装备!$1:$1,0)-5),装备属性!$A:$C,3,0),VLOOKUP(INDEX(英雄装备!$F:$BZ,MATCH($H6,英雄装备!$F:$F,0),MATCH(M$2,英雄装备!$1:$1,0)-4),装备属性!$A:$C,3,0),VLOOKUP(INDEX(英雄装备!$F:$BZ,MATCH($H6,英雄装备!$F:$F,0),MATCH(M$2,英雄装备!$1:$1,0)-3),装备属性!$A:$C,3,0),VLOOKUP(INDEX(英雄装备!$F:$BZ,MATCH($H6,英雄装备!$F:$F,0),MATCH(M$2,英雄装备!$1:$1,0)-2),装备属性!$A:$C,3,0),VLOOKUP(INDEX(英雄装备!$F:$BZ,MATCH($H6,英雄装备!$F:$F,0),MATCH(M$2,英雄装备!$1:$1,0)-1),装备属性!$A:$C,3,0),VLOOKUP(INDEX(英雄装备!$F:$BZ,MATCH($H6,英雄装备!$F:$F,0),MATCH(M$2,英雄装备!$1:$1,0)),装备属性!$A:$C,3,0))</f>
        <v>43</v>
      </c>
      <c r="N6" s="51">
        <f>MAX(VLOOKUP(INDEX(英雄装备!$F:$BZ,MATCH($H6,英雄装备!$F:$F,0),MATCH(N$2,英雄装备!$1:$1,0)-5),装备属性!$A:$C,3,0),VLOOKUP(INDEX(英雄装备!$F:$BZ,MATCH($H6,英雄装备!$F:$F,0),MATCH(N$2,英雄装备!$1:$1,0)-4),装备属性!$A:$C,3,0),VLOOKUP(INDEX(英雄装备!$F:$BZ,MATCH($H6,英雄装备!$F:$F,0),MATCH(N$2,英雄装备!$1:$1,0)-3),装备属性!$A:$C,3,0),VLOOKUP(INDEX(英雄装备!$F:$BZ,MATCH($H6,英雄装备!$F:$F,0),MATCH(N$2,英雄装备!$1:$1,0)-2),装备属性!$A:$C,3,0),VLOOKUP(INDEX(英雄装备!$F:$BZ,MATCH($H6,英雄装备!$F:$F,0),MATCH(N$2,英雄装备!$1:$1,0)-1),装备属性!$A:$C,3,0),VLOOKUP(INDEX(英雄装备!$F:$BZ,MATCH($H6,英雄装备!$F:$F,0),MATCH(N$2,英雄装备!$1:$1,0)),装备属性!$A:$C,3,0))</f>
        <v>52</v>
      </c>
      <c r="O6" s="51">
        <f>MAX(VLOOKUP(INDEX(英雄装备!$F:$BZ,MATCH($H6,英雄装备!$F:$F,0),MATCH(O$2,英雄装备!$1:$1,0)-5),装备属性!$A:$C,3,0),VLOOKUP(INDEX(英雄装备!$F:$BZ,MATCH($H6,英雄装备!$F:$F,0),MATCH(O$2,英雄装备!$1:$1,0)-4),装备属性!$A:$C,3,0),VLOOKUP(INDEX(英雄装备!$F:$BZ,MATCH($H6,英雄装备!$F:$F,0),MATCH(O$2,英雄装备!$1:$1,0)-3),装备属性!$A:$C,3,0),VLOOKUP(INDEX(英雄装备!$F:$BZ,MATCH($H6,英雄装备!$F:$F,0),MATCH(O$2,英雄装备!$1:$1,0)-2),装备属性!$A:$C,3,0),VLOOKUP(INDEX(英雄装备!$F:$BZ,MATCH($H6,英雄装备!$F:$F,0),MATCH(O$2,英雄装备!$1:$1,0)-1),装备属性!$A:$C,3,0),VLOOKUP(INDEX(英雄装备!$F:$BZ,MATCH($H6,英雄装备!$F:$F,0),MATCH(O$2,英雄装备!$1:$1,0)),装备属性!$A:$C,3,0))</f>
        <v>59</v>
      </c>
      <c r="P6" s="51">
        <f>MAX(VLOOKUP(INDEX(英雄装备!$F:$BZ,MATCH($H6,英雄装备!$F:$F,0),MATCH(P$2,英雄装备!$1:$1,0)-5),装备属性!$A:$C,3,0),VLOOKUP(INDEX(英雄装备!$F:$BZ,MATCH($H6,英雄装备!$F:$F,0),MATCH(P$2,英雄装备!$1:$1,0)-4),装备属性!$A:$C,3,0),VLOOKUP(INDEX(英雄装备!$F:$BZ,MATCH($H6,英雄装备!$F:$F,0),MATCH(P$2,英雄装备!$1:$1,0)-3),装备属性!$A:$C,3,0),VLOOKUP(INDEX(英雄装备!$F:$BZ,MATCH($H6,英雄装备!$F:$F,0),MATCH(P$2,英雄装备!$1:$1,0)-2),装备属性!$A:$C,3,0),VLOOKUP(INDEX(英雄装备!$F:$BZ,MATCH($H6,英雄装备!$F:$F,0),MATCH(P$2,英雄装备!$1:$1,0)-1),装备属性!$A:$C,3,0),VLOOKUP(INDEX(英雄装备!$F:$BZ,MATCH($H6,英雄装备!$F:$F,0),MATCH(P$2,英雄装备!$1:$1,0)),装备属性!$A:$C,3,0))</f>
        <v>72</v>
      </c>
      <c r="Q6" s="51">
        <f>MAX(VLOOKUP(INDEX(英雄装备!$F:$BZ,MATCH($H6,英雄装备!$F:$F,0),MATCH(Q$2,英雄装备!$1:$1,0)-5),装备属性!$A:$C,3,0),VLOOKUP(INDEX(英雄装备!$F:$BZ,MATCH($H6,英雄装备!$F:$F,0),MATCH(Q$2,英雄装备!$1:$1,0)-4),装备属性!$A:$C,3,0),VLOOKUP(INDEX(英雄装备!$F:$BZ,MATCH($H6,英雄装备!$F:$F,0),MATCH(Q$2,英雄装备!$1:$1,0)-3),装备属性!$A:$C,3,0),VLOOKUP(INDEX(英雄装备!$F:$BZ,MATCH($H6,英雄装备!$F:$F,0),MATCH(Q$2,英雄装备!$1:$1,0)-2),装备属性!$A:$C,3,0),VLOOKUP(INDEX(英雄装备!$F:$BZ,MATCH($H6,英雄装备!$F:$F,0),MATCH(Q$2,英雄装备!$1:$1,0)-1),装备属性!$A:$C,3,0),VLOOKUP(INDEX(英雄装备!$F:$BZ,MATCH($H6,英雄装备!$F:$F,0),MATCH(Q$2,英雄装备!$1:$1,0)),装备属性!$A:$C,3,0))</f>
        <v>80</v>
      </c>
      <c r="R6" s="51">
        <f>MAX(VLOOKUP(INDEX(英雄装备!$F:$BZ,MATCH($H6,英雄装备!$F:$F,0),MATCH(R$2,英雄装备!$1:$1,0)-5),装备属性!$A:$C,3,0),VLOOKUP(INDEX(英雄装备!$F:$BZ,MATCH($H6,英雄装备!$F:$F,0),MATCH(R$2,英雄装备!$1:$1,0)-4),装备属性!$A:$C,3,0),VLOOKUP(INDEX(英雄装备!$F:$BZ,MATCH($H6,英雄装备!$F:$F,0),MATCH(R$2,英雄装备!$1:$1,0)-3),装备属性!$A:$C,3,0),VLOOKUP(INDEX(英雄装备!$F:$BZ,MATCH($H6,英雄装备!$F:$F,0),MATCH(R$2,英雄装备!$1:$1,0)-2),装备属性!$A:$C,3,0),VLOOKUP(INDEX(英雄装备!$F:$BZ,MATCH($H6,英雄装备!$F:$F,0),MATCH(R$2,英雄装备!$1:$1,0)-1),装备属性!$A:$C,3,0),VLOOKUP(INDEX(英雄装备!$F:$BZ,MATCH($H6,英雄装备!$F:$F,0),MATCH(R$2,英雄装备!$1:$1,0)),装备属性!$A:$C,3,0))</f>
        <v>80</v>
      </c>
      <c r="S6" s="51">
        <f>MAX(VLOOKUP(INDEX(英雄装备!$F:$BZ,MATCH($H6,英雄装备!$F:$F,0),MATCH(S$2,英雄装备!$1:$1,0)-5),装备属性!$A:$C,3,0),VLOOKUP(INDEX(英雄装备!$F:$BZ,MATCH($H6,英雄装备!$F:$F,0),MATCH(S$2,英雄装备!$1:$1,0)-4),装备属性!$A:$C,3,0),VLOOKUP(INDEX(英雄装备!$F:$BZ,MATCH($H6,英雄装备!$F:$F,0),MATCH(S$2,英雄装备!$1:$1,0)-3),装备属性!$A:$C,3,0),VLOOKUP(INDEX(英雄装备!$F:$BZ,MATCH($H6,英雄装备!$F:$F,0),MATCH(S$2,英雄装备!$1:$1,0)-2),装备属性!$A:$C,3,0),VLOOKUP(INDEX(英雄装备!$F:$BZ,MATCH($H6,英雄装备!$F:$F,0),MATCH(S$2,英雄装备!$1:$1,0)-1),装备属性!$A:$C,3,0),VLOOKUP(INDEX(英雄装备!$F:$BZ,MATCH($H6,英雄装备!$F:$F,0),MATCH(S$2,英雄装备!$1:$1,0)),装备属性!$A:$C,3,0))</f>
        <v>84</v>
      </c>
      <c r="T6" s="51">
        <f>MAX(VLOOKUP(INDEX(英雄装备!$F:$BZ,MATCH($H6,英雄装备!$F:$F,0),MATCH(T$2,英雄装备!$1:$1,0)-5),装备属性!$A:$C,3,0),VLOOKUP(INDEX(英雄装备!$F:$BZ,MATCH($H6,英雄装备!$F:$F,0),MATCH(T$2,英雄装备!$1:$1,0)-4),装备属性!$A:$C,3,0),VLOOKUP(INDEX(英雄装备!$F:$BZ,MATCH($H6,英雄装备!$F:$F,0),MATCH(T$2,英雄装备!$1:$1,0)-3),装备属性!$A:$C,3,0),VLOOKUP(INDEX(英雄装备!$F:$BZ,MATCH($H6,英雄装备!$F:$F,0),MATCH(T$2,英雄装备!$1:$1,0)-2),装备属性!$A:$C,3,0),VLOOKUP(INDEX(英雄装备!$F:$BZ,MATCH($H6,英雄装备!$F:$F,0),MATCH(T$2,英雄装备!$1:$1,0)-1),装备属性!$A:$C,3,0))</f>
        <v>87</v>
      </c>
      <c r="W6" s="151" t="str">
        <f>IF($V$2&lt;6,"","蓝+2")</f>
        <v>蓝+2</v>
      </c>
      <c r="X6" s="151" t="str">
        <f>VLOOKUP(英雄对比!$G$2,英雄装备!$F:$BZ,32,0)</f>
        <v>分身斧</v>
      </c>
      <c r="Y6" s="151" t="str">
        <f>VLOOKUP(英雄对比!$G$2,英雄装备!$F:$BZ,33,0)</f>
        <v>暗灭</v>
      </c>
      <c r="Z6" s="151" t="str">
        <f>VLOOKUP(英雄对比!$G$2,英雄装备!$F:$BZ,34,0)</f>
        <v>双刀</v>
      </c>
      <c r="AA6" s="151" t="str">
        <f>VLOOKUP(英雄对比!$G$2,英雄装备!$F:$BZ,35,0)</f>
        <v>板甲</v>
      </c>
      <c r="AB6" s="151" t="str">
        <f>VLOOKUP(英雄对比!$G$2,英雄装备!$F:$BZ,36,0)</f>
        <v>祭品</v>
      </c>
      <c r="AC6" s="151" t="str">
        <f>VLOOKUP(英雄对比!$G$2,英雄装备!$F:$BZ,37,0)</f>
        <v>相位鞋</v>
      </c>
      <c r="AE6" s="48" t="s">
        <v>1100</v>
      </c>
      <c r="AG6" s="232" t="s">
        <v>1076</v>
      </c>
      <c r="AH6" s="232" t="s">
        <v>203</v>
      </c>
      <c r="AI6" s="232" t="s">
        <v>3</v>
      </c>
      <c r="AJ6" s="232">
        <f>SUM(AH111:AH116,AH119:AH124,AJ133)</f>
        <v>86</v>
      </c>
      <c r="AK6" s="232" t="s">
        <v>4</v>
      </c>
      <c r="AL6" s="232">
        <f>SUM(AI111:AI116,AI119:AI124,AL133)</f>
        <v>86</v>
      </c>
      <c r="AM6" s="232" t="s">
        <v>5</v>
      </c>
      <c r="AN6" s="232">
        <f>SUM(AJ111:AJ116,AJ119:AJ124,AN133)</f>
        <v>86</v>
      </c>
      <c r="AO6" s="232" t="s">
        <v>1098</v>
      </c>
      <c r="AP6" s="232">
        <f>IF(英雄对比!$N$2="力量",AJ6,IF(英雄对比!$N$2="敏捷",AL6,AN6))</f>
        <v>86</v>
      </c>
    </row>
    <row r="7" spans="1:52">
      <c r="B7" s="151" t="str">
        <f>英雄初始!A8</f>
        <v>神灵武士</v>
      </c>
      <c r="D7" s="48" t="s">
        <v>1257</v>
      </c>
      <c r="E7" s="151" t="str">
        <f>VLOOKUP(英雄对比!$G$2,英雄初始!$A:$L,2,0)</f>
        <v>中排</v>
      </c>
      <c r="G7" s="233"/>
      <c r="H7" s="50" t="s">
        <v>161</v>
      </c>
      <c r="I7" s="51">
        <f>MAX(VLOOKUP(INDEX(英雄装备!$F:$BZ,MATCH($H7,英雄装备!$F:$F,0),MATCH(I$2,英雄装备!$1:$1,0)-5),装备属性!$A:$C,3,0),VLOOKUP(INDEX(英雄装备!$F:$BZ,MATCH($H7,英雄装备!$F:$F,0),MATCH(I$2,英雄装备!$1:$1,0)-4),装备属性!$A:$C,3,0),VLOOKUP(INDEX(英雄装备!$F:$BZ,MATCH($H7,英雄装备!$F:$F,0),MATCH(I$2,英雄装备!$1:$1,0)-3),装备属性!$A:$C,3,0),VLOOKUP(INDEX(英雄装备!$F:$BZ,MATCH($H7,英雄装备!$F:$F,0),MATCH(I$2,英雄装备!$1:$1,0)-2),装备属性!$A:$C,3,0),VLOOKUP(INDEX(英雄装备!$F:$BZ,MATCH($H7,英雄装备!$F:$F,0),MATCH(I$2,英雄装备!$1:$1,0)-1),装备属性!$A:$C,3,0),VLOOKUP(INDEX(英雄装备!$F:$BZ,MATCH($H7,英雄装备!$F:$F,0),MATCH(I$2,英雄装备!$1:$1,0)),装备属性!$A:$C,3,0))</f>
        <v>2</v>
      </c>
      <c r="J7" s="51">
        <f>MAX(VLOOKUP(INDEX(英雄装备!$F:$BZ,MATCH($H7,英雄装备!$F:$F,0),MATCH(J$2,英雄装备!$1:$1,0)-5),装备属性!$A:$C,3,0),VLOOKUP(INDEX(英雄装备!$F:$BZ,MATCH($H7,英雄装备!$F:$F,0),MATCH(J$2,英雄装备!$1:$1,0)-4),装备属性!$A:$C,3,0),VLOOKUP(INDEX(英雄装备!$F:$BZ,MATCH($H7,英雄装备!$F:$F,0),MATCH(J$2,英雄装备!$1:$1,0)-3),装备属性!$A:$C,3,0),VLOOKUP(INDEX(英雄装备!$F:$BZ,MATCH($H7,英雄装备!$F:$F,0),MATCH(J$2,英雄装备!$1:$1,0)-2),装备属性!$A:$C,3,0),VLOOKUP(INDEX(英雄装备!$F:$BZ,MATCH($H7,英雄装备!$F:$F,0),MATCH(J$2,英雄装备!$1:$1,0)-1),装备属性!$A:$C,3,0),VLOOKUP(INDEX(英雄装备!$F:$BZ,MATCH($H7,英雄装备!$F:$F,0),MATCH(J$2,英雄装备!$1:$1,0)),装备属性!$A:$C,3,0))</f>
        <v>13</v>
      </c>
      <c r="K7" s="51">
        <f>MAX(VLOOKUP(INDEX(英雄装备!$F:$BZ,MATCH($H7,英雄装备!$F:$F,0),MATCH(K$2,英雄装备!$1:$1,0)-5),装备属性!$A:$C,3,0),VLOOKUP(INDEX(英雄装备!$F:$BZ,MATCH($H7,英雄装备!$F:$F,0),MATCH(K$2,英雄装备!$1:$1,0)-4),装备属性!$A:$C,3,0),VLOOKUP(INDEX(英雄装备!$F:$BZ,MATCH($H7,英雄装备!$F:$F,0),MATCH(K$2,英雄装备!$1:$1,0)-3),装备属性!$A:$C,3,0),VLOOKUP(INDEX(英雄装备!$F:$BZ,MATCH($H7,英雄装备!$F:$F,0),MATCH(K$2,英雄装备!$1:$1,0)-2),装备属性!$A:$C,3,0),VLOOKUP(INDEX(英雄装备!$F:$BZ,MATCH($H7,英雄装备!$F:$F,0),MATCH(K$2,英雄装备!$1:$1,0)-1),装备属性!$A:$C,3,0),VLOOKUP(INDEX(英雄装备!$F:$BZ,MATCH($H7,英雄装备!$F:$F,0),MATCH(K$2,英雄装备!$1:$1,0)),装备属性!$A:$C,3,0))</f>
        <v>18</v>
      </c>
      <c r="L7" s="51">
        <f>MAX(VLOOKUP(INDEX(英雄装备!$F:$BZ,MATCH($H7,英雄装备!$F:$F,0),MATCH(L$2,英雄装备!$1:$1,0)-5),装备属性!$A:$C,3,0),VLOOKUP(INDEX(英雄装备!$F:$BZ,MATCH($H7,英雄装备!$F:$F,0),MATCH(L$2,英雄装备!$1:$1,0)-4),装备属性!$A:$C,3,0),VLOOKUP(INDEX(英雄装备!$F:$BZ,MATCH($H7,英雄装备!$F:$F,0),MATCH(L$2,英雄装备!$1:$1,0)-3),装备属性!$A:$C,3,0),VLOOKUP(INDEX(英雄装备!$F:$BZ,MATCH($H7,英雄装备!$F:$F,0),MATCH(L$2,英雄装备!$1:$1,0)-2),装备属性!$A:$C,3,0),VLOOKUP(INDEX(英雄装备!$F:$BZ,MATCH($H7,英雄装备!$F:$F,0),MATCH(L$2,英雄装备!$1:$1,0)-1),装备属性!$A:$C,3,0),VLOOKUP(INDEX(英雄装备!$F:$BZ,MATCH($H7,英雄装备!$F:$F,0),MATCH(L$2,英雄装备!$1:$1,0)),装备属性!$A:$C,3,0))</f>
        <v>32</v>
      </c>
      <c r="M7" s="51">
        <f>MAX(VLOOKUP(INDEX(英雄装备!$F:$BZ,MATCH($H7,英雄装备!$F:$F,0),MATCH(M$2,英雄装备!$1:$1,0)-5),装备属性!$A:$C,3,0),VLOOKUP(INDEX(英雄装备!$F:$BZ,MATCH($H7,英雄装备!$F:$F,0),MATCH(M$2,英雄装备!$1:$1,0)-4),装备属性!$A:$C,3,0),VLOOKUP(INDEX(英雄装备!$F:$BZ,MATCH($H7,英雄装备!$F:$F,0),MATCH(M$2,英雄装备!$1:$1,0)-3),装备属性!$A:$C,3,0),VLOOKUP(INDEX(英雄装备!$F:$BZ,MATCH($H7,英雄装备!$F:$F,0),MATCH(M$2,英雄装备!$1:$1,0)-2),装备属性!$A:$C,3,0),VLOOKUP(INDEX(英雄装备!$F:$BZ,MATCH($H7,英雄装备!$F:$F,0),MATCH(M$2,英雄装备!$1:$1,0)-1),装备属性!$A:$C,3,0),VLOOKUP(INDEX(英雄装备!$F:$BZ,MATCH($H7,英雄装备!$F:$F,0),MATCH(M$2,英雄装备!$1:$1,0)),装备属性!$A:$C,3,0))</f>
        <v>43</v>
      </c>
      <c r="N7" s="51">
        <f>MAX(VLOOKUP(INDEX(英雄装备!$F:$BZ,MATCH($H7,英雄装备!$F:$F,0),MATCH(N$2,英雄装备!$1:$1,0)-5),装备属性!$A:$C,3,0),VLOOKUP(INDEX(英雄装备!$F:$BZ,MATCH($H7,英雄装备!$F:$F,0),MATCH(N$2,英雄装备!$1:$1,0)-4),装备属性!$A:$C,3,0),VLOOKUP(INDEX(英雄装备!$F:$BZ,MATCH($H7,英雄装备!$F:$F,0),MATCH(N$2,英雄装备!$1:$1,0)-3),装备属性!$A:$C,3,0),VLOOKUP(INDEX(英雄装备!$F:$BZ,MATCH($H7,英雄装备!$F:$F,0),MATCH(N$2,英雄装备!$1:$1,0)-2),装备属性!$A:$C,3,0),VLOOKUP(INDEX(英雄装备!$F:$BZ,MATCH($H7,英雄装备!$F:$F,0),MATCH(N$2,英雄装备!$1:$1,0)-1),装备属性!$A:$C,3,0),VLOOKUP(INDEX(英雄装备!$F:$BZ,MATCH($H7,英雄装备!$F:$F,0),MATCH(N$2,英雄装备!$1:$1,0)),装备属性!$A:$C,3,0))</f>
        <v>51</v>
      </c>
      <c r="O7" s="51">
        <f>MAX(VLOOKUP(INDEX(英雄装备!$F:$BZ,MATCH($H7,英雄装备!$F:$F,0),MATCH(O$2,英雄装备!$1:$1,0)-5),装备属性!$A:$C,3,0),VLOOKUP(INDEX(英雄装备!$F:$BZ,MATCH($H7,英雄装备!$F:$F,0),MATCH(O$2,英雄装备!$1:$1,0)-4),装备属性!$A:$C,3,0),VLOOKUP(INDEX(英雄装备!$F:$BZ,MATCH($H7,英雄装备!$F:$F,0),MATCH(O$2,英雄装备!$1:$1,0)-3),装备属性!$A:$C,3,0),VLOOKUP(INDEX(英雄装备!$F:$BZ,MATCH($H7,英雄装备!$F:$F,0),MATCH(O$2,英雄装备!$1:$1,0)-2),装备属性!$A:$C,3,0),VLOOKUP(INDEX(英雄装备!$F:$BZ,MATCH($H7,英雄装备!$F:$F,0),MATCH(O$2,英雄装备!$1:$1,0)-1),装备属性!$A:$C,3,0),VLOOKUP(INDEX(英雄装备!$F:$BZ,MATCH($H7,英雄装备!$F:$F,0),MATCH(O$2,英雄装备!$1:$1,0)),装备属性!$A:$C,3,0))</f>
        <v>64</v>
      </c>
      <c r="P7" s="51">
        <f>MAX(VLOOKUP(INDEX(英雄装备!$F:$BZ,MATCH($H7,英雄装备!$F:$F,0),MATCH(P$2,英雄装备!$1:$1,0)-5),装备属性!$A:$C,3,0),VLOOKUP(INDEX(英雄装备!$F:$BZ,MATCH($H7,英雄装备!$F:$F,0),MATCH(P$2,英雄装备!$1:$1,0)-4),装备属性!$A:$C,3,0),VLOOKUP(INDEX(英雄装备!$F:$BZ,MATCH($H7,英雄装备!$F:$F,0),MATCH(P$2,英雄装备!$1:$1,0)-3),装备属性!$A:$C,3,0),VLOOKUP(INDEX(英雄装备!$F:$BZ,MATCH($H7,英雄装备!$F:$F,0),MATCH(P$2,英雄装备!$1:$1,0)-2),装备属性!$A:$C,3,0),VLOOKUP(INDEX(英雄装备!$F:$BZ,MATCH($H7,英雄装备!$F:$F,0),MATCH(P$2,英雄装备!$1:$1,0)-1),装备属性!$A:$C,3,0),VLOOKUP(INDEX(英雄装备!$F:$BZ,MATCH($H7,英雄装备!$F:$F,0),MATCH(P$2,英雄装备!$1:$1,0)),装备属性!$A:$C,3,0))</f>
        <v>72</v>
      </c>
      <c r="Q7" s="51">
        <f>MAX(VLOOKUP(INDEX(英雄装备!$F:$BZ,MATCH($H7,英雄装备!$F:$F,0),MATCH(Q$2,英雄装备!$1:$1,0)-5),装备属性!$A:$C,3,0),VLOOKUP(INDEX(英雄装备!$F:$BZ,MATCH($H7,英雄装备!$F:$F,0),MATCH(Q$2,英雄装备!$1:$1,0)-4),装备属性!$A:$C,3,0),VLOOKUP(INDEX(英雄装备!$F:$BZ,MATCH($H7,英雄装备!$F:$F,0),MATCH(Q$2,英雄装备!$1:$1,0)-3),装备属性!$A:$C,3,0),VLOOKUP(INDEX(英雄装备!$F:$BZ,MATCH($H7,英雄装备!$F:$F,0),MATCH(Q$2,英雄装备!$1:$1,0)-2),装备属性!$A:$C,3,0),VLOOKUP(INDEX(英雄装备!$F:$BZ,MATCH($H7,英雄装备!$F:$F,0),MATCH(Q$2,英雄装备!$1:$1,0)-1),装备属性!$A:$C,3,0),VLOOKUP(INDEX(英雄装备!$F:$BZ,MATCH($H7,英雄装备!$F:$F,0),MATCH(Q$2,英雄装备!$1:$1,0)),装备属性!$A:$C,3,0))</f>
        <v>78</v>
      </c>
      <c r="R7" s="51">
        <f>MAX(VLOOKUP(INDEX(英雄装备!$F:$BZ,MATCH($H7,英雄装备!$F:$F,0),MATCH(R$2,英雄装备!$1:$1,0)-5),装备属性!$A:$C,3,0),VLOOKUP(INDEX(英雄装备!$F:$BZ,MATCH($H7,英雄装备!$F:$F,0),MATCH(R$2,英雄装备!$1:$1,0)-4),装备属性!$A:$C,3,0),VLOOKUP(INDEX(英雄装备!$F:$BZ,MATCH($H7,英雄装备!$F:$F,0),MATCH(R$2,英雄装备!$1:$1,0)-3),装备属性!$A:$C,3,0),VLOOKUP(INDEX(英雄装备!$F:$BZ,MATCH($H7,英雄装备!$F:$F,0),MATCH(R$2,英雄装备!$1:$1,0)-2),装备属性!$A:$C,3,0),VLOOKUP(INDEX(英雄装备!$F:$BZ,MATCH($H7,英雄装备!$F:$F,0),MATCH(R$2,英雄装备!$1:$1,0)-1),装备属性!$A:$C,3,0),VLOOKUP(INDEX(英雄装备!$F:$BZ,MATCH($H7,英雄装备!$F:$F,0),MATCH(R$2,英雄装备!$1:$1,0)),装备属性!$A:$C,3,0))</f>
        <v>80</v>
      </c>
      <c r="S7" s="51">
        <f>MAX(VLOOKUP(INDEX(英雄装备!$F:$BZ,MATCH($H7,英雄装备!$F:$F,0),MATCH(S$2,英雄装备!$1:$1,0)-5),装备属性!$A:$C,3,0),VLOOKUP(INDEX(英雄装备!$F:$BZ,MATCH($H7,英雄装备!$F:$F,0),MATCH(S$2,英雄装备!$1:$1,0)-4),装备属性!$A:$C,3,0),VLOOKUP(INDEX(英雄装备!$F:$BZ,MATCH($H7,英雄装备!$F:$F,0),MATCH(S$2,英雄装备!$1:$1,0)-3),装备属性!$A:$C,3,0),VLOOKUP(INDEX(英雄装备!$F:$BZ,MATCH($H7,英雄装备!$F:$F,0),MATCH(S$2,英雄装备!$1:$1,0)-2),装备属性!$A:$C,3,0),VLOOKUP(INDEX(英雄装备!$F:$BZ,MATCH($H7,英雄装备!$F:$F,0),MATCH(S$2,英雄装备!$1:$1,0)-1),装备属性!$A:$C,3,0),VLOOKUP(INDEX(英雄装备!$F:$BZ,MATCH($H7,英雄装备!$F:$F,0),MATCH(S$2,英雄装备!$1:$1,0)),装备属性!$A:$C,3,0))</f>
        <v>85</v>
      </c>
      <c r="T7" s="51">
        <f>MAX(VLOOKUP(INDEX(英雄装备!$F:$BZ,MATCH($H7,英雄装备!$F:$F,0),MATCH(T$2,英雄装备!$1:$1,0)-5),装备属性!$A:$C,3,0),VLOOKUP(INDEX(英雄装备!$F:$BZ,MATCH($H7,英雄装备!$F:$F,0),MATCH(T$2,英雄装备!$1:$1,0)-4),装备属性!$A:$C,3,0),VLOOKUP(INDEX(英雄装备!$F:$BZ,MATCH($H7,英雄装备!$F:$F,0),MATCH(T$2,英雄装备!$1:$1,0)-3),装备属性!$A:$C,3,0),VLOOKUP(INDEX(英雄装备!$F:$BZ,MATCH($H7,英雄装备!$F:$F,0),MATCH(T$2,英雄装备!$1:$1,0)-2),装备属性!$A:$C,3,0),VLOOKUP(INDEX(英雄装备!$F:$BZ,MATCH($H7,英雄装备!$F:$F,0),MATCH(T$2,英雄装备!$1:$1,0)-1),装备属性!$A:$C,3,0))</f>
        <v>87</v>
      </c>
      <c r="W7" s="151" t="str">
        <f>IF($V$2&lt;7,"","紫")</f>
        <v>紫</v>
      </c>
      <c r="X7" s="151" t="str">
        <f>VLOOKUP(英雄对比!$G$2,英雄装备!$F:$BZ,38,0)</f>
        <v>魔王刀锋</v>
      </c>
      <c r="Y7" s="151" t="str">
        <f>VLOOKUP(英雄对比!$G$2,英雄装备!$F:$BZ,39,0)</f>
        <v>强袭</v>
      </c>
      <c r="Z7" s="151" t="str">
        <f>VLOOKUP(英雄对比!$G$2,英雄装备!$F:$BZ,40,0)</f>
        <v>林肯</v>
      </c>
      <c r="AA7" s="151" t="str">
        <f>VLOOKUP(英雄对比!$G$2,英雄装备!$F:$BZ,41,0)</f>
        <v>冲锋盾</v>
      </c>
      <c r="AB7" s="151" t="str">
        <f>VLOOKUP(英雄对比!$G$2,英雄装备!$F:$BZ,42,0)</f>
        <v>圣殿指环</v>
      </c>
      <c r="AC7" s="151" t="str">
        <f>VLOOKUP(英雄对比!$G$2,英雄装备!$F:$BZ,43,0)</f>
        <v>飞鞋</v>
      </c>
      <c r="AE7" s="151" t="s">
        <v>204</v>
      </c>
      <c r="AF7" s="151">
        <f>VLOOKUP(英雄对比!$G$2,英雄初始!$A:$K,3,0)</f>
        <v>17</v>
      </c>
      <c r="AG7" s="232"/>
      <c r="AH7" s="232"/>
      <c r="AI7" s="232"/>
      <c r="AJ7" s="232"/>
      <c r="AK7" s="232"/>
      <c r="AL7" s="232"/>
      <c r="AM7" s="232"/>
      <c r="AN7" s="232"/>
      <c r="AO7" s="232"/>
      <c r="AP7" s="232"/>
    </row>
    <row r="8" spans="1:52">
      <c r="B8" s="151" t="str">
        <f>英雄初始!A9</f>
        <v>神牛</v>
      </c>
      <c r="G8" s="233"/>
      <c r="H8" s="50" t="s">
        <v>162</v>
      </c>
      <c r="I8" s="51">
        <f>MAX(VLOOKUP(INDEX(英雄装备!$F:$BZ,MATCH($H8,英雄装备!$F:$F,0),MATCH(I$2,英雄装备!$1:$1,0)-5),装备属性!$A:$C,3,0),VLOOKUP(INDEX(英雄装备!$F:$BZ,MATCH($H8,英雄装备!$F:$F,0),MATCH(I$2,英雄装备!$1:$1,0)-4),装备属性!$A:$C,3,0),VLOOKUP(INDEX(英雄装备!$F:$BZ,MATCH($H8,英雄装备!$F:$F,0),MATCH(I$2,英雄装备!$1:$1,0)-3),装备属性!$A:$C,3,0),VLOOKUP(INDEX(英雄装备!$F:$BZ,MATCH($H8,英雄装备!$F:$F,0),MATCH(I$2,英雄装备!$1:$1,0)-2),装备属性!$A:$C,3,0),VLOOKUP(INDEX(英雄装备!$F:$BZ,MATCH($H8,英雄装备!$F:$F,0),MATCH(I$2,英雄装备!$1:$1,0)-1),装备属性!$A:$C,3,0),VLOOKUP(INDEX(英雄装备!$F:$BZ,MATCH($H8,英雄装备!$F:$F,0),MATCH(I$2,英雄装备!$1:$1,0)),装备属性!$A:$C,3,0))</f>
        <v>2</v>
      </c>
      <c r="J8" s="51">
        <f>MAX(VLOOKUP(INDEX(英雄装备!$F:$BZ,MATCH($H8,英雄装备!$F:$F,0),MATCH(J$2,英雄装备!$1:$1,0)-5),装备属性!$A:$C,3,0),VLOOKUP(INDEX(英雄装备!$F:$BZ,MATCH($H8,英雄装备!$F:$F,0),MATCH(J$2,英雄装备!$1:$1,0)-4),装备属性!$A:$C,3,0),VLOOKUP(INDEX(英雄装备!$F:$BZ,MATCH($H8,英雄装备!$F:$F,0),MATCH(J$2,英雄装备!$1:$1,0)-3),装备属性!$A:$C,3,0),VLOOKUP(INDEX(英雄装备!$F:$BZ,MATCH($H8,英雄装备!$F:$F,0),MATCH(J$2,英雄装备!$1:$1,0)-2),装备属性!$A:$C,3,0),VLOOKUP(INDEX(英雄装备!$F:$BZ,MATCH($H8,英雄装备!$F:$F,0),MATCH(J$2,英雄装备!$1:$1,0)-1),装备属性!$A:$C,3,0),VLOOKUP(INDEX(英雄装备!$F:$BZ,MATCH($H8,英雄装备!$F:$F,0),MATCH(J$2,英雄装备!$1:$1,0)),装备属性!$A:$C,3,0))</f>
        <v>10</v>
      </c>
      <c r="K8" s="51">
        <f>MAX(VLOOKUP(INDEX(英雄装备!$F:$BZ,MATCH($H8,英雄装备!$F:$F,0),MATCH(K$2,英雄装备!$1:$1,0)-5),装备属性!$A:$C,3,0),VLOOKUP(INDEX(英雄装备!$F:$BZ,MATCH($H8,英雄装备!$F:$F,0),MATCH(K$2,英雄装备!$1:$1,0)-4),装备属性!$A:$C,3,0),VLOOKUP(INDEX(英雄装备!$F:$BZ,MATCH($H8,英雄装备!$F:$F,0),MATCH(K$2,英雄装备!$1:$1,0)-3),装备属性!$A:$C,3,0),VLOOKUP(INDEX(英雄装备!$F:$BZ,MATCH($H8,英雄装备!$F:$F,0),MATCH(K$2,英雄装备!$1:$1,0)-2),装备属性!$A:$C,3,0),VLOOKUP(INDEX(英雄装备!$F:$BZ,MATCH($H8,英雄装备!$F:$F,0),MATCH(K$2,英雄装备!$1:$1,0)-1),装备属性!$A:$C,3,0),VLOOKUP(INDEX(英雄装备!$F:$BZ,MATCH($H8,英雄装备!$F:$F,0),MATCH(K$2,英雄装备!$1:$1,0)),装备属性!$A:$C,3,0))</f>
        <v>21</v>
      </c>
      <c r="L8" s="51">
        <f>MAX(VLOOKUP(INDEX(英雄装备!$F:$BZ,MATCH($H8,英雄装备!$F:$F,0),MATCH(L$2,英雄装备!$1:$1,0)-5),装备属性!$A:$C,3,0),VLOOKUP(INDEX(英雄装备!$F:$BZ,MATCH($H8,英雄装备!$F:$F,0),MATCH(L$2,英雄装备!$1:$1,0)-4),装备属性!$A:$C,3,0),VLOOKUP(INDEX(英雄装备!$F:$BZ,MATCH($H8,英雄装备!$F:$F,0),MATCH(L$2,英雄装备!$1:$1,0)-3),装备属性!$A:$C,3,0),VLOOKUP(INDEX(英雄装备!$F:$BZ,MATCH($H8,英雄装备!$F:$F,0),MATCH(L$2,英雄装备!$1:$1,0)-2),装备属性!$A:$C,3,0),VLOOKUP(INDEX(英雄装备!$F:$BZ,MATCH($H8,英雄装备!$F:$F,0),MATCH(L$2,英雄装备!$1:$1,0)-1),装备属性!$A:$C,3,0),VLOOKUP(INDEX(英雄装备!$F:$BZ,MATCH($H8,英雄装备!$F:$F,0),MATCH(L$2,英雄装备!$1:$1,0)),装备属性!$A:$C,3,0))</f>
        <v>35</v>
      </c>
      <c r="M8" s="51">
        <f>MAX(VLOOKUP(INDEX(英雄装备!$F:$BZ,MATCH($H8,英雄装备!$F:$F,0),MATCH(M$2,英雄装备!$1:$1,0)-5),装备属性!$A:$C,3,0),VLOOKUP(INDEX(英雄装备!$F:$BZ,MATCH($H8,英雄装备!$F:$F,0),MATCH(M$2,英雄装备!$1:$1,0)-4),装备属性!$A:$C,3,0),VLOOKUP(INDEX(英雄装备!$F:$BZ,MATCH($H8,英雄装备!$F:$F,0),MATCH(M$2,英雄装备!$1:$1,0)-3),装备属性!$A:$C,3,0),VLOOKUP(INDEX(英雄装备!$F:$BZ,MATCH($H8,英雄装备!$F:$F,0),MATCH(M$2,英雄装备!$1:$1,0)-2),装备属性!$A:$C,3,0),VLOOKUP(INDEX(英雄装备!$F:$BZ,MATCH($H8,英雄装备!$F:$F,0),MATCH(M$2,英雄装备!$1:$1,0)-1),装备属性!$A:$C,3,0),VLOOKUP(INDEX(英雄装备!$F:$BZ,MATCH($H8,英雄装备!$F:$F,0),MATCH(M$2,英雄装备!$1:$1,0)),装备属性!$A:$C,3,0))</f>
        <v>41</v>
      </c>
      <c r="N8" s="51">
        <f>MAX(VLOOKUP(INDEX(英雄装备!$F:$BZ,MATCH($H8,英雄装备!$F:$F,0),MATCH(N$2,英雄装备!$1:$1,0)-5),装备属性!$A:$C,3,0),VLOOKUP(INDEX(英雄装备!$F:$BZ,MATCH($H8,英雄装备!$F:$F,0),MATCH(N$2,英雄装备!$1:$1,0)-4),装备属性!$A:$C,3,0),VLOOKUP(INDEX(英雄装备!$F:$BZ,MATCH($H8,英雄装备!$F:$F,0),MATCH(N$2,英雄装备!$1:$1,0)-3),装备属性!$A:$C,3,0),VLOOKUP(INDEX(英雄装备!$F:$BZ,MATCH($H8,英雄装备!$F:$F,0),MATCH(N$2,英雄装备!$1:$1,0)-2),装备属性!$A:$C,3,0),VLOOKUP(INDEX(英雄装备!$F:$BZ,MATCH($H8,英雄装备!$F:$F,0),MATCH(N$2,英雄装备!$1:$1,0)-1),装备属性!$A:$C,3,0),VLOOKUP(INDEX(英雄装备!$F:$BZ,MATCH($H8,英雄装备!$F:$F,0),MATCH(N$2,英雄装备!$1:$1,0)),装备属性!$A:$C,3,0))</f>
        <v>52</v>
      </c>
      <c r="O8" s="51">
        <f>MAX(VLOOKUP(INDEX(英雄装备!$F:$BZ,MATCH($H8,英雄装备!$F:$F,0),MATCH(O$2,英雄装备!$1:$1,0)-5),装备属性!$A:$C,3,0),VLOOKUP(INDEX(英雄装备!$F:$BZ,MATCH($H8,英雄装备!$F:$F,0),MATCH(O$2,英雄装备!$1:$1,0)-4),装备属性!$A:$C,3,0),VLOOKUP(INDEX(英雄装备!$F:$BZ,MATCH($H8,英雄装备!$F:$F,0),MATCH(O$2,英雄装备!$1:$1,0)-3),装备属性!$A:$C,3,0),VLOOKUP(INDEX(英雄装备!$F:$BZ,MATCH($H8,英雄装备!$F:$F,0),MATCH(O$2,英雄装备!$1:$1,0)-2),装备属性!$A:$C,3,0),VLOOKUP(INDEX(英雄装备!$F:$BZ,MATCH($H8,英雄装备!$F:$F,0),MATCH(O$2,英雄装备!$1:$1,0)-1),装备属性!$A:$C,3,0),VLOOKUP(INDEX(英雄装备!$F:$BZ,MATCH($H8,英雄装备!$F:$F,0),MATCH(O$2,英雄装备!$1:$1,0)),装备属性!$A:$C,3,0))</f>
        <v>62</v>
      </c>
      <c r="P8" s="51">
        <f>MAX(VLOOKUP(INDEX(英雄装备!$F:$BZ,MATCH($H8,英雄装备!$F:$F,0),MATCH(P$2,英雄装备!$1:$1,0)-5),装备属性!$A:$C,3,0),VLOOKUP(INDEX(英雄装备!$F:$BZ,MATCH($H8,英雄装备!$F:$F,0),MATCH(P$2,英雄装备!$1:$1,0)-4),装备属性!$A:$C,3,0),VLOOKUP(INDEX(英雄装备!$F:$BZ,MATCH($H8,英雄装备!$F:$F,0),MATCH(P$2,英雄装备!$1:$1,0)-3),装备属性!$A:$C,3,0),VLOOKUP(INDEX(英雄装备!$F:$BZ,MATCH($H8,英雄装备!$F:$F,0),MATCH(P$2,英雄装备!$1:$1,0)-2),装备属性!$A:$C,3,0),VLOOKUP(INDEX(英雄装备!$F:$BZ,MATCH($H8,英雄装备!$F:$F,0),MATCH(P$2,英雄装备!$1:$1,0)-1),装备属性!$A:$C,3,0),VLOOKUP(INDEX(英雄装备!$F:$BZ,MATCH($H8,英雄装备!$F:$F,0),MATCH(P$2,英雄装备!$1:$1,0)),装备属性!$A:$C,3,0))</f>
        <v>70</v>
      </c>
      <c r="Q8" s="51">
        <f>MAX(VLOOKUP(INDEX(英雄装备!$F:$BZ,MATCH($H8,英雄装备!$F:$F,0),MATCH(Q$2,英雄装备!$1:$1,0)-5),装备属性!$A:$C,3,0),VLOOKUP(INDEX(英雄装备!$F:$BZ,MATCH($H8,英雄装备!$F:$F,0),MATCH(Q$2,英雄装备!$1:$1,0)-4),装备属性!$A:$C,3,0),VLOOKUP(INDEX(英雄装备!$F:$BZ,MATCH($H8,英雄装备!$F:$F,0),MATCH(Q$2,英雄装备!$1:$1,0)-3),装备属性!$A:$C,3,0),VLOOKUP(INDEX(英雄装备!$F:$BZ,MATCH($H8,英雄装备!$F:$F,0),MATCH(Q$2,英雄装备!$1:$1,0)-2),装备属性!$A:$C,3,0),VLOOKUP(INDEX(英雄装备!$F:$BZ,MATCH($H8,英雄装备!$F:$F,0),MATCH(Q$2,英雄装备!$1:$1,0)-1),装备属性!$A:$C,3,0),VLOOKUP(INDEX(英雄装备!$F:$BZ,MATCH($H8,英雄装备!$F:$F,0),MATCH(Q$2,英雄装备!$1:$1,0)),装备属性!$A:$C,3,0))</f>
        <v>77</v>
      </c>
      <c r="R8" s="51">
        <f>MAX(VLOOKUP(INDEX(英雄装备!$F:$BZ,MATCH($H8,英雄装备!$F:$F,0),MATCH(R$2,英雄装备!$1:$1,0)-5),装备属性!$A:$C,3,0),VLOOKUP(INDEX(英雄装备!$F:$BZ,MATCH($H8,英雄装备!$F:$F,0),MATCH(R$2,英雄装备!$1:$1,0)-4),装备属性!$A:$C,3,0),VLOOKUP(INDEX(英雄装备!$F:$BZ,MATCH($H8,英雄装备!$F:$F,0),MATCH(R$2,英雄装备!$1:$1,0)-3),装备属性!$A:$C,3,0),VLOOKUP(INDEX(英雄装备!$F:$BZ,MATCH($H8,英雄装备!$F:$F,0),MATCH(R$2,英雄装备!$1:$1,0)-2),装备属性!$A:$C,3,0),VLOOKUP(INDEX(英雄装备!$F:$BZ,MATCH($H8,英雄装备!$F:$F,0),MATCH(R$2,英雄装备!$1:$1,0)-1),装备属性!$A:$C,3,0),VLOOKUP(INDEX(英雄装备!$F:$BZ,MATCH($H8,英雄装备!$F:$F,0),MATCH(R$2,英雄装备!$1:$1,0)),装备属性!$A:$C,3,0))</f>
        <v>72</v>
      </c>
      <c r="S8" s="51">
        <f>MAX(VLOOKUP(INDEX(英雄装备!$F:$BZ,MATCH($H8,英雄装备!$F:$F,0),MATCH(S$2,英雄装备!$1:$1,0)-5),装备属性!$A:$C,3,0),VLOOKUP(INDEX(英雄装备!$F:$BZ,MATCH($H8,英雄装备!$F:$F,0),MATCH(S$2,英雄装备!$1:$1,0)-4),装备属性!$A:$C,3,0),VLOOKUP(INDEX(英雄装备!$F:$BZ,MATCH($H8,英雄装备!$F:$F,0),MATCH(S$2,英雄装备!$1:$1,0)-3),装备属性!$A:$C,3,0),VLOOKUP(INDEX(英雄装备!$F:$BZ,MATCH($H8,英雄装备!$F:$F,0),MATCH(S$2,英雄装备!$1:$1,0)-2),装备属性!$A:$C,3,0),VLOOKUP(INDEX(英雄装备!$F:$BZ,MATCH($H8,英雄装备!$F:$F,0),MATCH(S$2,英雄装备!$1:$1,0)-1),装备属性!$A:$C,3,0),VLOOKUP(INDEX(英雄装备!$F:$BZ,MATCH($H8,英雄装备!$F:$F,0),MATCH(S$2,英雄装备!$1:$1,0)),装备属性!$A:$C,3,0))</f>
        <v>84</v>
      </c>
      <c r="T8" s="51">
        <f>MAX(VLOOKUP(INDEX(英雄装备!$F:$BZ,MATCH($H8,英雄装备!$F:$F,0),MATCH(T$2,英雄装备!$1:$1,0)-5),装备属性!$A:$C,3,0),VLOOKUP(INDEX(英雄装备!$F:$BZ,MATCH($H8,英雄装备!$F:$F,0),MATCH(T$2,英雄装备!$1:$1,0)-4),装备属性!$A:$C,3,0),VLOOKUP(INDEX(英雄装备!$F:$BZ,MATCH($H8,英雄装备!$F:$F,0),MATCH(T$2,英雄装备!$1:$1,0)-3),装备属性!$A:$C,3,0),VLOOKUP(INDEX(英雄装备!$F:$BZ,MATCH($H8,英雄装备!$F:$F,0),MATCH(T$2,英雄装备!$1:$1,0)-2),装备属性!$A:$C,3,0),VLOOKUP(INDEX(英雄装备!$F:$BZ,MATCH($H8,英雄装备!$F:$F,0),MATCH(T$2,英雄装备!$1:$1,0)-1),装备属性!$A:$C,3,0))</f>
        <v>88</v>
      </c>
      <c r="W8" s="151" t="str">
        <f>IF($V$2&lt;8,"","紫+1")</f>
        <v>紫+1</v>
      </c>
      <c r="X8" s="151" t="str">
        <f>VLOOKUP(英雄对比!$G$2,英雄装备!$F:$BZ,44,0)</f>
        <v>蝴蝶</v>
      </c>
      <c r="Y8" s="151" t="str">
        <f>VLOOKUP(英雄对比!$G$2,英雄装备!$F:$BZ,45,0)</f>
        <v>鬼手</v>
      </c>
      <c r="Z8" s="151" t="str">
        <f>VLOOKUP(英雄对比!$G$2,英雄装备!$F:$BZ,46,0)</f>
        <v>狂战斧</v>
      </c>
      <c r="AA8" s="151" t="str">
        <f>VLOOKUP(英雄对比!$G$2,英雄装备!$F:$BZ,47,0)</f>
        <v>暗灭</v>
      </c>
      <c r="AB8" s="151" t="str">
        <f>VLOOKUP(英雄对比!$G$2,英雄装备!$F:$BZ,48,0)</f>
        <v>阔剑</v>
      </c>
      <c r="AC8" s="151" t="str">
        <f>VLOOKUP(英雄对比!$G$2,英雄装备!$F:$BZ,49,0)</f>
        <v>飞鞋</v>
      </c>
      <c r="AE8" s="151" t="s">
        <v>4</v>
      </c>
      <c r="AF8" s="151">
        <f>VLOOKUP(英雄对比!$G$2,英雄初始!$A:$K,4,0)</f>
        <v>21</v>
      </c>
      <c r="AG8" s="232"/>
      <c r="AH8" s="232" t="s">
        <v>1077</v>
      </c>
      <c r="AI8" s="50" t="s">
        <v>103</v>
      </c>
      <c r="AJ8" s="50" t="s">
        <v>14</v>
      </c>
      <c r="AK8" s="50" t="s">
        <v>47</v>
      </c>
      <c r="AL8" s="50" t="s">
        <v>35</v>
      </c>
      <c r="AM8" s="50" t="s">
        <v>38</v>
      </c>
      <c r="AN8" s="50" t="s">
        <v>34</v>
      </c>
      <c r="AO8" s="50" t="s">
        <v>56</v>
      </c>
      <c r="AP8" s="50" t="s">
        <v>84</v>
      </c>
      <c r="AQ8" s="50" t="s">
        <v>98</v>
      </c>
      <c r="AR8" s="50" t="s">
        <v>2099</v>
      </c>
      <c r="AS8" s="119" t="s">
        <v>1874</v>
      </c>
      <c r="AT8" s="50" t="s">
        <v>91</v>
      </c>
      <c r="AU8" s="50" t="s">
        <v>13</v>
      </c>
      <c r="AV8" s="50" t="s">
        <v>18</v>
      </c>
      <c r="AW8" s="51" t="s">
        <v>71</v>
      </c>
      <c r="AX8" s="50" t="s">
        <v>130</v>
      </c>
      <c r="AY8" s="141" t="s">
        <v>1867</v>
      </c>
      <c r="AZ8" s="141" t="s">
        <v>1877</v>
      </c>
    </row>
    <row r="9" spans="1:52">
      <c r="B9" s="151" t="str">
        <f>英雄初始!A10</f>
        <v>死骑</v>
      </c>
      <c r="G9" s="233"/>
      <c r="H9" s="50" t="s">
        <v>1260</v>
      </c>
      <c r="I9" s="51">
        <f>MAX(VLOOKUP(INDEX(英雄装备!$F:$BZ,MATCH($H9,英雄装备!$F:$F,0),MATCH(I$2,英雄装备!$1:$1,0)-5),装备属性!$A:$C,3,0),VLOOKUP(INDEX(英雄装备!$F:$BZ,MATCH($H9,英雄装备!$F:$F,0),MATCH(I$2,英雄装备!$1:$1,0)-4),装备属性!$A:$C,3,0),VLOOKUP(INDEX(英雄装备!$F:$BZ,MATCH($H9,英雄装备!$F:$F,0),MATCH(I$2,英雄装备!$1:$1,0)-3),装备属性!$A:$C,3,0),VLOOKUP(INDEX(英雄装备!$F:$BZ,MATCH($H9,英雄装备!$F:$F,0),MATCH(I$2,英雄装备!$1:$1,0)-2),装备属性!$A:$C,3,0),VLOOKUP(INDEX(英雄装备!$F:$BZ,MATCH($H9,英雄装备!$F:$F,0),MATCH(I$2,英雄装备!$1:$1,0)-1),装备属性!$A:$C,3,0),VLOOKUP(INDEX(英雄装备!$F:$BZ,MATCH($H9,英雄装备!$F:$F,0),MATCH(I$2,英雄装备!$1:$1,0)),装备属性!$A:$C,3,0))</f>
        <v>2</v>
      </c>
      <c r="J9" s="51">
        <f>MAX(VLOOKUP(INDEX(英雄装备!$F:$BZ,MATCH($H9,英雄装备!$F:$F,0),MATCH(J$2,英雄装备!$1:$1,0)-5),装备属性!$A:$C,3,0),VLOOKUP(INDEX(英雄装备!$F:$BZ,MATCH($H9,英雄装备!$F:$F,0),MATCH(J$2,英雄装备!$1:$1,0)-4),装备属性!$A:$C,3,0),VLOOKUP(INDEX(英雄装备!$F:$BZ,MATCH($H9,英雄装备!$F:$F,0),MATCH(J$2,英雄装备!$1:$1,0)-3),装备属性!$A:$C,3,0),VLOOKUP(INDEX(英雄装备!$F:$BZ,MATCH($H9,英雄装备!$F:$F,0),MATCH(J$2,英雄装备!$1:$1,0)-2),装备属性!$A:$C,3,0),VLOOKUP(INDEX(英雄装备!$F:$BZ,MATCH($H9,英雄装备!$F:$F,0),MATCH(J$2,英雄装备!$1:$1,0)-1),装备属性!$A:$C,3,0),VLOOKUP(INDEX(英雄装备!$F:$BZ,MATCH($H9,英雄装备!$F:$F,0),MATCH(J$2,英雄装备!$1:$1,0)),装备属性!$A:$C,3,0))</f>
        <v>10</v>
      </c>
      <c r="K9" s="51">
        <f>MAX(VLOOKUP(INDEX(英雄装备!$F:$BZ,MATCH($H9,英雄装备!$F:$F,0),MATCH(K$2,英雄装备!$1:$1,0)-5),装备属性!$A:$C,3,0),VLOOKUP(INDEX(英雄装备!$F:$BZ,MATCH($H9,英雄装备!$F:$F,0),MATCH(K$2,英雄装备!$1:$1,0)-4),装备属性!$A:$C,3,0),VLOOKUP(INDEX(英雄装备!$F:$BZ,MATCH($H9,英雄装备!$F:$F,0),MATCH(K$2,英雄装备!$1:$1,0)-3),装备属性!$A:$C,3,0),VLOOKUP(INDEX(英雄装备!$F:$BZ,MATCH($H9,英雄装备!$F:$F,0),MATCH(K$2,英雄装备!$1:$1,0)-2),装备属性!$A:$C,3,0),VLOOKUP(INDEX(英雄装备!$F:$BZ,MATCH($H9,英雄装备!$F:$F,0),MATCH(K$2,英雄装备!$1:$1,0)-1),装备属性!$A:$C,3,0),VLOOKUP(INDEX(英雄装备!$F:$BZ,MATCH($H9,英雄装备!$F:$F,0),MATCH(K$2,英雄装备!$1:$1,0)),装备属性!$A:$C,3,0))</f>
        <v>20</v>
      </c>
      <c r="L9" s="51">
        <f>MAX(VLOOKUP(INDEX(英雄装备!$F:$BZ,MATCH($H9,英雄装备!$F:$F,0),MATCH(L$2,英雄装备!$1:$1,0)-5),装备属性!$A:$C,3,0),VLOOKUP(INDEX(英雄装备!$F:$BZ,MATCH($H9,英雄装备!$F:$F,0),MATCH(L$2,英雄装备!$1:$1,0)-4),装备属性!$A:$C,3,0),VLOOKUP(INDEX(英雄装备!$F:$BZ,MATCH($H9,英雄装备!$F:$F,0),MATCH(L$2,英雄装备!$1:$1,0)-3),装备属性!$A:$C,3,0),VLOOKUP(INDEX(英雄装备!$F:$BZ,MATCH($H9,英雄装备!$F:$F,0),MATCH(L$2,英雄装备!$1:$1,0)-2),装备属性!$A:$C,3,0),VLOOKUP(INDEX(英雄装备!$F:$BZ,MATCH($H9,英雄装备!$F:$F,0),MATCH(L$2,英雄装备!$1:$1,0)-1),装备属性!$A:$C,3,0),VLOOKUP(INDEX(英雄装备!$F:$BZ,MATCH($H9,英雄装备!$F:$F,0),MATCH(L$2,英雄装备!$1:$1,0)),装备属性!$A:$C,3,0))</f>
        <v>32</v>
      </c>
      <c r="M9" s="51">
        <f>MAX(VLOOKUP(INDEX(英雄装备!$F:$BZ,MATCH($H9,英雄装备!$F:$F,0),MATCH(M$2,英雄装备!$1:$1,0)-5),装备属性!$A:$C,3,0),VLOOKUP(INDEX(英雄装备!$F:$BZ,MATCH($H9,英雄装备!$F:$F,0),MATCH(M$2,英雄装备!$1:$1,0)-4),装备属性!$A:$C,3,0),VLOOKUP(INDEX(英雄装备!$F:$BZ,MATCH($H9,英雄装备!$F:$F,0),MATCH(M$2,英雄装备!$1:$1,0)-3),装备属性!$A:$C,3,0),VLOOKUP(INDEX(英雄装备!$F:$BZ,MATCH($H9,英雄装备!$F:$F,0),MATCH(M$2,英雄装备!$1:$1,0)-2),装备属性!$A:$C,3,0),VLOOKUP(INDEX(英雄装备!$F:$BZ,MATCH($H9,英雄装备!$F:$F,0),MATCH(M$2,英雄装备!$1:$1,0)-1),装备属性!$A:$C,3,0),VLOOKUP(INDEX(英雄装备!$F:$BZ,MATCH($H9,英雄装备!$F:$F,0),MATCH(M$2,英雄装备!$1:$1,0)),装备属性!$A:$C,3,0))</f>
        <v>37</v>
      </c>
      <c r="N9" s="51">
        <f>MAX(VLOOKUP(INDEX(英雄装备!$F:$BZ,MATCH($H9,英雄装备!$F:$F,0),MATCH(N$2,英雄装备!$1:$1,0)-5),装备属性!$A:$C,3,0),VLOOKUP(INDEX(英雄装备!$F:$BZ,MATCH($H9,英雄装备!$F:$F,0),MATCH(N$2,英雄装备!$1:$1,0)-4),装备属性!$A:$C,3,0),VLOOKUP(INDEX(英雄装备!$F:$BZ,MATCH($H9,英雄装备!$F:$F,0),MATCH(N$2,英雄装备!$1:$1,0)-3),装备属性!$A:$C,3,0),VLOOKUP(INDEX(英雄装备!$F:$BZ,MATCH($H9,英雄装备!$F:$F,0),MATCH(N$2,英雄装备!$1:$1,0)-2),装备属性!$A:$C,3,0),VLOOKUP(INDEX(英雄装备!$F:$BZ,MATCH($H9,英雄装备!$F:$F,0),MATCH(N$2,英雄装备!$1:$1,0)-1),装备属性!$A:$C,3,0),VLOOKUP(INDEX(英雄装备!$F:$BZ,MATCH($H9,英雄装备!$F:$F,0),MATCH(N$2,英雄装备!$1:$1,0)),装备属性!$A:$C,3,0))</f>
        <v>51</v>
      </c>
      <c r="O9" s="51">
        <f>MAX(VLOOKUP(INDEX(英雄装备!$F:$BZ,MATCH($H9,英雄装备!$F:$F,0),MATCH(O$2,英雄装备!$1:$1,0)-5),装备属性!$A:$C,3,0),VLOOKUP(INDEX(英雄装备!$F:$BZ,MATCH($H9,英雄装备!$F:$F,0),MATCH(O$2,英雄装备!$1:$1,0)-4),装备属性!$A:$C,3,0),VLOOKUP(INDEX(英雄装备!$F:$BZ,MATCH($H9,英雄装备!$F:$F,0),MATCH(O$2,英雄装备!$1:$1,0)-3),装备属性!$A:$C,3,0),VLOOKUP(INDEX(英雄装备!$F:$BZ,MATCH($H9,英雄装备!$F:$F,0),MATCH(O$2,英雄装备!$1:$1,0)-2),装备属性!$A:$C,3,0),VLOOKUP(INDEX(英雄装备!$F:$BZ,MATCH($H9,英雄装备!$F:$F,0),MATCH(O$2,英雄装备!$1:$1,0)-1),装备属性!$A:$C,3,0),VLOOKUP(INDEX(英雄装备!$F:$BZ,MATCH($H9,英雄装备!$F:$F,0),MATCH(O$2,英雄装备!$1:$1,0)),装备属性!$A:$C,3,0))</f>
        <v>65</v>
      </c>
      <c r="P9" s="51">
        <f>MAX(VLOOKUP(INDEX(英雄装备!$F:$BZ,MATCH($H9,英雄装备!$F:$F,0),MATCH(P$2,英雄装备!$1:$1,0)-5),装备属性!$A:$C,3,0),VLOOKUP(INDEX(英雄装备!$F:$BZ,MATCH($H9,英雄装备!$F:$F,0),MATCH(P$2,英雄装备!$1:$1,0)-4),装备属性!$A:$C,3,0),VLOOKUP(INDEX(英雄装备!$F:$BZ,MATCH($H9,英雄装备!$F:$F,0),MATCH(P$2,英雄装备!$1:$1,0)-3),装备属性!$A:$C,3,0),VLOOKUP(INDEX(英雄装备!$F:$BZ,MATCH($H9,英雄装备!$F:$F,0),MATCH(P$2,英雄装备!$1:$1,0)-2),装备属性!$A:$C,3,0),VLOOKUP(INDEX(英雄装备!$F:$BZ,MATCH($H9,英雄装备!$F:$F,0),MATCH(P$2,英雄装备!$1:$1,0)-1),装备属性!$A:$C,3,0),VLOOKUP(INDEX(英雄装备!$F:$BZ,MATCH($H9,英雄装备!$F:$F,0),MATCH(P$2,英雄装备!$1:$1,0)),装备属性!$A:$C,3,0))</f>
        <v>72</v>
      </c>
      <c r="Q9" s="51">
        <f>MAX(VLOOKUP(INDEX(英雄装备!$F:$BZ,MATCH($H9,英雄装备!$F:$F,0),MATCH(Q$2,英雄装备!$1:$1,0)-5),装备属性!$A:$C,3,0),VLOOKUP(INDEX(英雄装备!$F:$BZ,MATCH($H9,英雄装备!$F:$F,0),MATCH(Q$2,英雄装备!$1:$1,0)-4),装备属性!$A:$C,3,0),VLOOKUP(INDEX(英雄装备!$F:$BZ,MATCH($H9,英雄装备!$F:$F,0),MATCH(Q$2,英雄装备!$1:$1,0)-3),装备属性!$A:$C,3,0),VLOOKUP(INDEX(英雄装备!$F:$BZ,MATCH($H9,英雄装备!$F:$F,0),MATCH(Q$2,英雄装备!$1:$1,0)-2),装备属性!$A:$C,3,0),VLOOKUP(INDEX(英雄装备!$F:$BZ,MATCH($H9,英雄装备!$F:$F,0),MATCH(Q$2,英雄装备!$1:$1,0)-1),装备属性!$A:$C,3,0),VLOOKUP(INDEX(英雄装备!$F:$BZ,MATCH($H9,英雄装备!$F:$F,0),MATCH(Q$2,英雄装备!$1:$1,0)),装备属性!$A:$C,3,0))</f>
        <v>79</v>
      </c>
      <c r="R9" s="51">
        <f>MAX(VLOOKUP(INDEX(英雄装备!$F:$BZ,MATCH($H9,英雄装备!$F:$F,0),MATCH(R$2,英雄装备!$1:$1,0)-5),装备属性!$A:$C,3,0),VLOOKUP(INDEX(英雄装备!$F:$BZ,MATCH($H9,英雄装备!$F:$F,0),MATCH(R$2,英雄装备!$1:$1,0)-4),装备属性!$A:$C,3,0),VLOOKUP(INDEX(英雄装备!$F:$BZ,MATCH($H9,英雄装备!$F:$F,0),MATCH(R$2,英雄装备!$1:$1,0)-3),装备属性!$A:$C,3,0),VLOOKUP(INDEX(英雄装备!$F:$BZ,MATCH($H9,英雄装备!$F:$F,0),MATCH(R$2,英雄装备!$1:$1,0)-2),装备属性!$A:$C,3,0),VLOOKUP(INDEX(英雄装备!$F:$BZ,MATCH($H9,英雄装备!$F:$F,0),MATCH(R$2,英雄装备!$1:$1,0)-1),装备属性!$A:$C,3,0),VLOOKUP(INDEX(英雄装备!$F:$BZ,MATCH($H9,英雄装备!$F:$F,0),MATCH(R$2,英雄装备!$1:$1,0)),装备属性!$A:$C,3,0))</f>
        <v>80</v>
      </c>
      <c r="S9" s="51">
        <f>MAX(VLOOKUP(INDEX(英雄装备!$F:$BZ,MATCH($H9,英雄装备!$F:$F,0),MATCH(S$2,英雄装备!$1:$1,0)-5),装备属性!$A:$C,3,0),VLOOKUP(INDEX(英雄装备!$F:$BZ,MATCH($H9,英雄装备!$F:$F,0),MATCH(S$2,英雄装备!$1:$1,0)-4),装备属性!$A:$C,3,0),VLOOKUP(INDEX(英雄装备!$F:$BZ,MATCH($H9,英雄装备!$F:$F,0),MATCH(S$2,英雄装备!$1:$1,0)-3),装备属性!$A:$C,3,0),VLOOKUP(INDEX(英雄装备!$F:$BZ,MATCH($H9,英雄装备!$F:$F,0),MATCH(S$2,英雄装备!$1:$1,0)-2),装备属性!$A:$C,3,0),VLOOKUP(INDEX(英雄装备!$F:$BZ,MATCH($H9,英雄装备!$F:$F,0),MATCH(S$2,英雄装备!$1:$1,0)-1),装备属性!$A:$C,3,0),VLOOKUP(INDEX(英雄装备!$F:$BZ,MATCH($H9,英雄装备!$F:$F,0),MATCH(S$2,英雄装备!$1:$1,0)),装备属性!$A:$C,3,0))</f>
        <v>85</v>
      </c>
      <c r="T9" s="51">
        <f>MAX(VLOOKUP(INDEX(英雄装备!$F:$BZ,MATCH($H9,英雄装备!$F:$F,0),MATCH(T$2,英雄装备!$1:$1,0)-5),装备属性!$A:$C,3,0),VLOOKUP(INDEX(英雄装备!$F:$BZ,MATCH($H9,英雄装备!$F:$F,0),MATCH(T$2,英雄装备!$1:$1,0)-4),装备属性!$A:$C,3,0),VLOOKUP(INDEX(英雄装备!$F:$BZ,MATCH($H9,英雄装备!$F:$F,0),MATCH(T$2,英雄装备!$1:$1,0)-3),装备属性!$A:$C,3,0),VLOOKUP(INDEX(英雄装备!$F:$BZ,MATCH($H9,英雄装备!$F:$F,0),MATCH(T$2,英雄装备!$1:$1,0)-2),装备属性!$A:$C,3,0),VLOOKUP(INDEX(英雄装备!$F:$BZ,MATCH($H9,英雄装备!$F:$F,0),MATCH(T$2,英雄装备!$1:$1,0)-1),装备属性!$A:$C,3,0))</f>
        <v>89</v>
      </c>
      <c r="W9" s="151" t="str">
        <f>IF($V$2&lt;9,"","紫+2")</f>
        <v>紫+2</v>
      </c>
      <c r="X9" s="151" t="str">
        <f>VLOOKUP(英雄对比!$G$2,英雄装备!$F:$BZ,50,0)</f>
        <v>长笛</v>
      </c>
      <c r="Y9" s="151" t="str">
        <f>VLOOKUP(英雄对比!$G$2,英雄装备!$F:$BZ,51,0)</f>
        <v>深渊之刃</v>
      </c>
      <c r="Z9" s="151" t="str">
        <f>VLOOKUP(英雄对比!$G$2,英雄装备!$F:$BZ,52,0)</f>
        <v>秘银锤</v>
      </c>
      <c r="AA9" s="151" t="str">
        <f>VLOOKUP(英雄对比!$G$2,英雄装备!$F:$BZ,53,0)</f>
        <v>洛萨</v>
      </c>
      <c r="AB9" s="151" t="str">
        <f>VLOOKUP(英雄对比!$G$2,英雄装备!$F:$BZ,54,0)</f>
        <v>祭品</v>
      </c>
      <c r="AC9" s="151" t="str">
        <f>VLOOKUP(英雄对比!$G$2,英雄装备!$F:$BZ,55,0)</f>
        <v>飞鞋</v>
      </c>
      <c r="AE9" s="151" t="s">
        <v>5</v>
      </c>
      <c r="AF9" s="151">
        <f>VLOOKUP(英雄对比!$G$2,英雄初始!$A:$K,5,0)</f>
        <v>13</v>
      </c>
      <c r="AG9" s="232"/>
      <c r="AH9" s="232"/>
      <c r="AI9" s="151">
        <f>SUM(AK111:AK116,AK119:AK124,AI136)+AJ6*18</f>
        <v>1998</v>
      </c>
      <c r="AJ9" s="151">
        <f>SUM(AL111:AL116,AL119:AL124,AJ136)+AP6+AL6*0.4</f>
        <v>405.4</v>
      </c>
      <c r="AK9" s="151">
        <f>SUM(AM111:AM116,AM119:AM124,AK136)+AN6*2.4</f>
        <v>206.4</v>
      </c>
      <c r="AL9" s="151">
        <f>SUM(AN111:AN116,AN119:AN124,AL136)+AJ6*0.15+AL6*0.08</f>
        <v>19.78</v>
      </c>
      <c r="AM9" s="151">
        <f>SUM(AO111:AO116,AO119:AO124,AM136)+AN6/10</f>
        <v>39.6</v>
      </c>
      <c r="AN9" s="151">
        <f>SUM(AP111:AP116,AP119:AP124,AN136)+AL6*0.4</f>
        <v>56.4</v>
      </c>
      <c r="AO9" s="151">
        <f t="shared" ref="AO9:AW9" si="1">SUM(AQ111:AQ116,AQ119:AQ124,AO136)</f>
        <v>22</v>
      </c>
      <c r="AP9" s="151">
        <f t="shared" si="1"/>
        <v>0</v>
      </c>
      <c r="AQ9" s="151">
        <f t="shared" si="1"/>
        <v>0</v>
      </c>
      <c r="AR9" s="151">
        <f>SUM(AT111:AT116,AT119:AT124,AR136)</f>
        <v>0</v>
      </c>
      <c r="AS9" s="151">
        <f>SUM(AU111:AU116,AU119:AU124,AS136)</f>
        <v>0</v>
      </c>
      <c r="AT9" s="151">
        <f>SUM(AV111:AV116,AV119:AV124,AT136)</f>
        <v>0</v>
      </c>
      <c r="AU9" s="151">
        <f t="shared" si="1"/>
        <v>0</v>
      </c>
      <c r="AV9" s="151">
        <f t="shared" si="1"/>
        <v>0</v>
      </c>
      <c r="AW9" s="151">
        <f t="shared" si="1"/>
        <v>0</v>
      </c>
      <c r="AX9" s="151">
        <f>SUM(AZ111:AZ116,AZ119:AZ124,AX136)</f>
        <v>0</v>
      </c>
      <c r="AY9" s="151">
        <f>SUM(BA111:BA116,BA119:BA124,AY136)</f>
        <v>0</v>
      </c>
      <c r="AZ9" s="151">
        <f t="shared" ref="AZ9" si="2">SUM(BB111:BB116,BB119:BB124,AZ136)</f>
        <v>0</v>
      </c>
    </row>
    <row r="10" spans="1:52">
      <c r="B10" s="151" t="str">
        <f>英雄初始!A11</f>
        <v>小小</v>
      </c>
      <c r="G10" s="233"/>
      <c r="H10" s="54" t="s">
        <v>163</v>
      </c>
      <c r="I10" s="51">
        <f>MAX(VLOOKUP(INDEX(英雄装备!$F:$BZ,MATCH($H10,英雄装备!$F:$F,0),MATCH(I$2,英雄装备!$1:$1,0)-5),装备属性!$A:$C,3,0),VLOOKUP(INDEX(英雄装备!$F:$BZ,MATCH($H10,英雄装备!$F:$F,0),MATCH(I$2,英雄装备!$1:$1,0)-4),装备属性!$A:$C,3,0),VLOOKUP(INDEX(英雄装备!$F:$BZ,MATCH($H10,英雄装备!$F:$F,0),MATCH(I$2,英雄装备!$1:$1,0)-3),装备属性!$A:$C,3,0),VLOOKUP(INDEX(英雄装备!$F:$BZ,MATCH($H10,英雄装备!$F:$F,0),MATCH(I$2,英雄装备!$1:$1,0)-2),装备属性!$A:$C,3,0),VLOOKUP(INDEX(英雄装备!$F:$BZ,MATCH($H10,英雄装备!$F:$F,0),MATCH(I$2,英雄装备!$1:$1,0)-1),装备属性!$A:$C,3,0),VLOOKUP(INDEX(英雄装备!$F:$BZ,MATCH($H10,英雄装备!$F:$F,0),MATCH(I$2,英雄装备!$1:$1,0)),装备属性!$A:$C,3,0))</f>
        <v>2</v>
      </c>
      <c r="J10" s="51">
        <f>MAX(VLOOKUP(INDEX(英雄装备!$F:$BZ,MATCH($H10,英雄装备!$F:$F,0),MATCH(J$2,英雄装备!$1:$1,0)-5),装备属性!$A:$C,3,0),VLOOKUP(INDEX(英雄装备!$F:$BZ,MATCH($H10,英雄装备!$F:$F,0),MATCH(J$2,英雄装备!$1:$1,0)-4),装备属性!$A:$C,3,0),VLOOKUP(INDEX(英雄装备!$F:$BZ,MATCH($H10,英雄装备!$F:$F,0),MATCH(J$2,英雄装备!$1:$1,0)-3),装备属性!$A:$C,3,0),VLOOKUP(INDEX(英雄装备!$F:$BZ,MATCH($H10,英雄装备!$F:$F,0),MATCH(J$2,英雄装备!$1:$1,0)-2),装备属性!$A:$C,3,0),VLOOKUP(INDEX(英雄装备!$F:$BZ,MATCH($H10,英雄装备!$F:$F,0),MATCH(J$2,英雄装备!$1:$1,0)-1),装备属性!$A:$C,3,0),VLOOKUP(INDEX(英雄装备!$F:$BZ,MATCH($H10,英雄装备!$F:$F,0),MATCH(J$2,英雄装备!$1:$1,0)),装备属性!$A:$C,3,0))</f>
        <v>11</v>
      </c>
      <c r="K10" s="51">
        <f>MAX(VLOOKUP(INDEX(英雄装备!$F:$BZ,MATCH($H10,英雄装备!$F:$F,0),MATCH(K$2,英雄装备!$1:$1,0)-5),装备属性!$A:$C,3,0),VLOOKUP(INDEX(英雄装备!$F:$BZ,MATCH($H10,英雄装备!$F:$F,0),MATCH(K$2,英雄装备!$1:$1,0)-4),装备属性!$A:$C,3,0),VLOOKUP(INDEX(英雄装备!$F:$BZ,MATCH($H10,英雄装备!$F:$F,0),MATCH(K$2,英雄装备!$1:$1,0)-3),装备属性!$A:$C,3,0),VLOOKUP(INDEX(英雄装备!$F:$BZ,MATCH($H10,英雄装备!$F:$F,0),MATCH(K$2,英雄装备!$1:$1,0)-2),装备属性!$A:$C,3,0),VLOOKUP(INDEX(英雄装备!$F:$BZ,MATCH($H10,英雄装备!$F:$F,0),MATCH(K$2,英雄装备!$1:$1,0)-1),装备属性!$A:$C,3,0),VLOOKUP(INDEX(英雄装备!$F:$BZ,MATCH($H10,英雄装备!$F:$F,0),MATCH(K$2,英雄装备!$1:$1,0)),装备属性!$A:$C,3,0))</f>
        <v>27</v>
      </c>
      <c r="L10" s="51">
        <f>MAX(VLOOKUP(INDEX(英雄装备!$F:$BZ,MATCH($H10,英雄装备!$F:$F,0),MATCH(L$2,英雄装备!$1:$1,0)-5),装备属性!$A:$C,3,0),VLOOKUP(INDEX(英雄装备!$F:$BZ,MATCH($H10,英雄装备!$F:$F,0),MATCH(L$2,英雄装备!$1:$1,0)-4),装备属性!$A:$C,3,0),VLOOKUP(INDEX(英雄装备!$F:$BZ,MATCH($H10,英雄装备!$F:$F,0),MATCH(L$2,英雄装备!$1:$1,0)-3),装备属性!$A:$C,3,0),VLOOKUP(INDEX(英雄装备!$F:$BZ,MATCH($H10,英雄装备!$F:$F,0),MATCH(L$2,英雄装备!$1:$1,0)-2),装备属性!$A:$C,3,0),VLOOKUP(INDEX(英雄装备!$F:$BZ,MATCH($H10,英雄装备!$F:$F,0),MATCH(L$2,英雄装备!$1:$1,0)-1),装备属性!$A:$C,3,0),VLOOKUP(INDEX(英雄装备!$F:$BZ,MATCH($H10,英雄装备!$F:$F,0),MATCH(L$2,英雄装备!$1:$1,0)),装备属性!$A:$C,3,0))</f>
        <v>35</v>
      </c>
      <c r="M10" s="51">
        <f>MAX(VLOOKUP(INDEX(英雄装备!$F:$BZ,MATCH($H10,英雄装备!$F:$F,0),MATCH(M$2,英雄装备!$1:$1,0)-5),装备属性!$A:$C,3,0),VLOOKUP(INDEX(英雄装备!$F:$BZ,MATCH($H10,英雄装备!$F:$F,0),MATCH(M$2,英雄装备!$1:$1,0)-4),装备属性!$A:$C,3,0),VLOOKUP(INDEX(英雄装备!$F:$BZ,MATCH($H10,英雄装备!$F:$F,0),MATCH(M$2,英雄装备!$1:$1,0)-3),装备属性!$A:$C,3,0),VLOOKUP(INDEX(英雄装备!$F:$BZ,MATCH($H10,英雄装备!$F:$F,0),MATCH(M$2,英雄装备!$1:$1,0)-2),装备属性!$A:$C,3,0),VLOOKUP(INDEX(英雄装备!$F:$BZ,MATCH($H10,英雄装备!$F:$F,0),MATCH(M$2,英雄装备!$1:$1,0)-1),装备属性!$A:$C,3,0),VLOOKUP(INDEX(英雄装备!$F:$BZ,MATCH($H10,英雄装备!$F:$F,0),MATCH(M$2,英雄装备!$1:$1,0)),装备属性!$A:$C,3,0))</f>
        <v>43</v>
      </c>
      <c r="N10" s="51">
        <f>MAX(VLOOKUP(INDEX(英雄装备!$F:$BZ,MATCH($H10,英雄装备!$F:$F,0),MATCH(N$2,英雄装备!$1:$1,0)-5),装备属性!$A:$C,3,0),VLOOKUP(INDEX(英雄装备!$F:$BZ,MATCH($H10,英雄装备!$F:$F,0),MATCH(N$2,英雄装备!$1:$1,0)-4),装备属性!$A:$C,3,0),VLOOKUP(INDEX(英雄装备!$F:$BZ,MATCH($H10,英雄装备!$F:$F,0),MATCH(N$2,英雄装备!$1:$1,0)-3),装备属性!$A:$C,3,0),VLOOKUP(INDEX(英雄装备!$F:$BZ,MATCH($H10,英雄装备!$F:$F,0),MATCH(N$2,英雄装备!$1:$1,0)-2),装备属性!$A:$C,3,0),VLOOKUP(INDEX(英雄装备!$F:$BZ,MATCH($H10,英雄装备!$F:$F,0),MATCH(N$2,英雄装备!$1:$1,0)-1),装备属性!$A:$C,3,0),VLOOKUP(INDEX(英雄装备!$F:$BZ,MATCH($H10,英雄装备!$F:$F,0),MATCH(N$2,英雄装备!$1:$1,0)),装备属性!$A:$C,3,0))</f>
        <v>53</v>
      </c>
      <c r="O10" s="51">
        <f>MAX(VLOOKUP(INDEX(英雄装备!$F:$BZ,MATCH($H10,英雄装备!$F:$F,0),MATCH(O$2,英雄装备!$1:$1,0)-5),装备属性!$A:$C,3,0),VLOOKUP(INDEX(英雄装备!$F:$BZ,MATCH($H10,英雄装备!$F:$F,0),MATCH(O$2,英雄装备!$1:$1,0)-4),装备属性!$A:$C,3,0),VLOOKUP(INDEX(英雄装备!$F:$BZ,MATCH($H10,英雄装备!$F:$F,0),MATCH(O$2,英雄装备!$1:$1,0)-3),装备属性!$A:$C,3,0),VLOOKUP(INDEX(英雄装备!$F:$BZ,MATCH($H10,英雄装备!$F:$F,0),MATCH(O$2,英雄装备!$1:$1,0)-2),装备属性!$A:$C,3,0),VLOOKUP(INDEX(英雄装备!$F:$BZ,MATCH($H10,英雄装备!$F:$F,0),MATCH(O$2,英雄装备!$1:$1,0)-1),装备属性!$A:$C,3,0),VLOOKUP(INDEX(英雄装备!$F:$BZ,MATCH($H10,英雄装备!$F:$F,0),MATCH(O$2,英雄装备!$1:$1,0)),装备属性!$A:$C,3,0))</f>
        <v>64</v>
      </c>
      <c r="P10" s="51">
        <f>MAX(VLOOKUP(INDEX(英雄装备!$F:$BZ,MATCH($H10,英雄装备!$F:$F,0),MATCH(P$2,英雄装备!$1:$1,0)-5),装备属性!$A:$C,3,0),VLOOKUP(INDEX(英雄装备!$F:$BZ,MATCH($H10,英雄装备!$F:$F,0),MATCH(P$2,英雄装备!$1:$1,0)-4),装备属性!$A:$C,3,0),VLOOKUP(INDEX(英雄装备!$F:$BZ,MATCH($H10,英雄装备!$F:$F,0),MATCH(P$2,英雄装备!$1:$1,0)-3),装备属性!$A:$C,3,0),VLOOKUP(INDEX(英雄装备!$F:$BZ,MATCH($H10,英雄装备!$F:$F,0),MATCH(P$2,英雄装备!$1:$1,0)-2),装备属性!$A:$C,3,0),VLOOKUP(INDEX(英雄装备!$F:$BZ,MATCH($H10,英雄装备!$F:$F,0),MATCH(P$2,英雄装备!$1:$1,0)-1),装备属性!$A:$C,3,0),VLOOKUP(INDEX(英雄装备!$F:$BZ,MATCH($H10,英雄装备!$F:$F,0),MATCH(P$2,英雄装备!$1:$1,0)),装备属性!$A:$C,3,0))</f>
        <v>70</v>
      </c>
      <c r="Q10" s="51">
        <f>MAX(VLOOKUP(INDEX(英雄装备!$F:$BZ,MATCH($H10,英雄装备!$F:$F,0),MATCH(Q$2,英雄装备!$1:$1,0)-5),装备属性!$A:$C,3,0),VLOOKUP(INDEX(英雄装备!$F:$BZ,MATCH($H10,英雄装备!$F:$F,0),MATCH(Q$2,英雄装备!$1:$1,0)-4),装备属性!$A:$C,3,0),VLOOKUP(INDEX(英雄装备!$F:$BZ,MATCH($H10,英雄装备!$F:$F,0),MATCH(Q$2,英雄装备!$1:$1,0)-3),装备属性!$A:$C,3,0),VLOOKUP(INDEX(英雄装备!$F:$BZ,MATCH($H10,英雄装备!$F:$F,0),MATCH(Q$2,英雄装备!$1:$1,0)-2),装备属性!$A:$C,3,0),VLOOKUP(INDEX(英雄装备!$F:$BZ,MATCH($H10,英雄装备!$F:$F,0),MATCH(Q$2,英雄装备!$1:$1,0)-1),装备属性!$A:$C,3,0),VLOOKUP(INDEX(英雄装备!$F:$BZ,MATCH($H10,英雄装备!$F:$F,0),MATCH(Q$2,英雄装备!$1:$1,0)),装备属性!$A:$C,3,0))</f>
        <v>80</v>
      </c>
      <c r="R10" s="51">
        <f>MAX(VLOOKUP(INDEX(英雄装备!$F:$BZ,MATCH($H10,英雄装备!$F:$F,0),MATCH(R$2,英雄装备!$1:$1,0)-5),装备属性!$A:$C,3,0),VLOOKUP(INDEX(英雄装备!$F:$BZ,MATCH($H10,英雄装备!$F:$F,0),MATCH(R$2,英雄装备!$1:$1,0)-4),装备属性!$A:$C,3,0),VLOOKUP(INDEX(英雄装备!$F:$BZ,MATCH($H10,英雄装备!$F:$F,0),MATCH(R$2,英雄装备!$1:$1,0)-3),装备属性!$A:$C,3,0),VLOOKUP(INDEX(英雄装备!$F:$BZ,MATCH($H10,英雄装备!$F:$F,0),MATCH(R$2,英雄装备!$1:$1,0)-2),装备属性!$A:$C,3,0),VLOOKUP(INDEX(英雄装备!$F:$BZ,MATCH($H10,英雄装备!$F:$F,0),MATCH(R$2,英雄装备!$1:$1,0)-1),装备属性!$A:$C,3,0),VLOOKUP(INDEX(英雄装备!$F:$BZ,MATCH($H10,英雄装备!$F:$F,0),MATCH(R$2,英雄装备!$1:$1,0)),装备属性!$A:$C,3,0))</f>
        <v>79</v>
      </c>
      <c r="S10" s="51">
        <f>MAX(VLOOKUP(INDEX(英雄装备!$F:$BZ,MATCH($H10,英雄装备!$F:$F,0),MATCH(S$2,英雄装备!$1:$1,0)-5),装备属性!$A:$C,3,0),VLOOKUP(INDEX(英雄装备!$F:$BZ,MATCH($H10,英雄装备!$F:$F,0),MATCH(S$2,英雄装备!$1:$1,0)-4),装备属性!$A:$C,3,0),VLOOKUP(INDEX(英雄装备!$F:$BZ,MATCH($H10,英雄装备!$F:$F,0),MATCH(S$2,英雄装备!$1:$1,0)-3),装备属性!$A:$C,3,0),VLOOKUP(INDEX(英雄装备!$F:$BZ,MATCH($H10,英雄装备!$F:$F,0),MATCH(S$2,英雄装备!$1:$1,0)-2),装备属性!$A:$C,3,0),VLOOKUP(INDEX(英雄装备!$F:$BZ,MATCH($H10,英雄装备!$F:$F,0),MATCH(S$2,英雄装备!$1:$1,0)-1),装备属性!$A:$C,3,0),VLOOKUP(INDEX(英雄装备!$F:$BZ,MATCH($H10,英雄装备!$F:$F,0),MATCH(S$2,英雄装备!$1:$1,0)),装备属性!$A:$C,3,0))</f>
        <v>85</v>
      </c>
      <c r="T10" s="51">
        <f>MAX(VLOOKUP(INDEX(英雄装备!$F:$BZ,MATCH($H10,英雄装备!$F:$F,0),MATCH(T$2,英雄装备!$1:$1,0)-5),装备属性!$A:$C,3,0),VLOOKUP(INDEX(英雄装备!$F:$BZ,MATCH($H10,英雄装备!$F:$F,0),MATCH(T$2,英雄装备!$1:$1,0)-4),装备属性!$A:$C,3,0),VLOOKUP(INDEX(英雄装备!$F:$BZ,MATCH($H10,英雄装备!$F:$F,0),MATCH(T$2,英雄装备!$1:$1,0)-3),装备属性!$A:$C,3,0),VLOOKUP(INDEX(英雄装备!$F:$BZ,MATCH($H10,英雄装备!$F:$F,0),MATCH(T$2,英雄装备!$1:$1,0)-2),装备属性!$A:$C,3,0),VLOOKUP(INDEX(英雄装备!$F:$BZ,MATCH($H10,英雄装备!$F:$F,0),MATCH(T$2,英雄装备!$1:$1,0)-1),装备属性!$A:$C,3,0))</f>
        <v>87</v>
      </c>
      <c r="W10" s="151" t="str">
        <f>IF($V$2&lt;10,"","紫+3")</f>
        <v>紫+3</v>
      </c>
      <c r="X10" s="151" t="str">
        <f>VLOOKUP(英雄对比!$G$2,英雄装备!$F:$BZ,56,0)</f>
        <v>大炮</v>
      </c>
      <c r="Y10" s="151" t="str">
        <f>VLOOKUP(英雄对比!$G$2,英雄装备!$F:$BZ,57,0)</f>
        <v>金箍棒</v>
      </c>
      <c r="Z10" s="151" t="str">
        <f>VLOOKUP(英雄对比!$G$2,英雄装备!$F:$BZ,58,0)</f>
        <v>龙心</v>
      </c>
      <c r="AA10" s="151" t="str">
        <f>VLOOKUP(英雄对比!$G$2,英雄装备!$F:$BZ,59,0)</f>
        <v>黑黄</v>
      </c>
      <c r="AB10" s="151" t="str">
        <f>VLOOKUP(英雄对比!$G$2,英雄装备!$F:$BZ,60,0)</f>
        <v>冲锋盾</v>
      </c>
      <c r="AC10" s="151" t="str">
        <f>VLOOKUP(英雄对比!$G$2,英雄装备!$F:$BZ,61,0)</f>
        <v>飞鞋</v>
      </c>
    </row>
    <row r="11" spans="1:52">
      <c r="B11" s="151" t="str">
        <f>英雄初始!A12</f>
        <v>熊猫酒仙</v>
      </c>
      <c r="D11" s="48" t="s">
        <v>1062</v>
      </c>
      <c r="E11" s="151" t="str">
        <f>进阶奖励!$A15</f>
        <v>白</v>
      </c>
      <c r="F11" s="151">
        <v>1</v>
      </c>
      <c r="G11" s="152">
        <f>VLOOKUP(英雄对比!$G$2,中介表格3!$H:$T,2,0)</f>
        <v>2</v>
      </c>
      <c r="H11" s="54" t="s">
        <v>164</v>
      </c>
      <c r="I11" s="51">
        <f>MAX(VLOOKUP(INDEX(英雄装备!$F:$BZ,MATCH($H11,英雄装备!$F:$F,0),MATCH(I$2,英雄装备!$1:$1,0)-5),装备属性!$A:$C,3,0),VLOOKUP(INDEX(英雄装备!$F:$BZ,MATCH($H11,英雄装备!$F:$F,0),MATCH(I$2,英雄装备!$1:$1,0)-4),装备属性!$A:$C,3,0),VLOOKUP(INDEX(英雄装备!$F:$BZ,MATCH($H11,英雄装备!$F:$F,0),MATCH(I$2,英雄装备!$1:$1,0)-3),装备属性!$A:$C,3,0),VLOOKUP(INDEX(英雄装备!$F:$BZ,MATCH($H11,英雄装备!$F:$F,0),MATCH(I$2,英雄装备!$1:$1,0)-2),装备属性!$A:$C,3,0),VLOOKUP(INDEX(英雄装备!$F:$BZ,MATCH($H11,英雄装备!$F:$F,0),MATCH(I$2,英雄装备!$1:$1,0)-1),装备属性!$A:$C,3,0),VLOOKUP(INDEX(英雄装备!$F:$BZ,MATCH($H11,英雄装备!$F:$F,0),MATCH(I$2,英雄装备!$1:$1,0)),装备属性!$A:$C,3,0))</f>
        <v>2</v>
      </c>
      <c r="J11" s="51">
        <f>MAX(VLOOKUP(INDEX(英雄装备!$F:$BZ,MATCH($H11,英雄装备!$F:$F,0),MATCH(J$2,英雄装备!$1:$1,0)-5),装备属性!$A:$C,3,0),VLOOKUP(INDEX(英雄装备!$F:$BZ,MATCH($H11,英雄装备!$F:$F,0),MATCH(J$2,英雄装备!$1:$1,0)-4),装备属性!$A:$C,3,0),VLOOKUP(INDEX(英雄装备!$F:$BZ,MATCH($H11,英雄装备!$F:$F,0),MATCH(J$2,英雄装备!$1:$1,0)-3),装备属性!$A:$C,3,0),VLOOKUP(INDEX(英雄装备!$F:$BZ,MATCH($H11,英雄装备!$F:$F,0),MATCH(J$2,英雄装备!$1:$1,0)-2),装备属性!$A:$C,3,0),VLOOKUP(INDEX(英雄装备!$F:$BZ,MATCH($H11,英雄装备!$F:$F,0),MATCH(J$2,英雄装备!$1:$1,0)-1),装备属性!$A:$C,3,0),VLOOKUP(INDEX(英雄装备!$F:$BZ,MATCH($H11,英雄装备!$F:$F,0),MATCH(J$2,英雄装备!$1:$1,0)),装备属性!$A:$C,3,0))</f>
        <v>10</v>
      </c>
      <c r="K11" s="51">
        <f>MAX(VLOOKUP(INDEX(英雄装备!$F:$BZ,MATCH($H11,英雄装备!$F:$F,0),MATCH(K$2,英雄装备!$1:$1,0)-5),装备属性!$A:$C,3,0),VLOOKUP(INDEX(英雄装备!$F:$BZ,MATCH($H11,英雄装备!$F:$F,0),MATCH(K$2,英雄装备!$1:$1,0)-4),装备属性!$A:$C,3,0),VLOOKUP(INDEX(英雄装备!$F:$BZ,MATCH($H11,英雄装备!$F:$F,0),MATCH(K$2,英雄装备!$1:$1,0)-3),装备属性!$A:$C,3,0),VLOOKUP(INDEX(英雄装备!$F:$BZ,MATCH($H11,英雄装备!$F:$F,0),MATCH(K$2,英雄装备!$1:$1,0)-2),装备属性!$A:$C,3,0),VLOOKUP(INDEX(英雄装备!$F:$BZ,MATCH($H11,英雄装备!$F:$F,0),MATCH(K$2,英雄装备!$1:$1,0)-1),装备属性!$A:$C,3,0),VLOOKUP(INDEX(英雄装备!$F:$BZ,MATCH($H11,英雄装备!$F:$F,0),MATCH(K$2,英雄装备!$1:$1,0)),装备属性!$A:$C,3,0))</f>
        <v>21</v>
      </c>
      <c r="L11" s="51">
        <f>MAX(VLOOKUP(INDEX(英雄装备!$F:$BZ,MATCH($H11,英雄装备!$F:$F,0),MATCH(L$2,英雄装备!$1:$1,0)-5),装备属性!$A:$C,3,0),VLOOKUP(INDEX(英雄装备!$F:$BZ,MATCH($H11,英雄装备!$F:$F,0),MATCH(L$2,英雄装备!$1:$1,0)-4),装备属性!$A:$C,3,0),VLOOKUP(INDEX(英雄装备!$F:$BZ,MATCH($H11,英雄装备!$F:$F,0),MATCH(L$2,英雄装备!$1:$1,0)-3),装备属性!$A:$C,3,0),VLOOKUP(INDEX(英雄装备!$F:$BZ,MATCH($H11,英雄装备!$F:$F,0),MATCH(L$2,英雄装备!$1:$1,0)-2),装备属性!$A:$C,3,0),VLOOKUP(INDEX(英雄装备!$F:$BZ,MATCH($H11,英雄装备!$F:$F,0),MATCH(L$2,英雄装备!$1:$1,0)-1),装备属性!$A:$C,3,0),VLOOKUP(INDEX(英雄装备!$F:$BZ,MATCH($H11,英雄装备!$F:$F,0),MATCH(L$2,英雄装备!$1:$1,0)),装备属性!$A:$C,3,0))</f>
        <v>35</v>
      </c>
      <c r="M11" s="51">
        <f>MAX(VLOOKUP(INDEX(英雄装备!$F:$BZ,MATCH($H11,英雄装备!$F:$F,0),MATCH(M$2,英雄装备!$1:$1,0)-5),装备属性!$A:$C,3,0),VLOOKUP(INDEX(英雄装备!$F:$BZ,MATCH($H11,英雄装备!$F:$F,0),MATCH(M$2,英雄装备!$1:$1,0)-4),装备属性!$A:$C,3,0),VLOOKUP(INDEX(英雄装备!$F:$BZ,MATCH($H11,英雄装备!$F:$F,0),MATCH(M$2,英雄装备!$1:$1,0)-3),装备属性!$A:$C,3,0),VLOOKUP(INDEX(英雄装备!$F:$BZ,MATCH($H11,英雄装备!$F:$F,0),MATCH(M$2,英雄装备!$1:$1,0)-2),装备属性!$A:$C,3,0),VLOOKUP(INDEX(英雄装备!$F:$BZ,MATCH($H11,英雄装备!$F:$F,0),MATCH(M$2,英雄装备!$1:$1,0)-1),装备属性!$A:$C,3,0),VLOOKUP(INDEX(英雄装备!$F:$BZ,MATCH($H11,英雄装备!$F:$F,0),MATCH(M$2,英雄装备!$1:$1,0)),装备属性!$A:$C,3,0))</f>
        <v>41</v>
      </c>
      <c r="N11" s="51">
        <f>MAX(VLOOKUP(INDEX(英雄装备!$F:$BZ,MATCH($H11,英雄装备!$F:$F,0),MATCH(N$2,英雄装备!$1:$1,0)-5),装备属性!$A:$C,3,0),VLOOKUP(INDEX(英雄装备!$F:$BZ,MATCH($H11,英雄装备!$F:$F,0),MATCH(N$2,英雄装备!$1:$1,0)-4),装备属性!$A:$C,3,0),VLOOKUP(INDEX(英雄装备!$F:$BZ,MATCH($H11,英雄装备!$F:$F,0),MATCH(N$2,英雄装备!$1:$1,0)-3),装备属性!$A:$C,3,0),VLOOKUP(INDEX(英雄装备!$F:$BZ,MATCH($H11,英雄装备!$F:$F,0),MATCH(N$2,英雄装备!$1:$1,0)-2),装备属性!$A:$C,3,0),VLOOKUP(INDEX(英雄装备!$F:$BZ,MATCH($H11,英雄装备!$F:$F,0),MATCH(N$2,英雄装备!$1:$1,0)-1),装备属性!$A:$C,3,0),VLOOKUP(INDEX(英雄装备!$F:$BZ,MATCH($H11,英雄装备!$F:$F,0),MATCH(N$2,英雄装备!$1:$1,0)),装备属性!$A:$C,3,0))</f>
        <v>52</v>
      </c>
      <c r="O11" s="51">
        <f>MAX(VLOOKUP(INDEX(英雄装备!$F:$BZ,MATCH($H11,英雄装备!$F:$F,0),MATCH(O$2,英雄装备!$1:$1,0)-5),装备属性!$A:$C,3,0),VLOOKUP(INDEX(英雄装备!$F:$BZ,MATCH($H11,英雄装备!$F:$F,0),MATCH(O$2,英雄装备!$1:$1,0)-4),装备属性!$A:$C,3,0),VLOOKUP(INDEX(英雄装备!$F:$BZ,MATCH($H11,英雄装备!$F:$F,0),MATCH(O$2,英雄装备!$1:$1,0)-3),装备属性!$A:$C,3,0),VLOOKUP(INDEX(英雄装备!$F:$BZ,MATCH($H11,英雄装备!$F:$F,0),MATCH(O$2,英雄装备!$1:$1,0)-2),装备属性!$A:$C,3,0),VLOOKUP(INDEX(英雄装备!$F:$BZ,MATCH($H11,英雄装备!$F:$F,0),MATCH(O$2,英雄装备!$1:$1,0)-1),装备属性!$A:$C,3,0),VLOOKUP(INDEX(英雄装备!$F:$BZ,MATCH($H11,英雄装备!$F:$F,0),MATCH(O$2,英雄装备!$1:$1,0)),装备属性!$A:$C,3,0))</f>
        <v>62</v>
      </c>
      <c r="P11" s="51">
        <f>MAX(VLOOKUP(INDEX(英雄装备!$F:$BZ,MATCH($H11,英雄装备!$F:$F,0),MATCH(P$2,英雄装备!$1:$1,0)-5),装备属性!$A:$C,3,0),VLOOKUP(INDEX(英雄装备!$F:$BZ,MATCH($H11,英雄装备!$F:$F,0),MATCH(P$2,英雄装备!$1:$1,0)-4),装备属性!$A:$C,3,0),VLOOKUP(INDEX(英雄装备!$F:$BZ,MATCH($H11,英雄装备!$F:$F,0),MATCH(P$2,英雄装备!$1:$1,0)-3),装备属性!$A:$C,3,0),VLOOKUP(INDEX(英雄装备!$F:$BZ,MATCH($H11,英雄装备!$F:$F,0),MATCH(P$2,英雄装备!$1:$1,0)-2),装备属性!$A:$C,3,0),VLOOKUP(INDEX(英雄装备!$F:$BZ,MATCH($H11,英雄装备!$F:$F,0),MATCH(P$2,英雄装备!$1:$1,0)-1),装备属性!$A:$C,3,0),VLOOKUP(INDEX(英雄装备!$F:$BZ,MATCH($H11,英雄装备!$F:$F,0),MATCH(P$2,英雄装备!$1:$1,0)),装备属性!$A:$C,3,0))</f>
        <v>70</v>
      </c>
      <c r="Q11" s="51">
        <f>MAX(VLOOKUP(INDEX(英雄装备!$F:$BZ,MATCH($H11,英雄装备!$F:$F,0),MATCH(Q$2,英雄装备!$1:$1,0)-5),装备属性!$A:$C,3,0),VLOOKUP(INDEX(英雄装备!$F:$BZ,MATCH($H11,英雄装备!$F:$F,0),MATCH(Q$2,英雄装备!$1:$1,0)-4),装备属性!$A:$C,3,0),VLOOKUP(INDEX(英雄装备!$F:$BZ,MATCH($H11,英雄装备!$F:$F,0),MATCH(Q$2,英雄装备!$1:$1,0)-3),装备属性!$A:$C,3,0),VLOOKUP(INDEX(英雄装备!$F:$BZ,MATCH($H11,英雄装备!$F:$F,0),MATCH(Q$2,英雄装备!$1:$1,0)-2),装备属性!$A:$C,3,0),VLOOKUP(INDEX(英雄装备!$F:$BZ,MATCH($H11,英雄装备!$F:$F,0),MATCH(Q$2,英雄装备!$1:$1,0)-1),装备属性!$A:$C,3,0),VLOOKUP(INDEX(英雄装备!$F:$BZ,MATCH($H11,英雄装备!$F:$F,0),MATCH(Q$2,英雄装备!$1:$1,0)),装备属性!$A:$C,3,0))</f>
        <v>72</v>
      </c>
      <c r="R11" s="51">
        <f>MAX(VLOOKUP(INDEX(英雄装备!$F:$BZ,MATCH($H11,英雄装备!$F:$F,0),MATCH(R$2,英雄装备!$1:$1,0)-5),装备属性!$A:$C,3,0),VLOOKUP(INDEX(英雄装备!$F:$BZ,MATCH($H11,英雄装备!$F:$F,0),MATCH(R$2,英雄装备!$1:$1,0)-4),装备属性!$A:$C,3,0),VLOOKUP(INDEX(英雄装备!$F:$BZ,MATCH($H11,英雄装备!$F:$F,0),MATCH(R$2,英雄装备!$1:$1,0)-3),装备属性!$A:$C,3,0),VLOOKUP(INDEX(英雄装备!$F:$BZ,MATCH($H11,英雄装备!$F:$F,0),MATCH(R$2,英雄装备!$1:$1,0)-2),装备属性!$A:$C,3,0),VLOOKUP(INDEX(英雄装备!$F:$BZ,MATCH($H11,英雄装备!$F:$F,0),MATCH(R$2,英雄装备!$1:$1,0)-1),装备属性!$A:$C,3,0),VLOOKUP(INDEX(英雄装备!$F:$BZ,MATCH($H11,英雄装备!$F:$F,0),MATCH(R$2,英雄装备!$1:$1,0)),装备属性!$A:$C,3,0))</f>
        <v>80</v>
      </c>
      <c r="S11" s="51">
        <f>MAX(VLOOKUP(INDEX(英雄装备!$F:$BZ,MATCH($H11,英雄装备!$F:$F,0),MATCH(S$2,英雄装备!$1:$1,0)-5),装备属性!$A:$C,3,0),VLOOKUP(INDEX(英雄装备!$F:$BZ,MATCH($H11,英雄装备!$F:$F,0),MATCH(S$2,英雄装备!$1:$1,0)-4),装备属性!$A:$C,3,0),VLOOKUP(INDEX(英雄装备!$F:$BZ,MATCH($H11,英雄装备!$F:$F,0),MATCH(S$2,英雄装备!$1:$1,0)-3),装备属性!$A:$C,3,0),VLOOKUP(INDEX(英雄装备!$F:$BZ,MATCH($H11,英雄装备!$F:$F,0),MATCH(S$2,英雄装备!$1:$1,0)-2),装备属性!$A:$C,3,0),VLOOKUP(INDEX(英雄装备!$F:$BZ,MATCH($H11,英雄装备!$F:$F,0),MATCH(S$2,英雄装备!$1:$1,0)-1),装备属性!$A:$C,3,0),VLOOKUP(INDEX(英雄装备!$F:$BZ,MATCH($H11,英雄装备!$F:$F,0),MATCH(S$2,英雄装备!$1:$1,0)),装备属性!$A:$C,3,0))</f>
        <v>84</v>
      </c>
      <c r="T11" s="51">
        <f>MAX(VLOOKUP(INDEX(英雄装备!$F:$BZ,MATCH($H11,英雄装备!$F:$F,0),MATCH(T$2,英雄装备!$1:$1,0)-5),装备属性!$A:$C,3,0),VLOOKUP(INDEX(英雄装备!$F:$BZ,MATCH($H11,英雄装备!$F:$F,0),MATCH(T$2,英雄装备!$1:$1,0)-4),装备属性!$A:$C,3,0),VLOOKUP(INDEX(英雄装备!$F:$BZ,MATCH($H11,英雄装备!$F:$F,0),MATCH(T$2,英雄装备!$1:$1,0)-3),装备属性!$A:$C,3,0),VLOOKUP(INDEX(英雄装备!$F:$BZ,MATCH($H11,英雄装备!$F:$F,0),MATCH(T$2,英雄装备!$1:$1,0)-2),装备属性!$A:$C,3,0),VLOOKUP(INDEX(英雄装备!$F:$BZ,MATCH($H11,英雄装备!$F:$F,0),MATCH(T$2,英雄装备!$1:$1,0)-1),装备属性!$A:$C,3,0))</f>
        <v>88</v>
      </c>
      <c r="W11" s="151" t="str">
        <f>IF($V$2&lt;11,"","紫+4")</f>
        <v>紫+4</v>
      </c>
      <c r="X11" s="151" t="str">
        <f>VLOOKUP(英雄对比!$G$2,英雄装备!$F:$BZ,62,0)</f>
        <v>欺诈者之剑</v>
      </c>
      <c r="Y11" s="151" t="str">
        <f>VLOOKUP(英雄对比!$G$2,英雄装备!$F:$BZ,63,0)</f>
        <v>鹰羽指环</v>
      </c>
      <c r="Z11" s="151" t="str">
        <f>VLOOKUP(英雄对比!$G$2,英雄装备!$F:$BZ,64,0)</f>
        <v>撒旦</v>
      </c>
      <c r="AA11" s="151" t="str">
        <f>VLOOKUP(英雄对比!$G$2,英雄装备!$F:$BZ,65,0)</f>
        <v>龙心</v>
      </c>
      <c r="AB11" s="151" t="str">
        <f>VLOOKUP(英雄对比!$G$2,英雄装备!$F:$BZ,66,0)</f>
        <v>射手指环</v>
      </c>
      <c r="AC11" s="151" t="str">
        <f>VLOOKUP(英雄对比!$G$2,英雄装备!$F:$BZ,67,0)</f>
        <v>疾行鞋</v>
      </c>
      <c r="AG11" s="232" t="s">
        <v>1097</v>
      </c>
      <c r="AH11" s="232" t="s">
        <v>203</v>
      </c>
      <c r="AI11" s="232" t="s">
        <v>3</v>
      </c>
      <c r="AJ11" s="232">
        <f>IFERROR(VLOOKUP($V$2-1,$AF$97:$BB$108,3,0),0)</f>
        <v>473</v>
      </c>
      <c r="AK11" s="232" t="s">
        <v>4</v>
      </c>
      <c r="AL11" s="232">
        <f>IFERROR(VLOOKUP($V$2-1,$AF$97:$BB$108,4,0),0)</f>
        <v>327</v>
      </c>
      <c r="AM11" s="232" t="s">
        <v>5</v>
      </c>
      <c r="AN11" s="232">
        <f>IFERROR(VLOOKUP($V$2-1,$AF$97:$BB$108,5,0),0)</f>
        <v>207</v>
      </c>
    </row>
    <row r="12" spans="1:52">
      <c r="B12" s="151" t="str">
        <f>英雄初始!A13</f>
        <v>白虎</v>
      </c>
      <c r="E12" s="151" t="str">
        <f>进阶奖励!$A16</f>
        <v>绿</v>
      </c>
      <c r="F12" s="151">
        <v>2</v>
      </c>
      <c r="G12" s="152">
        <f>VLOOKUP(英雄对比!$G$2,中介表格3!$H:$T,3,0)</f>
        <v>11</v>
      </c>
      <c r="H12" s="54" t="s">
        <v>165</v>
      </c>
      <c r="I12" s="51">
        <f>MAX(VLOOKUP(INDEX(英雄装备!$F:$BZ,MATCH($H12,英雄装备!$F:$F,0),MATCH(I$2,英雄装备!$1:$1,0)-5),装备属性!$A:$C,3,0),VLOOKUP(INDEX(英雄装备!$F:$BZ,MATCH($H12,英雄装备!$F:$F,0),MATCH(I$2,英雄装备!$1:$1,0)-4),装备属性!$A:$C,3,0),VLOOKUP(INDEX(英雄装备!$F:$BZ,MATCH($H12,英雄装备!$F:$F,0),MATCH(I$2,英雄装备!$1:$1,0)-3),装备属性!$A:$C,3,0),VLOOKUP(INDEX(英雄装备!$F:$BZ,MATCH($H12,英雄装备!$F:$F,0),MATCH(I$2,英雄装备!$1:$1,0)-2),装备属性!$A:$C,3,0),VLOOKUP(INDEX(英雄装备!$F:$BZ,MATCH($H12,英雄装备!$F:$F,0),MATCH(I$2,英雄装备!$1:$1,0)-1),装备属性!$A:$C,3,0),VLOOKUP(INDEX(英雄装备!$F:$BZ,MATCH($H12,英雄装备!$F:$F,0),MATCH(I$2,英雄装备!$1:$1,0)),装备属性!$A:$C,3,0))</f>
        <v>2</v>
      </c>
      <c r="J12" s="51">
        <f>MAX(VLOOKUP(INDEX(英雄装备!$F:$BZ,MATCH($H12,英雄装备!$F:$F,0),MATCH(J$2,英雄装备!$1:$1,0)-5),装备属性!$A:$C,3,0),VLOOKUP(INDEX(英雄装备!$F:$BZ,MATCH($H12,英雄装备!$F:$F,0),MATCH(J$2,英雄装备!$1:$1,0)-4),装备属性!$A:$C,3,0),VLOOKUP(INDEX(英雄装备!$F:$BZ,MATCH($H12,英雄装备!$F:$F,0),MATCH(J$2,英雄装备!$1:$1,0)-3),装备属性!$A:$C,3,0),VLOOKUP(INDEX(英雄装备!$F:$BZ,MATCH($H12,英雄装备!$F:$F,0),MATCH(J$2,英雄装备!$1:$1,0)-2),装备属性!$A:$C,3,0),VLOOKUP(INDEX(英雄装备!$F:$BZ,MATCH($H12,英雄装备!$F:$F,0),MATCH(J$2,英雄装备!$1:$1,0)-1),装备属性!$A:$C,3,0),VLOOKUP(INDEX(英雄装备!$F:$BZ,MATCH($H12,英雄装备!$F:$F,0),MATCH(J$2,英雄装备!$1:$1,0)),装备属性!$A:$C,3,0))</f>
        <v>10</v>
      </c>
      <c r="K12" s="51">
        <f>MAX(VLOOKUP(INDEX(英雄装备!$F:$BZ,MATCH($H12,英雄装备!$F:$F,0),MATCH(K$2,英雄装备!$1:$1,0)-5),装备属性!$A:$C,3,0),VLOOKUP(INDEX(英雄装备!$F:$BZ,MATCH($H12,英雄装备!$F:$F,0),MATCH(K$2,英雄装备!$1:$1,0)-4),装备属性!$A:$C,3,0),VLOOKUP(INDEX(英雄装备!$F:$BZ,MATCH($H12,英雄装备!$F:$F,0),MATCH(K$2,英雄装备!$1:$1,0)-3),装备属性!$A:$C,3,0),VLOOKUP(INDEX(英雄装备!$F:$BZ,MATCH($H12,英雄装备!$F:$F,0),MATCH(K$2,英雄装备!$1:$1,0)-2),装备属性!$A:$C,3,0),VLOOKUP(INDEX(英雄装备!$F:$BZ,MATCH($H12,英雄装备!$F:$F,0),MATCH(K$2,英雄装备!$1:$1,0)-1),装备属性!$A:$C,3,0),VLOOKUP(INDEX(英雄装备!$F:$BZ,MATCH($H12,英雄装备!$F:$F,0),MATCH(K$2,英雄装备!$1:$1,0)),装备属性!$A:$C,3,0))</f>
        <v>26</v>
      </c>
      <c r="L12" s="51">
        <f>MAX(VLOOKUP(INDEX(英雄装备!$F:$BZ,MATCH($H12,英雄装备!$F:$F,0),MATCH(L$2,英雄装备!$1:$1,0)-5),装备属性!$A:$C,3,0),VLOOKUP(INDEX(英雄装备!$F:$BZ,MATCH($H12,英雄装备!$F:$F,0),MATCH(L$2,英雄装备!$1:$1,0)-4),装备属性!$A:$C,3,0),VLOOKUP(INDEX(英雄装备!$F:$BZ,MATCH($H12,英雄装备!$F:$F,0),MATCH(L$2,英雄装备!$1:$1,0)-3),装备属性!$A:$C,3,0),VLOOKUP(INDEX(英雄装备!$F:$BZ,MATCH($H12,英雄装备!$F:$F,0),MATCH(L$2,英雄装备!$1:$1,0)-2),装备属性!$A:$C,3,0),VLOOKUP(INDEX(英雄装备!$F:$BZ,MATCH($H12,英雄装备!$F:$F,0),MATCH(L$2,英雄装备!$1:$1,0)-1),装备属性!$A:$C,3,0),VLOOKUP(INDEX(英雄装备!$F:$BZ,MATCH($H12,英雄装备!$F:$F,0),MATCH(L$2,英雄装备!$1:$1,0)),装备属性!$A:$C,3,0))</f>
        <v>35</v>
      </c>
      <c r="M12" s="51">
        <f>MAX(VLOOKUP(INDEX(英雄装备!$F:$BZ,MATCH($H12,英雄装备!$F:$F,0),MATCH(M$2,英雄装备!$1:$1,0)-5),装备属性!$A:$C,3,0),VLOOKUP(INDEX(英雄装备!$F:$BZ,MATCH($H12,英雄装备!$F:$F,0),MATCH(M$2,英雄装备!$1:$1,0)-4),装备属性!$A:$C,3,0),VLOOKUP(INDEX(英雄装备!$F:$BZ,MATCH($H12,英雄装备!$F:$F,0),MATCH(M$2,英雄装备!$1:$1,0)-3),装备属性!$A:$C,3,0),VLOOKUP(INDEX(英雄装备!$F:$BZ,MATCH($H12,英雄装备!$F:$F,0),MATCH(M$2,英雄装备!$1:$1,0)-2),装备属性!$A:$C,3,0),VLOOKUP(INDEX(英雄装备!$F:$BZ,MATCH($H12,英雄装备!$F:$F,0),MATCH(M$2,英雄装备!$1:$1,0)-1),装备属性!$A:$C,3,0),VLOOKUP(INDEX(英雄装备!$F:$BZ,MATCH($H12,英雄装备!$F:$F,0),MATCH(M$2,英雄装备!$1:$1,0)),装备属性!$A:$C,3,0))</f>
        <v>42</v>
      </c>
      <c r="N12" s="51">
        <f>MAX(VLOOKUP(INDEX(英雄装备!$F:$BZ,MATCH($H12,英雄装备!$F:$F,0),MATCH(N$2,英雄装备!$1:$1,0)-5),装备属性!$A:$C,3,0),VLOOKUP(INDEX(英雄装备!$F:$BZ,MATCH($H12,英雄装备!$F:$F,0),MATCH(N$2,英雄装备!$1:$1,0)-4),装备属性!$A:$C,3,0),VLOOKUP(INDEX(英雄装备!$F:$BZ,MATCH($H12,英雄装备!$F:$F,0),MATCH(N$2,英雄装备!$1:$1,0)-3),装备属性!$A:$C,3,0),VLOOKUP(INDEX(英雄装备!$F:$BZ,MATCH($H12,英雄装备!$F:$F,0),MATCH(N$2,英雄装备!$1:$1,0)-2),装备属性!$A:$C,3,0),VLOOKUP(INDEX(英雄装备!$F:$BZ,MATCH($H12,英雄装备!$F:$F,0),MATCH(N$2,英雄装备!$1:$1,0)-1),装备属性!$A:$C,3,0),VLOOKUP(INDEX(英雄装备!$F:$BZ,MATCH($H12,英雄装备!$F:$F,0),MATCH(N$2,英雄装备!$1:$1,0)),装备属性!$A:$C,3,0))</f>
        <v>53</v>
      </c>
      <c r="O12" s="51">
        <f>MAX(VLOOKUP(INDEX(英雄装备!$F:$BZ,MATCH($H12,英雄装备!$F:$F,0),MATCH(O$2,英雄装备!$1:$1,0)-5),装备属性!$A:$C,3,0),VLOOKUP(INDEX(英雄装备!$F:$BZ,MATCH($H12,英雄装备!$F:$F,0),MATCH(O$2,英雄装备!$1:$1,0)-4),装备属性!$A:$C,3,0),VLOOKUP(INDEX(英雄装备!$F:$BZ,MATCH($H12,英雄装备!$F:$F,0),MATCH(O$2,英雄装备!$1:$1,0)-3),装备属性!$A:$C,3,0),VLOOKUP(INDEX(英雄装备!$F:$BZ,MATCH($H12,英雄装备!$F:$F,0),MATCH(O$2,英雄装备!$1:$1,0)-2),装备属性!$A:$C,3,0),VLOOKUP(INDEX(英雄装备!$F:$BZ,MATCH($H12,英雄装备!$F:$F,0),MATCH(O$2,英雄装备!$1:$1,0)-1),装备属性!$A:$C,3,0),VLOOKUP(INDEX(英雄装备!$F:$BZ,MATCH($H12,英雄装备!$F:$F,0),MATCH(O$2,英雄装备!$1:$1,0)),装备属性!$A:$C,3,0))</f>
        <v>62</v>
      </c>
      <c r="P12" s="51">
        <f>MAX(VLOOKUP(INDEX(英雄装备!$F:$BZ,MATCH($H12,英雄装备!$F:$F,0),MATCH(P$2,英雄装备!$1:$1,0)-5),装备属性!$A:$C,3,0),VLOOKUP(INDEX(英雄装备!$F:$BZ,MATCH($H12,英雄装备!$F:$F,0),MATCH(P$2,英雄装备!$1:$1,0)-4),装备属性!$A:$C,3,0),VLOOKUP(INDEX(英雄装备!$F:$BZ,MATCH($H12,英雄装备!$F:$F,0),MATCH(P$2,英雄装备!$1:$1,0)-3),装备属性!$A:$C,3,0),VLOOKUP(INDEX(英雄装备!$F:$BZ,MATCH($H12,英雄装备!$F:$F,0),MATCH(P$2,英雄装备!$1:$1,0)-2),装备属性!$A:$C,3,0),VLOOKUP(INDEX(英雄装备!$F:$BZ,MATCH($H12,英雄装备!$F:$F,0),MATCH(P$2,英雄装备!$1:$1,0)-1),装备属性!$A:$C,3,0),VLOOKUP(INDEX(英雄装备!$F:$BZ,MATCH($H12,英雄装备!$F:$F,0),MATCH(P$2,英雄装备!$1:$1,0)),装备属性!$A:$C,3,0))</f>
        <v>70</v>
      </c>
      <c r="Q12" s="51">
        <f>MAX(VLOOKUP(INDEX(英雄装备!$F:$BZ,MATCH($H12,英雄装备!$F:$F,0),MATCH(Q$2,英雄装备!$1:$1,0)-5),装备属性!$A:$C,3,0),VLOOKUP(INDEX(英雄装备!$F:$BZ,MATCH($H12,英雄装备!$F:$F,0),MATCH(Q$2,英雄装备!$1:$1,0)-4),装备属性!$A:$C,3,0),VLOOKUP(INDEX(英雄装备!$F:$BZ,MATCH($H12,英雄装备!$F:$F,0),MATCH(Q$2,英雄装备!$1:$1,0)-3),装备属性!$A:$C,3,0),VLOOKUP(INDEX(英雄装备!$F:$BZ,MATCH($H12,英雄装备!$F:$F,0),MATCH(Q$2,英雄装备!$1:$1,0)-2),装备属性!$A:$C,3,0),VLOOKUP(INDEX(英雄装备!$F:$BZ,MATCH($H12,英雄装备!$F:$F,0),MATCH(Q$2,英雄装备!$1:$1,0)-1),装备属性!$A:$C,3,0),VLOOKUP(INDEX(英雄装备!$F:$BZ,MATCH($H12,英雄装备!$F:$F,0),MATCH(Q$2,英雄装备!$1:$1,0)),装备属性!$A:$C,3,0))</f>
        <v>79</v>
      </c>
      <c r="R12" s="51">
        <f>MAX(VLOOKUP(INDEX(英雄装备!$F:$BZ,MATCH($H12,英雄装备!$F:$F,0),MATCH(R$2,英雄装备!$1:$1,0)-5),装备属性!$A:$C,3,0),VLOOKUP(INDEX(英雄装备!$F:$BZ,MATCH($H12,英雄装备!$F:$F,0),MATCH(R$2,英雄装备!$1:$1,0)-4),装备属性!$A:$C,3,0),VLOOKUP(INDEX(英雄装备!$F:$BZ,MATCH($H12,英雄装备!$F:$F,0),MATCH(R$2,英雄装备!$1:$1,0)-3),装备属性!$A:$C,3,0),VLOOKUP(INDEX(英雄装备!$F:$BZ,MATCH($H12,英雄装备!$F:$F,0),MATCH(R$2,英雄装备!$1:$1,0)-2),装备属性!$A:$C,3,0),VLOOKUP(INDEX(英雄装备!$F:$BZ,MATCH($H12,英雄装备!$F:$F,0),MATCH(R$2,英雄装备!$1:$1,0)-1),装备属性!$A:$C,3,0),VLOOKUP(INDEX(英雄装备!$F:$BZ,MATCH($H12,英雄装备!$F:$F,0),MATCH(R$2,英雄装备!$1:$1,0)),装备属性!$A:$C,3,0))</f>
        <v>80</v>
      </c>
      <c r="S12" s="51">
        <f>MAX(VLOOKUP(INDEX(英雄装备!$F:$BZ,MATCH($H12,英雄装备!$F:$F,0),MATCH(S$2,英雄装备!$1:$1,0)-5),装备属性!$A:$C,3,0),VLOOKUP(INDEX(英雄装备!$F:$BZ,MATCH($H12,英雄装备!$F:$F,0),MATCH(S$2,英雄装备!$1:$1,0)-4),装备属性!$A:$C,3,0),VLOOKUP(INDEX(英雄装备!$F:$BZ,MATCH($H12,英雄装备!$F:$F,0),MATCH(S$2,英雄装备!$1:$1,0)-3),装备属性!$A:$C,3,0),VLOOKUP(INDEX(英雄装备!$F:$BZ,MATCH($H12,英雄装备!$F:$F,0),MATCH(S$2,英雄装备!$1:$1,0)-2),装备属性!$A:$C,3,0),VLOOKUP(INDEX(英雄装备!$F:$BZ,MATCH($H12,英雄装备!$F:$F,0),MATCH(S$2,英雄装备!$1:$1,0)-1),装备属性!$A:$C,3,0),VLOOKUP(INDEX(英雄装备!$F:$BZ,MATCH($H12,英雄装备!$F:$F,0),MATCH(S$2,英雄装备!$1:$1,0)),装备属性!$A:$C,3,0))</f>
        <v>85</v>
      </c>
      <c r="T12" s="51">
        <f>MAX(VLOOKUP(INDEX(英雄装备!$F:$BZ,MATCH($H12,英雄装备!$F:$F,0),MATCH(T$2,英雄装备!$1:$1,0)-5),装备属性!$A:$C,3,0),VLOOKUP(INDEX(英雄装备!$F:$BZ,MATCH($H12,英雄装备!$F:$F,0),MATCH(T$2,英雄装备!$1:$1,0)-4),装备属性!$A:$C,3,0),VLOOKUP(INDEX(英雄装备!$F:$BZ,MATCH($H12,英雄装备!$F:$F,0),MATCH(T$2,英雄装备!$1:$1,0)-3),装备属性!$A:$C,3,0),VLOOKUP(INDEX(英雄装备!$F:$BZ,MATCH($H12,英雄装备!$F:$F,0),MATCH(T$2,英雄装备!$1:$1,0)-2),装备属性!$A:$C,3,0),VLOOKUP(INDEX(英雄装备!$F:$BZ,MATCH($H12,英雄装备!$F:$F,0),MATCH(T$2,英雄装备!$1:$1,0)-1),装备属性!$A:$C,3,0))</f>
        <v>88</v>
      </c>
      <c r="W12" s="151" t="str">
        <f>IF($V$2&lt;12,"","橙")</f>
        <v>橙</v>
      </c>
      <c r="X12" s="151" t="str">
        <f>VLOOKUP(英雄对比!$G$2,英雄装备!$F:$BZ,68,0)</f>
        <v>雷霆之怒</v>
      </c>
      <c r="Y12" s="151" t="str">
        <f>VLOOKUP(英雄对比!$G$2,英雄装备!$F:$BZ,69,0)</f>
        <v>大天使之剑</v>
      </c>
      <c r="Z12" s="151" t="str">
        <f>VLOOKUP(英雄对比!$G$2,英雄装备!$F:$BZ,70,0)</f>
        <v>林肯</v>
      </c>
      <c r="AA12" s="151" t="str">
        <f>VLOOKUP(英雄对比!$G$2,英雄装备!$F:$BZ,71,0)</f>
        <v>恶魔之矢</v>
      </c>
      <c r="AB12" s="151" t="str">
        <f>VLOOKUP(英雄对比!$G$2,英雄装备!$F:$BZ,72,0)</f>
        <v>疾行鞋</v>
      </c>
      <c r="AC12" s="141" t="s">
        <v>2102</v>
      </c>
      <c r="AG12" s="232"/>
      <c r="AH12" s="232"/>
      <c r="AI12" s="232"/>
      <c r="AJ12" s="232"/>
      <c r="AK12" s="232"/>
      <c r="AL12" s="232"/>
      <c r="AM12" s="232"/>
      <c r="AN12" s="232"/>
    </row>
    <row r="13" spans="1:52">
      <c r="B13" s="151" t="str">
        <f>英雄初始!A14</f>
        <v>电魂</v>
      </c>
      <c r="E13" s="151" t="str">
        <f>进阶奖励!$A17</f>
        <v>绿+1</v>
      </c>
      <c r="F13" s="151">
        <v>3</v>
      </c>
      <c r="G13" s="152">
        <f>VLOOKUP(英雄对比!$G$2,中介表格3!$H:$T,4,0)</f>
        <v>25</v>
      </c>
      <c r="H13" s="54" t="s">
        <v>166</v>
      </c>
      <c r="I13" s="51">
        <f>MAX(VLOOKUP(INDEX(英雄装备!$F:$BZ,MATCH($H13,英雄装备!$F:$F,0),MATCH(I$2,英雄装备!$1:$1,0)-5),装备属性!$A:$C,3,0),VLOOKUP(INDEX(英雄装备!$F:$BZ,MATCH($H13,英雄装备!$F:$F,0),MATCH(I$2,英雄装备!$1:$1,0)-4),装备属性!$A:$C,3,0),VLOOKUP(INDEX(英雄装备!$F:$BZ,MATCH($H13,英雄装备!$F:$F,0),MATCH(I$2,英雄装备!$1:$1,0)-3),装备属性!$A:$C,3,0),VLOOKUP(INDEX(英雄装备!$F:$BZ,MATCH($H13,英雄装备!$F:$F,0),MATCH(I$2,英雄装备!$1:$1,0)-2),装备属性!$A:$C,3,0),VLOOKUP(INDEX(英雄装备!$F:$BZ,MATCH($H13,英雄装备!$F:$F,0),MATCH(I$2,英雄装备!$1:$1,0)-1),装备属性!$A:$C,3,0),VLOOKUP(INDEX(英雄装备!$F:$BZ,MATCH($H13,英雄装备!$F:$F,0),MATCH(I$2,英雄装备!$1:$1,0)),装备属性!$A:$C,3,0))</f>
        <v>2</v>
      </c>
      <c r="J13" s="51">
        <f>MAX(VLOOKUP(INDEX(英雄装备!$F:$BZ,MATCH($H13,英雄装备!$F:$F,0),MATCH(J$2,英雄装备!$1:$1,0)-5),装备属性!$A:$C,3,0),VLOOKUP(INDEX(英雄装备!$F:$BZ,MATCH($H13,英雄装备!$F:$F,0),MATCH(J$2,英雄装备!$1:$1,0)-4),装备属性!$A:$C,3,0),VLOOKUP(INDEX(英雄装备!$F:$BZ,MATCH($H13,英雄装备!$F:$F,0),MATCH(J$2,英雄装备!$1:$1,0)-3),装备属性!$A:$C,3,0),VLOOKUP(INDEX(英雄装备!$F:$BZ,MATCH($H13,英雄装备!$F:$F,0),MATCH(J$2,英雄装备!$1:$1,0)-2),装备属性!$A:$C,3,0),VLOOKUP(INDEX(英雄装备!$F:$BZ,MATCH($H13,英雄装备!$F:$F,0),MATCH(J$2,英雄装备!$1:$1,0)-1),装备属性!$A:$C,3,0),VLOOKUP(INDEX(英雄装备!$F:$BZ,MATCH($H13,英雄装备!$F:$F,0),MATCH(J$2,英雄装备!$1:$1,0)),装备属性!$A:$C,3,0))</f>
        <v>12</v>
      </c>
      <c r="K13" s="51">
        <f>MAX(VLOOKUP(INDEX(英雄装备!$F:$BZ,MATCH($H13,英雄装备!$F:$F,0),MATCH(K$2,英雄装备!$1:$1,0)-5),装备属性!$A:$C,3,0),VLOOKUP(INDEX(英雄装备!$F:$BZ,MATCH($H13,英雄装备!$F:$F,0),MATCH(K$2,英雄装备!$1:$1,0)-4),装备属性!$A:$C,3,0),VLOOKUP(INDEX(英雄装备!$F:$BZ,MATCH($H13,英雄装备!$F:$F,0),MATCH(K$2,英雄装备!$1:$1,0)-3),装备属性!$A:$C,3,0),VLOOKUP(INDEX(英雄装备!$F:$BZ,MATCH($H13,英雄装备!$F:$F,0),MATCH(K$2,英雄装备!$1:$1,0)-2),装备属性!$A:$C,3,0),VLOOKUP(INDEX(英雄装备!$F:$BZ,MATCH($H13,英雄装备!$F:$F,0),MATCH(K$2,英雄装备!$1:$1,0)-1),装备属性!$A:$C,3,0),VLOOKUP(INDEX(英雄装备!$F:$BZ,MATCH($H13,英雄装备!$F:$F,0),MATCH(K$2,英雄装备!$1:$1,0)),装备属性!$A:$C,3,0))</f>
        <v>22</v>
      </c>
      <c r="L13" s="51">
        <f>MAX(VLOOKUP(INDEX(英雄装备!$F:$BZ,MATCH($H13,英雄装备!$F:$F,0),MATCH(L$2,英雄装备!$1:$1,0)-5),装备属性!$A:$C,3,0),VLOOKUP(INDEX(英雄装备!$F:$BZ,MATCH($H13,英雄装备!$F:$F,0),MATCH(L$2,英雄装备!$1:$1,0)-4),装备属性!$A:$C,3,0),VLOOKUP(INDEX(英雄装备!$F:$BZ,MATCH($H13,英雄装备!$F:$F,0),MATCH(L$2,英雄装备!$1:$1,0)-3),装备属性!$A:$C,3,0),VLOOKUP(INDEX(英雄装备!$F:$BZ,MATCH($H13,英雄装备!$F:$F,0),MATCH(L$2,英雄装备!$1:$1,0)-2),装备属性!$A:$C,3,0),VLOOKUP(INDEX(英雄装备!$F:$BZ,MATCH($H13,英雄装备!$F:$F,0),MATCH(L$2,英雄装备!$1:$1,0)-1),装备属性!$A:$C,3,0),VLOOKUP(INDEX(英雄装备!$F:$BZ,MATCH($H13,英雄装备!$F:$F,0),MATCH(L$2,英雄装备!$1:$1,0)),装备属性!$A:$C,3,0))</f>
        <v>35</v>
      </c>
      <c r="M13" s="51">
        <f>MAX(VLOOKUP(INDEX(英雄装备!$F:$BZ,MATCH($H13,英雄装备!$F:$F,0),MATCH(M$2,英雄装备!$1:$1,0)-5),装备属性!$A:$C,3,0),VLOOKUP(INDEX(英雄装备!$F:$BZ,MATCH($H13,英雄装备!$F:$F,0),MATCH(M$2,英雄装备!$1:$1,0)-4),装备属性!$A:$C,3,0),VLOOKUP(INDEX(英雄装备!$F:$BZ,MATCH($H13,英雄装备!$F:$F,0),MATCH(M$2,英雄装备!$1:$1,0)-3),装备属性!$A:$C,3,0),VLOOKUP(INDEX(英雄装备!$F:$BZ,MATCH($H13,英雄装备!$F:$F,0),MATCH(M$2,英雄装备!$1:$1,0)-2),装备属性!$A:$C,3,0),VLOOKUP(INDEX(英雄装备!$F:$BZ,MATCH($H13,英雄装备!$F:$F,0),MATCH(M$2,英雄装备!$1:$1,0)-1),装备属性!$A:$C,3,0),VLOOKUP(INDEX(英雄装备!$F:$BZ,MATCH($H13,英雄装备!$F:$F,0),MATCH(M$2,英雄装备!$1:$1,0)),装备属性!$A:$C,3,0))</f>
        <v>43</v>
      </c>
      <c r="N13" s="51">
        <f>MAX(VLOOKUP(INDEX(英雄装备!$F:$BZ,MATCH($H13,英雄装备!$F:$F,0),MATCH(N$2,英雄装备!$1:$1,0)-5),装备属性!$A:$C,3,0),VLOOKUP(INDEX(英雄装备!$F:$BZ,MATCH($H13,英雄装备!$F:$F,0),MATCH(N$2,英雄装备!$1:$1,0)-4),装备属性!$A:$C,3,0),VLOOKUP(INDEX(英雄装备!$F:$BZ,MATCH($H13,英雄装备!$F:$F,0),MATCH(N$2,英雄装备!$1:$1,0)-3),装备属性!$A:$C,3,0),VLOOKUP(INDEX(英雄装备!$F:$BZ,MATCH($H13,英雄装备!$F:$F,0),MATCH(N$2,英雄装备!$1:$1,0)-2),装备属性!$A:$C,3,0),VLOOKUP(INDEX(英雄装备!$F:$BZ,MATCH($H13,英雄装备!$F:$F,0),MATCH(N$2,英雄装备!$1:$1,0)-1),装备属性!$A:$C,3,0),VLOOKUP(INDEX(英雄装备!$F:$BZ,MATCH($H13,英雄装备!$F:$F,0),MATCH(N$2,英雄装备!$1:$1,0)),装备属性!$A:$C,3,0))</f>
        <v>50</v>
      </c>
      <c r="O13" s="51">
        <f>MAX(VLOOKUP(INDEX(英雄装备!$F:$BZ,MATCH($H13,英雄装备!$F:$F,0),MATCH(O$2,英雄装备!$1:$1,0)-5),装备属性!$A:$C,3,0),VLOOKUP(INDEX(英雄装备!$F:$BZ,MATCH($H13,英雄装备!$F:$F,0),MATCH(O$2,英雄装备!$1:$1,0)-4),装备属性!$A:$C,3,0),VLOOKUP(INDEX(英雄装备!$F:$BZ,MATCH($H13,英雄装备!$F:$F,0),MATCH(O$2,英雄装备!$1:$1,0)-3),装备属性!$A:$C,3,0),VLOOKUP(INDEX(英雄装备!$F:$BZ,MATCH($H13,英雄装备!$F:$F,0),MATCH(O$2,英雄装备!$1:$1,0)-2),装备属性!$A:$C,3,0),VLOOKUP(INDEX(英雄装备!$F:$BZ,MATCH($H13,英雄装备!$F:$F,0),MATCH(O$2,英雄装备!$1:$1,0)-1),装备属性!$A:$C,3,0),VLOOKUP(INDEX(英雄装备!$F:$BZ,MATCH($H13,英雄装备!$F:$F,0),MATCH(O$2,英雄装备!$1:$1,0)),装备属性!$A:$C,3,0))</f>
        <v>64</v>
      </c>
      <c r="P13" s="51">
        <f>MAX(VLOOKUP(INDEX(英雄装备!$F:$BZ,MATCH($H13,英雄装备!$F:$F,0),MATCH(P$2,英雄装备!$1:$1,0)-5),装备属性!$A:$C,3,0),VLOOKUP(INDEX(英雄装备!$F:$BZ,MATCH($H13,英雄装备!$F:$F,0),MATCH(P$2,英雄装备!$1:$1,0)-4),装备属性!$A:$C,3,0),VLOOKUP(INDEX(英雄装备!$F:$BZ,MATCH($H13,英雄装备!$F:$F,0),MATCH(P$2,英雄装备!$1:$1,0)-3),装备属性!$A:$C,3,0),VLOOKUP(INDEX(英雄装备!$F:$BZ,MATCH($H13,英雄装备!$F:$F,0),MATCH(P$2,英雄装备!$1:$1,0)-2),装备属性!$A:$C,3,0),VLOOKUP(INDEX(英雄装备!$F:$BZ,MATCH($H13,英雄装备!$F:$F,0),MATCH(P$2,英雄装备!$1:$1,0)-1),装备属性!$A:$C,3,0),VLOOKUP(INDEX(英雄装备!$F:$BZ,MATCH($H13,英雄装备!$F:$F,0),MATCH(P$2,英雄装备!$1:$1,0)),装备属性!$A:$C,3,0))</f>
        <v>72</v>
      </c>
      <c r="Q13" s="51">
        <f>MAX(VLOOKUP(INDEX(英雄装备!$F:$BZ,MATCH($H13,英雄装备!$F:$F,0),MATCH(Q$2,英雄装备!$1:$1,0)-5),装备属性!$A:$C,3,0),VLOOKUP(INDEX(英雄装备!$F:$BZ,MATCH($H13,英雄装备!$F:$F,0),MATCH(Q$2,英雄装备!$1:$1,0)-4),装备属性!$A:$C,3,0),VLOOKUP(INDEX(英雄装备!$F:$BZ,MATCH($H13,英雄装备!$F:$F,0),MATCH(Q$2,英雄装备!$1:$1,0)-3),装备属性!$A:$C,3,0),VLOOKUP(INDEX(英雄装备!$F:$BZ,MATCH($H13,英雄装备!$F:$F,0),MATCH(Q$2,英雄装备!$1:$1,0)-2),装备属性!$A:$C,3,0),VLOOKUP(INDEX(英雄装备!$F:$BZ,MATCH($H13,英雄装备!$F:$F,0),MATCH(Q$2,英雄装备!$1:$1,0)-1),装备属性!$A:$C,3,0),VLOOKUP(INDEX(英雄装备!$F:$BZ,MATCH($H13,英雄装备!$F:$F,0),MATCH(Q$2,英雄装备!$1:$1,0)),装备属性!$A:$C,3,0))</f>
        <v>78</v>
      </c>
      <c r="R13" s="51">
        <f>MAX(VLOOKUP(INDEX(英雄装备!$F:$BZ,MATCH($H13,英雄装备!$F:$F,0),MATCH(R$2,英雄装备!$1:$1,0)-5),装备属性!$A:$C,3,0),VLOOKUP(INDEX(英雄装备!$F:$BZ,MATCH($H13,英雄装备!$F:$F,0),MATCH(R$2,英雄装备!$1:$1,0)-4),装备属性!$A:$C,3,0),VLOOKUP(INDEX(英雄装备!$F:$BZ,MATCH($H13,英雄装备!$F:$F,0),MATCH(R$2,英雄装备!$1:$1,0)-3),装备属性!$A:$C,3,0),VLOOKUP(INDEX(英雄装备!$F:$BZ,MATCH($H13,英雄装备!$F:$F,0),MATCH(R$2,英雄装备!$1:$1,0)-2),装备属性!$A:$C,3,0),VLOOKUP(INDEX(英雄装备!$F:$BZ,MATCH($H13,英雄装备!$F:$F,0),MATCH(R$2,英雄装备!$1:$1,0)-1),装备属性!$A:$C,3,0),VLOOKUP(INDEX(英雄装备!$F:$BZ,MATCH($H13,英雄装备!$F:$F,0),MATCH(R$2,英雄装备!$1:$1,0)),装备属性!$A:$C,3,0))</f>
        <v>80</v>
      </c>
      <c r="S13" s="51">
        <f>MAX(VLOOKUP(INDEX(英雄装备!$F:$BZ,MATCH($H13,英雄装备!$F:$F,0),MATCH(S$2,英雄装备!$1:$1,0)-5),装备属性!$A:$C,3,0),VLOOKUP(INDEX(英雄装备!$F:$BZ,MATCH($H13,英雄装备!$F:$F,0),MATCH(S$2,英雄装备!$1:$1,0)-4),装备属性!$A:$C,3,0),VLOOKUP(INDEX(英雄装备!$F:$BZ,MATCH($H13,英雄装备!$F:$F,0),MATCH(S$2,英雄装备!$1:$1,0)-3),装备属性!$A:$C,3,0),VLOOKUP(INDEX(英雄装备!$F:$BZ,MATCH($H13,英雄装备!$F:$F,0),MATCH(S$2,英雄装备!$1:$1,0)-2),装备属性!$A:$C,3,0),VLOOKUP(INDEX(英雄装备!$F:$BZ,MATCH($H13,英雄装备!$F:$F,0),MATCH(S$2,英雄装备!$1:$1,0)-1),装备属性!$A:$C,3,0),VLOOKUP(INDEX(英雄装备!$F:$BZ,MATCH($H13,英雄装备!$F:$F,0),MATCH(S$2,英雄装备!$1:$1,0)),装备属性!$A:$C,3,0))</f>
        <v>85</v>
      </c>
      <c r="T13" s="51">
        <f>MAX(VLOOKUP(INDEX(英雄装备!$F:$BZ,MATCH($H13,英雄装备!$F:$F,0),MATCH(T$2,英雄装备!$1:$1,0)-5),装备属性!$A:$C,3,0),VLOOKUP(INDEX(英雄装备!$F:$BZ,MATCH($H13,英雄装备!$F:$F,0),MATCH(T$2,英雄装备!$1:$1,0)-4),装备属性!$A:$C,3,0),VLOOKUP(INDEX(英雄装备!$F:$BZ,MATCH($H13,英雄装备!$F:$F,0),MATCH(T$2,英雄装备!$1:$1,0)-3),装备属性!$A:$C,3,0),VLOOKUP(INDEX(英雄装备!$F:$BZ,MATCH($H13,英雄装备!$F:$F,0),MATCH(T$2,英雄装备!$1:$1,0)-2),装备属性!$A:$C,3,0),VLOOKUP(INDEX(英雄装备!$F:$BZ,MATCH($H13,英雄装备!$F:$F,0),MATCH(T$2,英雄装备!$1:$1,0)-1),装备属性!$A:$C,3,0))</f>
        <v>89</v>
      </c>
      <c r="AG13" s="232"/>
      <c r="AH13" s="232" t="s">
        <v>1077</v>
      </c>
      <c r="AI13" s="50" t="s">
        <v>103</v>
      </c>
      <c r="AJ13" s="50" t="s">
        <v>14</v>
      </c>
      <c r="AK13" s="50" t="s">
        <v>47</v>
      </c>
      <c r="AL13" s="50" t="s">
        <v>35</v>
      </c>
      <c r="AM13" s="50" t="s">
        <v>38</v>
      </c>
      <c r="AN13" s="50" t="s">
        <v>34</v>
      </c>
      <c r="AO13" s="50" t="s">
        <v>56</v>
      </c>
      <c r="AP13" s="50" t="s">
        <v>84</v>
      </c>
      <c r="AQ13" s="50" t="s">
        <v>98</v>
      </c>
      <c r="AR13" s="50" t="s">
        <v>2099</v>
      </c>
      <c r="AS13" s="119" t="s">
        <v>1874</v>
      </c>
      <c r="AT13" s="50" t="s">
        <v>91</v>
      </c>
      <c r="AU13" s="50" t="s">
        <v>13</v>
      </c>
      <c r="AV13" s="50" t="s">
        <v>18</v>
      </c>
      <c r="AW13" s="51" t="s">
        <v>71</v>
      </c>
      <c r="AX13" s="50" t="s">
        <v>130</v>
      </c>
      <c r="AY13" s="141" t="s">
        <v>1867</v>
      </c>
      <c r="AZ13" s="141" t="s">
        <v>1877</v>
      </c>
    </row>
    <row r="14" spans="1:52">
      <c r="B14" s="151" t="str">
        <f>英雄初始!A15</f>
        <v>敌法</v>
      </c>
      <c r="E14" s="151" t="str">
        <f>进阶奖励!$A18</f>
        <v>蓝</v>
      </c>
      <c r="F14" s="151">
        <v>4</v>
      </c>
      <c r="G14" s="152">
        <f>VLOOKUP(英雄对比!$G$2,中介表格3!$H:$T,5,0)</f>
        <v>34</v>
      </c>
      <c r="H14" s="54" t="s">
        <v>167</v>
      </c>
      <c r="I14" s="51">
        <f>MAX(VLOOKUP(INDEX(英雄装备!$F:$BZ,MATCH($H14,英雄装备!$F:$F,0),MATCH(I$2,英雄装备!$1:$1,0)-5),装备属性!$A:$C,3,0),VLOOKUP(INDEX(英雄装备!$F:$BZ,MATCH($H14,英雄装备!$F:$F,0),MATCH(I$2,英雄装备!$1:$1,0)-4),装备属性!$A:$C,3,0),VLOOKUP(INDEX(英雄装备!$F:$BZ,MATCH($H14,英雄装备!$F:$F,0),MATCH(I$2,英雄装备!$1:$1,0)-3),装备属性!$A:$C,3,0),VLOOKUP(INDEX(英雄装备!$F:$BZ,MATCH($H14,英雄装备!$F:$F,0),MATCH(I$2,英雄装备!$1:$1,0)-2),装备属性!$A:$C,3,0),VLOOKUP(INDEX(英雄装备!$F:$BZ,MATCH($H14,英雄装备!$F:$F,0),MATCH(I$2,英雄装备!$1:$1,0)-1),装备属性!$A:$C,3,0),VLOOKUP(INDEX(英雄装备!$F:$BZ,MATCH($H14,英雄装备!$F:$F,0),MATCH(I$2,英雄装备!$1:$1,0)),装备属性!$A:$C,3,0))</f>
        <v>2</v>
      </c>
      <c r="J14" s="51">
        <f>MAX(VLOOKUP(INDEX(英雄装备!$F:$BZ,MATCH($H14,英雄装备!$F:$F,0),MATCH(J$2,英雄装备!$1:$1,0)-5),装备属性!$A:$C,3,0),VLOOKUP(INDEX(英雄装备!$F:$BZ,MATCH($H14,英雄装备!$F:$F,0),MATCH(J$2,英雄装备!$1:$1,0)-4),装备属性!$A:$C,3,0),VLOOKUP(INDEX(英雄装备!$F:$BZ,MATCH($H14,英雄装备!$F:$F,0),MATCH(J$2,英雄装备!$1:$1,0)-3),装备属性!$A:$C,3,0),VLOOKUP(INDEX(英雄装备!$F:$BZ,MATCH($H14,英雄装备!$F:$F,0),MATCH(J$2,英雄装备!$1:$1,0)-2),装备属性!$A:$C,3,0),VLOOKUP(INDEX(英雄装备!$F:$BZ,MATCH($H14,英雄装备!$F:$F,0),MATCH(J$2,英雄装备!$1:$1,0)-1),装备属性!$A:$C,3,0),VLOOKUP(INDEX(英雄装备!$F:$BZ,MATCH($H14,英雄装备!$F:$F,0),MATCH(J$2,英雄装备!$1:$1,0)),装备属性!$A:$C,3,0))</f>
        <v>10</v>
      </c>
      <c r="K14" s="51">
        <f>MAX(VLOOKUP(INDEX(英雄装备!$F:$BZ,MATCH($H14,英雄装备!$F:$F,0),MATCH(K$2,英雄装备!$1:$1,0)-5),装备属性!$A:$C,3,0),VLOOKUP(INDEX(英雄装备!$F:$BZ,MATCH($H14,英雄装备!$F:$F,0),MATCH(K$2,英雄装备!$1:$1,0)-4),装备属性!$A:$C,3,0),VLOOKUP(INDEX(英雄装备!$F:$BZ,MATCH($H14,英雄装备!$F:$F,0),MATCH(K$2,英雄装备!$1:$1,0)-3),装备属性!$A:$C,3,0),VLOOKUP(INDEX(英雄装备!$F:$BZ,MATCH($H14,英雄装备!$F:$F,0),MATCH(K$2,英雄装备!$1:$1,0)-2),装备属性!$A:$C,3,0),VLOOKUP(INDEX(英雄装备!$F:$BZ,MATCH($H14,英雄装备!$F:$F,0),MATCH(K$2,英雄装备!$1:$1,0)-1),装备属性!$A:$C,3,0),VLOOKUP(INDEX(英雄装备!$F:$BZ,MATCH($H14,英雄装备!$F:$F,0),MATCH(K$2,英雄装备!$1:$1,0)),装备属性!$A:$C,3,0))</f>
        <v>20</v>
      </c>
      <c r="L14" s="51">
        <f>MAX(VLOOKUP(INDEX(英雄装备!$F:$BZ,MATCH($H14,英雄装备!$F:$F,0),MATCH(L$2,英雄装备!$1:$1,0)-5),装备属性!$A:$C,3,0),VLOOKUP(INDEX(英雄装备!$F:$BZ,MATCH($H14,英雄装备!$F:$F,0),MATCH(L$2,英雄装备!$1:$1,0)-4),装备属性!$A:$C,3,0),VLOOKUP(INDEX(英雄装备!$F:$BZ,MATCH($H14,英雄装备!$F:$F,0),MATCH(L$2,英雄装备!$1:$1,0)-3),装备属性!$A:$C,3,0),VLOOKUP(INDEX(英雄装备!$F:$BZ,MATCH($H14,英雄装备!$F:$F,0),MATCH(L$2,英雄装备!$1:$1,0)-2),装备属性!$A:$C,3,0),VLOOKUP(INDEX(英雄装备!$F:$BZ,MATCH($H14,英雄装备!$F:$F,0),MATCH(L$2,英雄装备!$1:$1,0)-1),装备属性!$A:$C,3,0),VLOOKUP(INDEX(英雄装备!$F:$BZ,MATCH($H14,英雄装备!$F:$F,0),MATCH(L$2,英雄装备!$1:$1,0)),装备属性!$A:$C,3,0))</f>
        <v>35</v>
      </c>
      <c r="M14" s="51">
        <f>MAX(VLOOKUP(INDEX(英雄装备!$F:$BZ,MATCH($H14,英雄装备!$F:$F,0),MATCH(M$2,英雄装备!$1:$1,0)-5),装备属性!$A:$C,3,0),VLOOKUP(INDEX(英雄装备!$F:$BZ,MATCH($H14,英雄装备!$F:$F,0),MATCH(M$2,英雄装备!$1:$1,0)-4),装备属性!$A:$C,3,0),VLOOKUP(INDEX(英雄装备!$F:$BZ,MATCH($H14,英雄装备!$F:$F,0),MATCH(M$2,英雄装备!$1:$1,0)-3),装备属性!$A:$C,3,0),VLOOKUP(INDEX(英雄装备!$F:$BZ,MATCH($H14,英雄装备!$F:$F,0),MATCH(M$2,英雄装备!$1:$1,0)-2),装备属性!$A:$C,3,0),VLOOKUP(INDEX(英雄装备!$F:$BZ,MATCH($H14,英雄装备!$F:$F,0),MATCH(M$2,英雄装备!$1:$1,0)-1),装备属性!$A:$C,3,0),VLOOKUP(INDEX(英雄装备!$F:$BZ,MATCH($H14,英雄装备!$F:$F,0),MATCH(M$2,英雄装备!$1:$1,0)),装备属性!$A:$C,3,0))</f>
        <v>44</v>
      </c>
      <c r="N14" s="51">
        <f>MAX(VLOOKUP(INDEX(英雄装备!$F:$BZ,MATCH($H14,英雄装备!$F:$F,0),MATCH(N$2,英雄装备!$1:$1,0)-5),装备属性!$A:$C,3,0),VLOOKUP(INDEX(英雄装备!$F:$BZ,MATCH($H14,英雄装备!$F:$F,0),MATCH(N$2,英雄装备!$1:$1,0)-4),装备属性!$A:$C,3,0),VLOOKUP(INDEX(英雄装备!$F:$BZ,MATCH($H14,英雄装备!$F:$F,0),MATCH(N$2,英雄装备!$1:$1,0)-3),装备属性!$A:$C,3,0),VLOOKUP(INDEX(英雄装备!$F:$BZ,MATCH($H14,英雄装备!$F:$F,0),MATCH(N$2,英雄装备!$1:$1,0)-2),装备属性!$A:$C,3,0),VLOOKUP(INDEX(英雄装备!$F:$BZ,MATCH($H14,英雄装备!$F:$F,0),MATCH(N$2,英雄装备!$1:$1,0)-1),装备属性!$A:$C,3,0),VLOOKUP(INDEX(英雄装备!$F:$BZ,MATCH($H14,英雄装备!$F:$F,0),MATCH(N$2,英雄装备!$1:$1,0)),装备属性!$A:$C,3,0))</f>
        <v>51</v>
      </c>
      <c r="O14" s="51">
        <f>MAX(VLOOKUP(INDEX(英雄装备!$F:$BZ,MATCH($H14,英雄装备!$F:$F,0),MATCH(O$2,英雄装备!$1:$1,0)-5),装备属性!$A:$C,3,0),VLOOKUP(INDEX(英雄装备!$F:$BZ,MATCH($H14,英雄装备!$F:$F,0),MATCH(O$2,英雄装备!$1:$1,0)-4),装备属性!$A:$C,3,0),VLOOKUP(INDEX(英雄装备!$F:$BZ,MATCH($H14,英雄装备!$F:$F,0),MATCH(O$2,英雄装备!$1:$1,0)-3),装备属性!$A:$C,3,0),VLOOKUP(INDEX(英雄装备!$F:$BZ,MATCH($H14,英雄装备!$F:$F,0),MATCH(O$2,英雄装备!$1:$1,0)-2),装备属性!$A:$C,3,0),VLOOKUP(INDEX(英雄装备!$F:$BZ,MATCH($H14,英雄装备!$F:$F,0),MATCH(O$2,英雄装备!$1:$1,0)-1),装备属性!$A:$C,3,0),VLOOKUP(INDEX(英雄装备!$F:$BZ,MATCH($H14,英雄装备!$F:$F,0),MATCH(O$2,英雄装备!$1:$1,0)),装备属性!$A:$C,3,0))</f>
        <v>62</v>
      </c>
      <c r="P14" s="51">
        <f>MAX(VLOOKUP(INDEX(英雄装备!$F:$BZ,MATCH($H14,英雄装备!$F:$F,0),MATCH(P$2,英雄装备!$1:$1,0)-5),装备属性!$A:$C,3,0),VLOOKUP(INDEX(英雄装备!$F:$BZ,MATCH($H14,英雄装备!$F:$F,0),MATCH(P$2,英雄装备!$1:$1,0)-4),装备属性!$A:$C,3,0),VLOOKUP(INDEX(英雄装备!$F:$BZ,MATCH($H14,英雄装备!$F:$F,0),MATCH(P$2,英雄装备!$1:$1,0)-3),装备属性!$A:$C,3,0),VLOOKUP(INDEX(英雄装备!$F:$BZ,MATCH($H14,英雄装备!$F:$F,0),MATCH(P$2,英雄装备!$1:$1,0)-2),装备属性!$A:$C,3,0),VLOOKUP(INDEX(英雄装备!$F:$BZ,MATCH($H14,英雄装备!$F:$F,0),MATCH(P$2,英雄装备!$1:$1,0)-1),装备属性!$A:$C,3,0),VLOOKUP(INDEX(英雄装备!$F:$BZ,MATCH($H14,英雄装备!$F:$F,0),MATCH(P$2,英雄装备!$1:$1,0)),装备属性!$A:$C,3,0))</f>
        <v>73</v>
      </c>
      <c r="Q14" s="51">
        <f>MAX(VLOOKUP(INDEX(英雄装备!$F:$BZ,MATCH($H14,英雄装备!$F:$F,0),MATCH(Q$2,英雄装备!$1:$1,0)-5),装备属性!$A:$C,3,0),VLOOKUP(INDEX(英雄装备!$F:$BZ,MATCH($H14,英雄装备!$F:$F,0),MATCH(Q$2,英雄装备!$1:$1,0)-4),装备属性!$A:$C,3,0),VLOOKUP(INDEX(英雄装备!$F:$BZ,MATCH($H14,英雄装备!$F:$F,0),MATCH(Q$2,英雄装备!$1:$1,0)-3),装备属性!$A:$C,3,0),VLOOKUP(INDEX(英雄装备!$F:$BZ,MATCH($H14,英雄装备!$F:$F,0),MATCH(Q$2,英雄装备!$1:$1,0)-2),装备属性!$A:$C,3,0),VLOOKUP(INDEX(英雄装备!$F:$BZ,MATCH($H14,英雄装备!$F:$F,0),MATCH(Q$2,英雄装备!$1:$1,0)-1),装备属性!$A:$C,3,0),VLOOKUP(INDEX(英雄装备!$F:$BZ,MATCH($H14,英雄装备!$F:$F,0),MATCH(Q$2,英雄装备!$1:$1,0)),装备属性!$A:$C,3,0))</f>
        <v>79</v>
      </c>
      <c r="R14" s="51">
        <f>MAX(VLOOKUP(INDEX(英雄装备!$F:$BZ,MATCH($H14,英雄装备!$F:$F,0),MATCH(R$2,英雄装备!$1:$1,0)-5),装备属性!$A:$C,3,0),VLOOKUP(INDEX(英雄装备!$F:$BZ,MATCH($H14,英雄装备!$F:$F,0),MATCH(R$2,英雄装备!$1:$1,0)-4),装备属性!$A:$C,3,0),VLOOKUP(INDEX(英雄装备!$F:$BZ,MATCH($H14,英雄装备!$F:$F,0),MATCH(R$2,英雄装备!$1:$1,0)-3),装备属性!$A:$C,3,0),VLOOKUP(INDEX(英雄装备!$F:$BZ,MATCH($H14,英雄装备!$F:$F,0),MATCH(R$2,英雄装备!$1:$1,0)-2),装备属性!$A:$C,3,0),VLOOKUP(INDEX(英雄装备!$F:$BZ,MATCH($H14,英雄装备!$F:$F,0),MATCH(R$2,英雄装备!$1:$1,0)-1),装备属性!$A:$C,3,0),VLOOKUP(INDEX(英雄装备!$F:$BZ,MATCH($H14,英雄装备!$F:$F,0),MATCH(R$2,英雄装备!$1:$1,0)),装备属性!$A:$C,3,0))</f>
        <v>80</v>
      </c>
      <c r="S14" s="51">
        <f>MAX(VLOOKUP(INDEX(英雄装备!$F:$BZ,MATCH($H14,英雄装备!$F:$F,0),MATCH(S$2,英雄装备!$1:$1,0)-5),装备属性!$A:$C,3,0),VLOOKUP(INDEX(英雄装备!$F:$BZ,MATCH($H14,英雄装备!$F:$F,0),MATCH(S$2,英雄装备!$1:$1,0)-4),装备属性!$A:$C,3,0),VLOOKUP(INDEX(英雄装备!$F:$BZ,MATCH($H14,英雄装备!$F:$F,0),MATCH(S$2,英雄装备!$1:$1,0)-3),装备属性!$A:$C,3,0),VLOOKUP(INDEX(英雄装备!$F:$BZ,MATCH($H14,英雄装备!$F:$F,0),MATCH(S$2,英雄装备!$1:$1,0)-2),装备属性!$A:$C,3,0),VLOOKUP(INDEX(英雄装备!$F:$BZ,MATCH($H14,英雄装备!$F:$F,0),MATCH(S$2,英雄装备!$1:$1,0)-1),装备属性!$A:$C,3,0),VLOOKUP(INDEX(英雄装备!$F:$BZ,MATCH($H14,英雄装备!$F:$F,0),MATCH(S$2,英雄装备!$1:$1,0)),装备属性!$A:$C,3,0))</f>
        <v>84</v>
      </c>
      <c r="T14" s="51">
        <f>MAX(VLOOKUP(INDEX(英雄装备!$F:$BZ,MATCH($H14,英雄装备!$F:$F,0),MATCH(T$2,英雄装备!$1:$1,0)-5),装备属性!$A:$C,3,0),VLOOKUP(INDEX(英雄装备!$F:$BZ,MATCH($H14,英雄装备!$F:$F,0),MATCH(T$2,英雄装备!$1:$1,0)-4),装备属性!$A:$C,3,0),VLOOKUP(INDEX(英雄装备!$F:$BZ,MATCH($H14,英雄装备!$F:$F,0),MATCH(T$2,英雄装备!$1:$1,0)-3),装备属性!$A:$C,3,0),VLOOKUP(INDEX(英雄装备!$F:$BZ,MATCH($H14,英雄装备!$F:$F,0),MATCH(T$2,英雄装备!$1:$1,0)-2),装备属性!$A:$C,3,0),VLOOKUP(INDEX(英雄装备!$F:$BZ,MATCH($H14,英雄装备!$F:$F,0),MATCH(T$2,英雄装备!$1:$1,0)-1),装备属性!$A:$C,3,0))</f>
        <v>89</v>
      </c>
      <c r="W14" s="108">
        <f t="shared" ref="W14:W25" si="3">IF($W1="",0,1)</f>
        <v>1</v>
      </c>
      <c r="X14" s="151">
        <f>IF(X1="暂无","暂无",IF(VLOOKUP(X1,装备属性!$A:$C,3,0)&gt;英雄对比!$G$4,0,1))</f>
        <v>1</v>
      </c>
      <c r="Y14" s="151">
        <f>IF(Y1="暂无","暂无",IF(VLOOKUP(Y1,装备属性!$A:$C,3,0)&gt;英雄对比!$G$4,0,1))</f>
        <v>1</v>
      </c>
      <c r="Z14" s="151">
        <f>IF(Z1="暂无","暂无",IF(VLOOKUP(Z1,装备属性!$A:$C,3,0)&gt;英雄对比!$G$4,0,1))</f>
        <v>1</v>
      </c>
      <c r="AA14" s="151">
        <f>IF(AA1="暂无","暂无",IF(VLOOKUP(AA1,装备属性!$A:$C,3,0)&gt;英雄对比!$G$4,0,1))</f>
        <v>1</v>
      </c>
      <c r="AB14" s="151">
        <f>IF(AB1="暂无","暂无",IF(VLOOKUP(AB1,装备属性!$A:$C,3,0)&gt;英雄对比!$G$4,0,1))</f>
        <v>1</v>
      </c>
      <c r="AC14" s="151">
        <f>IF(AC1="暂无","暂无",IF(VLOOKUP(AC1,装备属性!$A:$C,3,0)&gt;英雄对比!$G$4,0,1))</f>
        <v>1</v>
      </c>
      <c r="AG14" s="232"/>
      <c r="AH14" s="232"/>
      <c r="AI14" s="151">
        <f>IFERROR(VLOOKUP($V$2-1,$AF$97:$BB$108,6,0),0)</f>
        <v>2540</v>
      </c>
      <c r="AJ14" s="151">
        <f>IFERROR(VLOOKUP($V$2-1,$AF$97:$BB$108,7,0),0)</f>
        <v>1017</v>
      </c>
      <c r="AK14" s="151">
        <f>IFERROR(VLOOKUP($V$2-1,$AF$97:$BB$108,8,0),0)</f>
        <v>0</v>
      </c>
      <c r="AL14" s="151">
        <f>IFERROR(VLOOKUP($V$2-1,$AF$97:$BB$108,9,0),0)</f>
        <v>103</v>
      </c>
      <c r="AM14" s="151">
        <f>IFERROR(VLOOKUP($V$2-1,$AF$97:$BB$108,10,0),0)</f>
        <v>82</v>
      </c>
      <c r="AN14" s="151">
        <f>IFERROR(VLOOKUP($V$2-1,$AF$97:$BB$108,11,0),0)</f>
        <v>293</v>
      </c>
      <c r="AO14" s="151">
        <f>IFERROR(VLOOKUP($V$2-1,$AF$97:$BB$108,12,0),0)</f>
        <v>29</v>
      </c>
      <c r="AP14" s="151">
        <f>IFERROR(VLOOKUP($V$2-1,$AF$97:$BB$108,13,0),0)</f>
        <v>0</v>
      </c>
      <c r="AQ14" s="151">
        <f>IFERROR(VLOOKUP($V$2-1,$AF$97:$BB$108,14,0),0)</f>
        <v>0</v>
      </c>
      <c r="AR14" s="151">
        <f>IFERROR(VLOOKUP($V$2-1,$AF$97:$BB$108,15,0),0)</f>
        <v>118</v>
      </c>
      <c r="AS14" s="151">
        <f>IFERROR(VLOOKUP($V$2-1,$AF$97:$BB$108,16,0),0)</f>
        <v>8</v>
      </c>
      <c r="AT14" s="151">
        <f>IFERROR(VLOOKUP($V$2-1,$AF$97:$BB$108,17,0),0)</f>
        <v>30</v>
      </c>
      <c r="AU14" s="151">
        <f>IFERROR(VLOOKUP($V$2-1,$AF$97:$BB$108,18,0),0)</f>
        <v>2355</v>
      </c>
      <c r="AV14" s="151">
        <f>IFERROR(VLOOKUP($V$2-1,$AF$97:$BB$108,19,0),0)</f>
        <v>277</v>
      </c>
      <c r="AW14" s="151">
        <f>IFERROR(VLOOKUP($V$2-1,$AF$97:$BB$108,20,0),0)</f>
        <v>0</v>
      </c>
      <c r="AX14" s="151">
        <f>IFERROR(VLOOKUP($V$2-1,$AF$97:$BB$108,21,0),0)</f>
        <v>0</v>
      </c>
      <c r="AY14" s="151">
        <f>IFERROR(VLOOKUP($V$2-1,$AF$97:$BB$108,22,0),0)</f>
        <v>0</v>
      </c>
      <c r="AZ14" s="151">
        <f>IFERROR(VLOOKUP($V$2-1,$AF$97:$BB$108,23,0),0)</f>
        <v>0</v>
      </c>
    </row>
    <row r="15" spans="1:52">
      <c r="B15" s="151" t="str">
        <f>英雄初始!A16</f>
        <v>亚龙</v>
      </c>
      <c r="E15" s="151" t="str">
        <f>进阶奖励!$A19</f>
        <v>蓝+1</v>
      </c>
      <c r="F15" s="151">
        <v>5</v>
      </c>
      <c r="G15" s="152">
        <f>VLOOKUP(英雄对比!$G$2,中介表格3!$H:$T,6,0)</f>
        <v>44</v>
      </c>
      <c r="H15" s="54" t="s">
        <v>168</v>
      </c>
      <c r="I15" s="51">
        <f>MAX(VLOOKUP(INDEX(英雄装备!$F:$BZ,MATCH($H15,英雄装备!$F:$F,0),MATCH(I$2,英雄装备!$1:$1,0)-5),装备属性!$A:$C,3,0),VLOOKUP(INDEX(英雄装备!$F:$BZ,MATCH($H15,英雄装备!$F:$F,0),MATCH(I$2,英雄装备!$1:$1,0)-4),装备属性!$A:$C,3,0),VLOOKUP(INDEX(英雄装备!$F:$BZ,MATCH($H15,英雄装备!$F:$F,0),MATCH(I$2,英雄装备!$1:$1,0)-3),装备属性!$A:$C,3,0),VLOOKUP(INDEX(英雄装备!$F:$BZ,MATCH($H15,英雄装备!$F:$F,0),MATCH(I$2,英雄装备!$1:$1,0)-2),装备属性!$A:$C,3,0),VLOOKUP(INDEX(英雄装备!$F:$BZ,MATCH($H15,英雄装备!$F:$F,0),MATCH(I$2,英雄装备!$1:$1,0)-1),装备属性!$A:$C,3,0),VLOOKUP(INDEX(英雄装备!$F:$BZ,MATCH($H15,英雄装备!$F:$F,0),MATCH(I$2,英雄装备!$1:$1,0)),装备属性!$A:$C,3,0))</f>
        <v>2</v>
      </c>
      <c r="J15" s="51">
        <f>MAX(VLOOKUP(INDEX(英雄装备!$F:$BZ,MATCH($H15,英雄装备!$F:$F,0),MATCH(J$2,英雄装备!$1:$1,0)-5),装备属性!$A:$C,3,0),VLOOKUP(INDEX(英雄装备!$F:$BZ,MATCH($H15,英雄装备!$F:$F,0),MATCH(J$2,英雄装备!$1:$1,0)-4),装备属性!$A:$C,3,0),VLOOKUP(INDEX(英雄装备!$F:$BZ,MATCH($H15,英雄装备!$F:$F,0),MATCH(J$2,英雄装备!$1:$1,0)-3),装备属性!$A:$C,3,0),VLOOKUP(INDEX(英雄装备!$F:$BZ,MATCH($H15,英雄装备!$F:$F,0),MATCH(J$2,英雄装备!$1:$1,0)-2),装备属性!$A:$C,3,0),VLOOKUP(INDEX(英雄装备!$F:$BZ,MATCH($H15,英雄装备!$F:$F,0),MATCH(J$2,英雄装备!$1:$1,0)-1),装备属性!$A:$C,3,0),VLOOKUP(INDEX(英雄装备!$F:$BZ,MATCH($H15,英雄装备!$F:$F,0),MATCH(J$2,英雄装备!$1:$1,0)),装备属性!$A:$C,3,0))</f>
        <v>12</v>
      </c>
      <c r="K15" s="51">
        <f>MAX(VLOOKUP(INDEX(英雄装备!$F:$BZ,MATCH($H15,英雄装备!$F:$F,0),MATCH(K$2,英雄装备!$1:$1,0)-5),装备属性!$A:$C,3,0),VLOOKUP(INDEX(英雄装备!$F:$BZ,MATCH($H15,英雄装备!$F:$F,0),MATCH(K$2,英雄装备!$1:$1,0)-4),装备属性!$A:$C,3,0),VLOOKUP(INDEX(英雄装备!$F:$BZ,MATCH($H15,英雄装备!$F:$F,0),MATCH(K$2,英雄装备!$1:$1,0)-3),装备属性!$A:$C,3,0),VLOOKUP(INDEX(英雄装备!$F:$BZ,MATCH($H15,英雄装备!$F:$F,0),MATCH(K$2,英雄装备!$1:$1,0)-2),装备属性!$A:$C,3,0),VLOOKUP(INDEX(英雄装备!$F:$BZ,MATCH($H15,英雄装备!$F:$F,0),MATCH(K$2,英雄装备!$1:$1,0)-1),装备属性!$A:$C,3,0),VLOOKUP(INDEX(英雄装备!$F:$BZ,MATCH($H15,英雄装备!$F:$F,0),MATCH(K$2,英雄装备!$1:$1,0)),装备属性!$A:$C,3,0))</f>
        <v>20</v>
      </c>
      <c r="L15" s="51">
        <f>MAX(VLOOKUP(INDEX(英雄装备!$F:$BZ,MATCH($H15,英雄装备!$F:$F,0),MATCH(L$2,英雄装备!$1:$1,0)-5),装备属性!$A:$C,3,0),VLOOKUP(INDEX(英雄装备!$F:$BZ,MATCH($H15,英雄装备!$F:$F,0),MATCH(L$2,英雄装备!$1:$1,0)-4),装备属性!$A:$C,3,0),VLOOKUP(INDEX(英雄装备!$F:$BZ,MATCH($H15,英雄装备!$F:$F,0),MATCH(L$2,英雄装备!$1:$1,0)-3),装备属性!$A:$C,3,0),VLOOKUP(INDEX(英雄装备!$F:$BZ,MATCH($H15,英雄装备!$F:$F,0),MATCH(L$2,英雄装备!$1:$1,0)-2),装备属性!$A:$C,3,0),VLOOKUP(INDEX(英雄装备!$F:$BZ,MATCH($H15,英雄装备!$F:$F,0),MATCH(L$2,英雄装备!$1:$1,0)-1),装备属性!$A:$C,3,0),VLOOKUP(INDEX(英雄装备!$F:$BZ,MATCH($H15,英雄装备!$F:$F,0),MATCH(L$2,英雄装备!$1:$1,0)),装备属性!$A:$C,3,0))</f>
        <v>35</v>
      </c>
      <c r="M15" s="51">
        <f>MAX(VLOOKUP(INDEX(英雄装备!$F:$BZ,MATCH($H15,英雄装备!$F:$F,0),MATCH(M$2,英雄装备!$1:$1,0)-5),装备属性!$A:$C,3,0),VLOOKUP(INDEX(英雄装备!$F:$BZ,MATCH($H15,英雄装备!$F:$F,0),MATCH(M$2,英雄装备!$1:$1,0)-4),装备属性!$A:$C,3,0),VLOOKUP(INDEX(英雄装备!$F:$BZ,MATCH($H15,英雄装备!$F:$F,0),MATCH(M$2,英雄装备!$1:$1,0)-3),装备属性!$A:$C,3,0),VLOOKUP(INDEX(英雄装备!$F:$BZ,MATCH($H15,英雄装备!$F:$F,0),MATCH(M$2,英雄装备!$1:$1,0)-2),装备属性!$A:$C,3,0),VLOOKUP(INDEX(英雄装备!$F:$BZ,MATCH($H15,英雄装备!$F:$F,0),MATCH(M$2,英雄装备!$1:$1,0)-1),装备属性!$A:$C,3,0),VLOOKUP(INDEX(英雄装备!$F:$BZ,MATCH($H15,英雄装备!$F:$F,0),MATCH(M$2,英雄装备!$1:$1,0)),装备属性!$A:$C,3,0))</f>
        <v>44</v>
      </c>
      <c r="N15" s="51">
        <f>MAX(VLOOKUP(INDEX(英雄装备!$F:$BZ,MATCH($H15,英雄装备!$F:$F,0),MATCH(N$2,英雄装备!$1:$1,0)-5),装备属性!$A:$C,3,0),VLOOKUP(INDEX(英雄装备!$F:$BZ,MATCH($H15,英雄装备!$F:$F,0),MATCH(N$2,英雄装备!$1:$1,0)-4),装备属性!$A:$C,3,0),VLOOKUP(INDEX(英雄装备!$F:$BZ,MATCH($H15,英雄装备!$F:$F,0),MATCH(N$2,英雄装备!$1:$1,0)-3),装备属性!$A:$C,3,0),VLOOKUP(INDEX(英雄装备!$F:$BZ,MATCH($H15,英雄装备!$F:$F,0),MATCH(N$2,英雄装备!$1:$1,0)-2),装备属性!$A:$C,3,0),VLOOKUP(INDEX(英雄装备!$F:$BZ,MATCH($H15,英雄装备!$F:$F,0),MATCH(N$2,英雄装备!$1:$1,0)-1),装备属性!$A:$C,3,0),VLOOKUP(INDEX(英雄装备!$F:$BZ,MATCH($H15,英雄装备!$F:$F,0),MATCH(N$2,英雄装备!$1:$1,0)),装备属性!$A:$C,3,0))</f>
        <v>51</v>
      </c>
      <c r="O15" s="51">
        <f>MAX(VLOOKUP(INDEX(英雄装备!$F:$BZ,MATCH($H15,英雄装备!$F:$F,0),MATCH(O$2,英雄装备!$1:$1,0)-5),装备属性!$A:$C,3,0),VLOOKUP(INDEX(英雄装备!$F:$BZ,MATCH($H15,英雄装备!$F:$F,0),MATCH(O$2,英雄装备!$1:$1,0)-4),装备属性!$A:$C,3,0),VLOOKUP(INDEX(英雄装备!$F:$BZ,MATCH($H15,英雄装备!$F:$F,0),MATCH(O$2,英雄装备!$1:$1,0)-3),装备属性!$A:$C,3,0),VLOOKUP(INDEX(英雄装备!$F:$BZ,MATCH($H15,英雄装备!$F:$F,0),MATCH(O$2,英雄装备!$1:$1,0)-2),装备属性!$A:$C,3,0),VLOOKUP(INDEX(英雄装备!$F:$BZ,MATCH($H15,英雄装备!$F:$F,0),MATCH(O$2,英雄装备!$1:$1,0)-1),装备属性!$A:$C,3,0),VLOOKUP(INDEX(英雄装备!$F:$BZ,MATCH($H15,英雄装备!$F:$F,0),MATCH(O$2,英雄装备!$1:$1,0)),装备属性!$A:$C,3,0))</f>
        <v>62</v>
      </c>
      <c r="P15" s="51">
        <f>MAX(VLOOKUP(INDEX(英雄装备!$F:$BZ,MATCH($H15,英雄装备!$F:$F,0),MATCH(P$2,英雄装备!$1:$1,0)-5),装备属性!$A:$C,3,0),VLOOKUP(INDEX(英雄装备!$F:$BZ,MATCH($H15,英雄装备!$F:$F,0),MATCH(P$2,英雄装备!$1:$1,0)-4),装备属性!$A:$C,3,0),VLOOKUP(INDEX(英雄装备!$F:$BZ,MATCH($H15,英雄装备!$F:$F,0),MATCH(P$2,英雄装备!$1:$1,0)-3),装备属性!$A:$C,3,0),VLOOKUP(INDEX(英雄装备!$F:$BZ,MATCH($H15,英雄装备!$F:$F,0),MATCH(P$2,英雄装备!$1:$1,0)-2),装备属性!$A:$C,3,0),VLOOKUP(INDEX(英雄装备!$F:$BZ,MATCH($H15,英雄装备!$F:$F,0),MATCH(P$2,英雄装备!$1:$1,0)-1),装备属性!$A:$C,3,0),VLOOKUP(INDEX(英雄装备!$F:$BZ,MATCH($H15,英雄装备!$F:$F,0),MATCH(P$2,英雄装备!$1:$1,0)),装备属性!$A:$C,3,0))</f>
        <v>73</v>
      </c>
      <c r="Q15" s="51">
        <f>MAX(VLOOKUP(INDEX(英雄装备!$F:$BZ,MATCH($H15,英雄装备!$F:$F,0),MATCH(Q$2,英雄装备!$1:$1,0)-5),装备属性!$A:$C,3,0),VLOOKUP(INDEX(英雄装备!$F:$BZ,MATCH($H15,英雄装备!$F:$F,0),MATCH(Q$2,英雄装备!$1:$1,0)-4),装备属性!$A:$C,3,0),VLOOKUP(INDEX(英雄装备!$F:$BZ,MATCH($H15,英雄装备!$F:$F,0),MATCH(Q$2,英雄装备!$1:$1,0)-3),装备属性!$A:$C,3,0),VLOOKUP(INDEX(英雄装备!$F:$BZ,MATCH($H15,英雄装备!$F:$F,0),MATCH(Q$2,英雄装备!$1:$1,0)-2),装备属性!$A:$C,3,0),VLOOKUP(INDEX(英雄装备!$F:$BZ,MATCH($H15,英雄装备!$F:$F,0),MATCH(Q$2,英雄装备!$1:$1,0)-1),装备属性!$A:$C,3,0),VLOOKUP(INDEX(英雄装备!$F:$BZ,MATCH($H15,英雄装备!$F:$F,0),MATCH(Q$2,英雄装备!$1:$1,0)),装备属性!$A:$C,3,0))</f>
        <v>79</v>
      </c>
      <c r="R15" s="51">
        <f>MAX(VLOOKUP(INDEX(英雄装备!$F:$BZ,MATCH($H15,英雄装备!$F:$F,0),MATCH(R$2,英雄装备!$1:$1,0)-5),装备属性!$A:$C,3,0),VLOOKUP(INDEX(英雄装备!$F:$BZ,MATCH($H15,英雄装备!$F:$F,0),MATCH(R$2,英雄装备!$1:$1,0)-4),装备属性!$A:$C,3,0),VLOOKUP(INDEX(英雄装备!$F:$BZ,MATCH($H15,英雄装备!$F:$F,0),MATCH(R$2,英雄装备!$1:$1,0)-3),装备属性!$A:$C,3,0),VLOOKUP(INDEX(英雄装备!$F:$BZ,MATCH($H15,英雄装备!$F:$F,0),MATCH(R$2,英雄装备!$1:$1,0)-2),装备属性!$A:$C,3,0),VLOOKUP(INDEX(英雄装备!$F:$BZ,MATCH($H15,英雄装备!$F:$F,0),MATCH(R$2,英雄装备!$1:$1,0)-1),装备属性!$A:$C,3,0),VLOOKUP(INDEX(英雄装备!$F:$BZ,MATCH($H15,英雄装备!$F:$F,0),MATCH(R$2,英雄装备!$1:$1,0)),装备属性!$A:$C,3,0))</f>
        <v>80</v>
      </c>
      <c r="S15" s="51">
        <f>MAX(VLOOKUP(INDEX(英雄装备!$F:$BZ,MATCH($H15,英雄装备!$F:$F,0),MATCH(S$2,英雄装备!$1:$1,0)-5),装备属性!$A:$C,3,0),VLOOKUP(INDEX(英雄装备!$F:$BZ,MATCH($H15,英雄装备!$F:$F,0),MATCH(S$2,英雄装备!$1:$1,0)-4),装备属性!$A:$C,3,0),VLOOKUP(INDEX(英雄装备!$F:$BZ,MATCH($H15,英雄装备!$F:$F,0),MATCH(S$2,英雄装备!$1:$1,0)-3),装备属性!$A:$C,3,0),VLOOKUP(INDEX(英雄装备!$F:$BZ,MATCH($H15,英雄装备!$F:$F,0),MATCH(S$2,英雄装备!$1:$1,0)-2),装备属性!$A:$C,3,0),VLOOKUP(INDEX(英雄装备!$F:$BZ,MATCH($H15,英雄装备!$F:$F,0),MATCH(S$2,英雄装备!$1:$1,0)-1),装备属性!$A:$C,3,0),VLOOKUP(INDEX(英雄装备!$F:$BZ,MATCH($H15,英雄装备!$F:$F,0),MATCH(S$2,英雄装备!$1:$1,0)),装备属性!$A:$C,3,0))</f>
        <v>84</v>
      </c>
      <c r="T15" s="51">
        <f>MAX(VLOOKUP(INDEX(英雄装备!$F:$BZ,MATCH($H15,英雄装备!$F:$F,0),MATCH(T$2,英雄装备!$1:$1,0)-5),装备属性!$A:$C,3,0),VLOOKUP(INDEX(英雄装备!$F:$BZ,MATCH($H15,英雄装备!$F:$F,0),MATCH(T$2,英雄装备!$1:$1,0)-4),装备属性!$A:$C,3,0),VLOOKUP(INDEX(英雄装备!$F:$BZ,MATCH($H15,英雄装备!$F:$F,0),MATCH(T$2,英雄装备!$1:$1,0)-3),装备属性!$A:$C,3,0),VLOOKUP(INDEX(英雄装备!$F:$BZ,MATCH($H15,英雄装备!$F:$F,0),MATCH(T$2,英雄装备!$1:$1,0)-2),装备属性!$A:$C,3,0),VLOOKUP(INDEX(英雄装备!$F:$BZ,MATCH($H15,英雄装备!$F:$F,0),MATCH(T$2,英雄装备!$1:$1,0)-1),装备属性!$A:$C,3,0))</f>
        <v>89</v>
      </c>
      <c r="W15" s="108">
        <f>IF($W2="",0,1)</f>
        <v>1</v>
      </c>
      <c r="X15" s="151">
        <f>IF(X2="暂无","暂无",IF(VLOOKUP(X2,装备属性!$A:$C,3,0)&gt;英雄对比!$G$4,0,1))</f>
        <v>1</v>
      </c>
      <c r="Y15" s="151">
        <f>IF(Y2="暂无","暂无",IF(VLOOKUP(Y2,装备属性!$A:$C,3,0)&gt;英雄对比!$G$4,0,1))</f>
        <v>1</v>
      </c>
      <c r="Z15" s="151">
        <f>IF(Z2="暂无","暂无",IF(VLOOKUP(Z2,装备属性!$A:$C,3,0)&gt;英雄对比!$G$4,0,1))</f>
        <v>1</v>
      </c>
      <c r="AA15" s="151">
        <f>IF(AA2="暂无","暂无",IF(VLOOKUP(AA2,装备属性!$A:$C,3,0)&gt;英雄对比!$G$4,0,1))</f>
        <v>1</v>
      </c>
      <c r="AB15" s="151">
        <f>IF(AB2="暂无","暂无",IF(VLOOKUP(AB2,装备属性!$A:$C,3,0)&gt;英雄对比!$G$4,0,1))</f>
        <v>1</v>
      </c>
      <c r="AC15" s="151">
        <f>IF(AC2="暂无","暂无",IF(VLOOKUP(AC2,装备属性!$A:$C,3,0)&gt;英雄对比!$G$4,0,1))</f>
        <v>1</v>
      </c>
    </row>
    <row r="16" spans="1:52">
      <c r="B16" s="151" t="str">
        <f>英雄初始!A17</f>
        <v>直升机</v>
      </c>
      <c r="E16" s="151" t="str">
        <f>进阶奖励!$A20</f>
        <v>蓝+2</v>
      </c>
      <c r="F16" s="151">
        <v>6</v>
      </c>
      <c r="G16" s="152">
        <f>VLOOKUP(英雄对比!$G$2,中介表格3!$H:$T,7,0)</f>
        <v>53</v>
      </c>
      <c r="H16" s="54" t="s">
        <v>169</v>
      </c>
      <c r="I16" s="51">
        <f>MAX(VLOOKUP(INDEX(英雄装备!$F:$BZ,MATCH($H16,英雄装备!$F:$F,0),MATCH(I$2,英雄装备!$1:$1,0)-5),装备属性!$A:$C,3,0),VLOOKUP(INDEX(英雄装备!$F:$BZ,MATCH($H16,英雄装备!$F:$F,0),MATCH(I$2,英雄装备!$1:$1,0)-4),装备属性!$A:$C,3,0),VLOOKUP(INDEX(英雄装备!$F:$BZ,MATCH($H16,英雄装备!$F:$F,0),MATCH(I$2,英雄装备!$1:$1,0)-3),装备属性!$A:$C,3,0),VLOOKUP(INDEX(英雄装备!$F:$BZ,MATCH($H16,英雄装备!$F:$F,0),MATCH(I$2,英雄装备!$1:$1,0)-2),装备属性!$A:$C,3,0),VLOOKUP(INDEX(英雄装备!$F:$BZ,MATCH($H16,英雄装备!$F:$F,0),MATCH(I$2,英雄装备!$1:$1,0)-1),装备属性!$A:$C,3,0),VLOOKUP(INDEX(英雄装备!$F:$BZ,MATCH($H16,英雄装备!$F:$F,0),MATCH(I$2,英雄装备!$1:$1,0)),装备属性!$A:$C,3,0))</f>
        <v>2</v>
      </c>
      <c r="J16" s="51">
        <f>MAX(VLOOKUP(INDEX(英雄装备!$F:$BZ,MATCH($H16,英雄装备!$F:$F,0),MATCH(J$2,英雄装备!$1:$1,0)-5),装备属性!$A:$C,3,0),VLOOKUP(INDEX(英雄装备!$F:$BZ,MATCH($H16,英雄装备!$F:$F,0),MATCH(J$2,英雄装备!$1:$1,0)-4),装备属性!$A:$C,3,0),VLOOKUP(INDEX(英雄装备!$F:$BZ,MATCH($H16,英雄装备!$F:$F,0),MATCH(J$2,英雄装备!$1:$1,0)-3),装备属性!$A:$C,3,0),VLOOKUP(INDEX(英雄装备!$F:$BZ,MATCH($H16,英雄装备!$F:$F,0),MATCH(J$2,英雄装备!$1:$1,0)-2),装备属性!$A:$C,3,0),VLOOKUP(INDEX(英雄装备!$F:$BZ,MATCH($H16,英雄装备!$F:$F,0),MATCH(J$2,英雄装备!$1:$1,0)-1),装备属性!$A:$C,3,0),VLOOKUP(INDEX(英雄装备!$F:$BZ,MATCH($H16,英雄装备!$F:$F,0),MATCH(J$2,英雄装备!$1:$1,0)),装备属性!$A:$C,3,0))</f>
        <v>11</v>
      </c>
      <c r="K16" s="51">
        <f>MAX(VLOOKUP(INDEX(英雄装备!$F:$BZ,MATCH($H16,英雄装备!$F:$F,0),MATCH(K$2,英雄装备!$1:$1,0)-5),装备属性!$A:$C,3,0),VLOOKUP(INDEX(英雄装备!$F:$BZ,MATCH($H16,英雄装备!$F:$F,0),MATCH(K$2,英雄装备!$1:$1,0)-4),装备属性!$A:$C,3,0),VLOOKUP(INDEX(英雄装备!$F:$BZ,MATCH($H16,英雄装备!$F:$F,0),MATCH(K$2,英雄装备!$1:$1,0)-3),装备属性!$A:$C,3,0),VLOOKUP(INDEX(英雄装备!$F:$BZ,MATCH($H16,英雄装备!$F:$F,0),MATCH(K$2,英雄装备!$1:$1,0)-2),装备属性!$A:$C,3,0),VLOOKUP(INDEX(英雄装备!$F:$BZ,MATCH($H16,英雄装备!$F:$F,0),MATCH(K$2,英雄装备!$1:$1,0)-1),装备属性!$A:$C,3,0),VLOOKUP(INDEX(英雄装备!$F:$BZ,MATCH($H16,英雄装备!$F:$F,0),MATCH(K$2,英雄装备!$1:$1,0)),装备属性!$A:$C,3,0))</f>
        <v>20</v>
      </c>
      <c r="L16" s="51">
        <f>MAX(VLOOKUP(INDEX(英雄装备!$F:$BZ,MATCH($H16,英雄装备!$F:$F,0),MATCH(L$2,英雄装备!$1:$1,0)-5),装备属性!$A:$C,3,0),VLOOKUP(INDEX(英雄装备!$F:$BZ,MATCH($H16,英雄装备!$F:$F,0),MATCH(L$2,英雄装备!$1:$1,0)-4),装备属性!$A:$C,3,0),VLOOKUP(INDEX(英雄装备!$F:$BZ,MATCH($H16,英雄装备!$F:$F,0),MATCH(L$2,英雄装备!$1:$1,0)-3),装备属性!$A:$C,3,0),VLOOKUP(INDEX(英雄装备!$F:$BZ,MATCH($H16,英雄装备!$F:$F,0),MATCH(L$2,英雄装备!$1:$1,0)-2),装备属性!$A:$C,3,0),VLOOKUP(INDEX(英雄装备!$F:$BZ,MATCH($H16,英雄装备!$F:$F,0),MATCH(L$2,英雄装备!$1:$1,0)-1),装备属性!$A:$C,3,0),VLOOKUP(INDEX(英雄装备!$F:$BZ,MATCH($H16,英雄装备!$F:$F,0),MATCH(L$2,英雄装备!$1:$1,0)),装备属性!$A:$C,3,0))</f>
        <v>34</v>
      </c>
      <c r="M16" s="51">
        <f>MAX(VLOOKUP(INDEX(英雄装备!$F:$BZ,MATCH($H16,英雄装备!$F:$F,0),MATCH(M$2,英雄装备!$1:$1,0)-5),装备属性!$A:$C,3,0),VLOOKUP(INDEX(英雄装备!$F:$BZ,MATCH($H16,英雄装备!$F:$F,0),MATCH(M$2,英雄装备!$1:$1,0)-4),装备属性!$A:$C,3,0),VLOOKUP(INDEX(英雄装备!$F:$BZ,MATCH($H16,英雄装备!$F:$F,0),MATCH(M$2,英雄装备!$1:$1,0)-3),装备属性!$A:$C,3,0),VLOOKUP(INDEX(英雄装备!$F:$BZ,MATCH($H16,英雄装备!$F:$F,0),MATCH(M$2,英雄装备!$1:$1,0)-2),装备属性!$A:$C,3,0),VLOOKUP(INDEX(英雄装备!$F:$BZ,MATCH($H16,英雄装备!$F:$F,0),MATCH(M$2,英雄装备!$1:$1,0)-1),装备属性!$A:$C,3,0),VLOOKUP(INDEX(英雄装备!$F:$BZ,MATCH($H16,英雄装备!$F:$F,0),MATCH(M$2,英雄装备!$1:$1,0)),装备属性!$A:$C,3,0))</f>
        <v>43</v>
      </c>
      <c r="N16" s="51">
        <f>MAX(VLOOKUP(INDEX(英雄装备!$F:$BZ,MATCH($H16,英雄装备!$F:$F,0),MATCH(N$2,英雄装备!$1:$1,0)-5),装备属性!$A:$C,3,0),VLOOKUP(INDEX(英雄装备!$F:$BZ,MATCH($H16,英雄装备!$F:$F,0),MATCH(N$2,英雄装备!$1:$1,0)-4),装备属性!$A:$C,3,0),VLOOKUP(INDEX(英雄装备!$F:$BZ,MATCH($H16,英雄装备!$F:$F,0),MATCH(N$2,英雄装备!$1:$1,0)-3),装备属性!$A:$C,3,0),VLOOKUP(INDEX(英雄装备!$F:$BZ,MATCH($H16,英雄装备!$F:$F,0),MATCH(N$2,英雄装备!$1:$1,0)-2),装备属性!$A:$C,3,0),VLOOKUP(INDEX(英雄装备!$F:$BZ,MATCH($H16,英雄装备!$F:$F,0),MATCH(N$2,英雄装备!$1:$1,0)-1),装备属性!$A:$C,3,0),VLOOKUP(INDEX(英雄装备!$F:$BZ,MATCH($H16,英雄装备!$F:$F,0),MATCH(N$2,英雄装备!$1:$1,0)),装备属性!$A:$C,3,0))</f>
        <v>53</v>
      </c>
      <c r="O16" s="51">
        <f>MAX(VLOOKUP(INDEX(英雄装备!$F:$BZ,MATCH($H16,英雄装备!$F:$F,0),MATCH(O$2,英雄装备!$1:$1,0)-5),装备属性!$A:$C,3,0),VLOOKUP(INDEX(英雄装备!$F:$BZ,MATCH($H16,英雄装备!$F:$F,0),MATCH(O$2,英雄装备!$1:$1,0)-4),装备属性!$A:$C,3,0),VLOOKUP(INDEX(英雄装备!$F:$BZ,MATCH($H16,英雄装备!$F:$F,0),MATCH(O$2,英雄装备!$1:$1,0)-3),装备属性!$A:$C,3,0),VLOOKUP(INDEX(英雄装备!$F:$BZ,MATCH($H16,英雄装备!$F:$F,0),MATCH(O$2,英雄装备!$1:$1,0)-2),装备属性!$A:$C,3,0),VLOOKUP(INDEX(英雄装备!$F:$BZ,MATCH($H16,英雄装备!$F:$F,0),MATCH(O$2,英雄装备!$1:$1,0)-1),装备属性!$A:$C,3,0),VLOOKUP(INDEX(英雄装备!$F:$BZ,MATCH($H16,英雄装备!$F:$F,0),MATCH(O$2,英雄装备!$1:$1,0)),装备属性!$A:$C,3,0))</f>
        <v>64</v>
      </c>
      <c r="P16" s="51">
        <f>MAX(VLOOKUP(INDEX(英雄装备!$F:$BZ,MATCH($H16,英雄装备!$F:$F,0),MATCH(P$2,英雄装备!$1:$1,0)-5),装备属性!$A:$C,3,0),VLOOKUP(INDEX(英雄装备!$F:$BZ,MATCH($H16,英雄装备!$F:$F,0),MATCH(P$2,英雄装备!$1:$1,0)-4),装备属性!$A:$C,3,0),VLOOKUP(INDEX(英雄装备!$F:$BZ,MATCH($H16,英雄装备!$F:$F,0),MATCH(P$2,英雄装备!$1:$1,0)-3),装备属性!$A:$C,3,0),VLOOKUP(INDEX(英雄装备!$F:$BZ,MATCH($H16,英雄装备!$F:$F,0),MATCH(P$2,英雄装备!$1:$1,0)-2),装备属性!$A:$C,3,0),VLOOKUP(INDEX(英雄装备!$F:$BZ,MATCH($H16,英雄装备!$F:$F,0),MATCH(P$2,英雄装备!$1:$1,0)-1),装备属性!$A:$C,3,0),VLOOKUP(INDEX(英雄装备!$F:$BZ,MATCH($H16,英雄装备!$F:$F,0),MATCH(P$2,英雄装备!$1:$1,0)),装备属性!$A:$C,3,0))</f>
        <v>73</v>
      </c>
      <c r="Q16" s="51">
        <f>MAX(VLOOKUP(INDEX(英雄装备!$F:$BZ,MATCH($H16,英雄装备!$F:$F,0),MATCH(Q$2,英雄装备!$1:$1,0)-5),装备属性!$A:$C,3,0),VLOOKUP(INDEX(英雄装备!$F:$BZ,MATCH($H16,英雄装备!$F:$F,0),MATCH(Q$2,英雄装备!$1:$1,0)-4),装备属性!$A:$C,3,0),VLOOKUP(INDEX(英雄装备!$F:$BZ,MATCH($H16,英雄装备!$F:$F,0),MATCH(Q$2,英雄装备!$1:$1,0)-3),装备属性!$A:$C,3,0),VLOOKUP(INDEX(英雄装备!$F:$BZ,MATCH($H16,英雄装备!$F:$F,0),MATCH(Q$2,英雄装备!$1:$1,0)-2),装备属性!$A:$C,3,0),VLOOKUP(INDEX(英雄装备!$F:$BZ,MATCH($H16,英雄装备!$F:$F,0),MATCH(Q$2,英雄装备!$1:$1,0)-1),装备属性!$A:$C,3,0),VLOOKUP(INDEX(英雄装备!$F:$BZ,MATCH($H16,英雄装备!$F:$F,0),MATCH(Q$2,英雄装备!$1:$1,0)),装备属性!$A:$C,3,0))</f>
        <v>78</v>
      </c>
      <c r="R16" s="51">
        <f>MAX(VLOOKUP(INDEX(英雄装备!$F:$BZ,MATCH($H16,英雄装备!$F:$F,0),MATCH(R$2,英雄装备!$1:$1,0)-5),装备属性!$A:$C,3,0),VLOOKUP(INDEX(英雄装备!$F:$BZ,MATCH($H16,英雄装备!$F:$F,0),MATCH(R$2,英雄装备!$1:$1,0)-4),装备属性!$A:$C,3,0),VLOOKUP(INDEX(英雄装备!$F:$BZ,MATCH($H16,英雄装备!$F:$F,0),MATCH(R$2,英雄装备!$1:$1,0)-3),装备属性!$A:$C,3,0),VLOOKUP(INDEX(英雄装备!$F:$BZ,MATCH($H16,英雄装备!$F:$F,0),MATCH(R$2,英雄装备!$1:$1,0)-2),装备属性!$A:$C,3,0),VLOOKUP(INDEX(英雄装备!$F:$BZ,MATCH($H16,英雄装备!$F:$F,0),MATCH(R$2,英雄装备!$1:$1,0)-1),装备属性!$A:$C,3,0),VLOOKUP(INDEX(英雄装备!$F:$BZ,MATCH($H16,英雄装备!$F:$F,0),MATCH(R$2,英雄装备!$1:$1,0)),装备属性!$A:$C,3,0))</f>
        <v>79</v>
      </c>
      <c r="S16" s="51">
        <f>MAX(VLOOKUP(INDEX(英雄装备!$F:$BZ,MATCH($H16,英雄装备!$F:$F,0),MATCH(S$2,英雄装备!$1:$1,0)-5),装备属性!$A:$C,3,0),VLOOKUP(INDEX(英雄装备!$F:$BZ,MATCH($H16,英雄装备!$F:$F,0),MATCH(S$2,英雄装备!$1:$1,0)-4),装备属性!$A:$C,3,0),VLOOKUP(INDEX(英雄装备!$F:$BZ,MATCH($H16,英雄装备!$F:$F,0),MATCH(S$2,英雄装备!$1:$1,0)-3),装备属性!$A:$C,3,0),VLOOKUP(INDEX(英雄装备!$F:$BZ,MATCH($H16,英雄装备!$F:$F,0),MATCH(S$2,英雄装备!$1:$1,0)-2),装备属性!$A:$C,3,0),VLOOKUP(INDEX(英雄装备!$F:$BZ,MATCH($H16,英雄装备!$F:$F,0),MATCH(S$2,英雄装备!$1:$1,0)-1),装备属性!$A:$C,3,0),VLOOKUP(INDEX(英雄装备!$F:$BZ,MATCH($H16,英雄装备!$F:$F,0),MATCH(S$2,英雄装备!$1:$1,0)),装备属性!$A:$C,3,0))</f>
        <v>85</v>
      </c>
      <c r="T16" s="51">
        <f>MAX(VLOOKUP(INDEX(英雄装备!$F:$BZ,MATCH($H16,英雄装备!$F:$F,0),MATCH(T$2,英雄装备!$1:$1,0)-5),装备属性!$A:$C,3,0),VLOOKUP(INDEX(英雄装备!$F:$BZ,MATCH($H16,英雄装备!$F:$F,0),MATCH(T$2,英雄装备!$1:$1,0)-4),装备属性!$A:$C,3,0),VLOOKUP(INDEX(英雄装备!$F:$BZ,MATCH($H16,英雄装备!$F:$F,0),MATCH(T$2,英雄装备!$1:$1,0)-3),装备属性!$A:$C,3,0),VLOOKUP(INDEX(英雄装备!$F:$BZ,MATCH($H16,英雄装备!$F:$F,0),MATCH(T$2,英雄装备!$1:$1,0)-2),装备属性!$A:$C,3,0),VLOOKUP(INDEX(英雄装备!$F:$BZ,MATCH($H16,英雄装备!$F:$F,0),MATCH(T$2,英雄装备!$1:$1,0)-1),装备属性!$A:$C,3,0))</f>
        <v>87</v>
      </c>
      <c r="W16" s="108">
        <f t="shared" si="3"/>
        <v>1</v>
      </c>
      <c r="X16" s="151">
        <f>IF(X3="暂无","暂无",IF(VLOOKUP(X3,装备属性!$A:$C,3,0)&gt;英雄对比!$G$4,0,1))</f>
        <v>1</v>
      </c>
      <c r="Y16" s="151">
        <f>IF(Y3="暂无","暂无",IF(VLOOKUP(Y3,装备属性!$A:$C,3,0)&gt;英雄对比!$G$4,0,1))</f>
        <v>1</v>
      </c>
      <c r="Z16" s="151">
        <f>IF(Z3="暂无","暂无",IF(VLOOKUP(Z3,装备属性!$A:$C,3,0)&gt;英雄对比!$G$4,0,1))</f>
        <v>1</v>
      </c>
      <c r="AA16" s="151">
        <f>IF(AA3="暂无","暂无",IF(VLOOKUP(AA3,装备属性!$A:$C,3,0)&gt;英雄对比!$G$4,0,1))</f>
        <v>1</v>
      </c>
      <c r="AB16" s="151">
        <f>IF(AB3="暂无","暂无",IF(VLOOKUP(AB3,装备属性!$A:$C,3,0)&gt;英雄对比!$G$4,0,1))</f>
        <v>1</v>
      </c>
      <c r="AC16" s="151">
        <f>IF(AC3="暂无","暂无",IF(VLOOKUP(AC3,装备属性!$A:$C,3,0)&gt;英雄对比!$G$4,0,1))</f>
        <v>1</v>
      </c>
      <c r="AG16" s="234" t="s">
        <v>1099</v>
      </c>
      <c r="AH16" s="232" t="s">
        <v>203</v>
      </c>
      <c r="AI16" s="232" t="s">
        <v>3</v>
      </c>
      <c r="AJ16" s="232">
        <f>$AF$7+(英雄对比!$G$4-1)*英雄对比!$N$4+VLOOKUP(英雄对比!$G$5,进阶奖励!$A$15:$D$26,2,0)</f>
        <v>710</v>
      </c>
      <c r="AK16" s="232" t="s">
        <v>4</v>
      </c>
      <c r="AL16" s="232">
        <f>$AF$8+(英雄对比!$G$4-1)*英雄对比!$N$5+VLOOKUP(英雄对比!$G$5,进阶奖励!$A$15:$D$26,3,0)</f>
        <v>867</v>
      </c>
      <c r="AM16" s="232" t="s">
        <v>5</v>
      </c>
      <c r="AN16" s="232">
        <f>$AF$9+(英雄对比!$G$4-1)*英雄对比!$N$6+VLOOKUP(英雄对比!$G$5,进阶奖励!$A$15:$D$26,4,0)</f>
        <v>400</v>
      </c>
    </row>
    <row r="17" spans="2:54">
      <c r="B17" s="151" t="str">
        <f>英雄初始!A18</f>
        <v>复仇</v>
      </c>
      <c r="E17" s="151" t="str">
        <f>进阶奖励!$A21</f>
        <v>紫</v>
      </c>
      <c r="F17" s="151">
        <v>7</v>
      </c>
      <c r="G17" s="152">
        <f>VLOOKUP(英雄对比!$G$2,中介表格3!$H:$T,8,0)</f>
        <v>59</v>
      </c>
      <c r="H17" s="54" t="s">
        <v>170</v>
      </c>
      <c r="I17" s="51">
        <f>MAX(VLOOKUP(INDEX(英雄装备!$F:$BZ,MATCH($H17,英雄装备!$F:$F,0),MATCH(I$2,英雄装备!$1:$1,0)-5),装备属性!$A:$C,3,0),VLOOKUP(INDEX(英雄装备!$F:$BZ,MATCH($H17,英雄装备!$F:$F,0),MATCH(I$2,英雄装备!$1:$1,0)-4),装备属性!$A:$C,3,0),VLOOKUP(INDEX(英雄装备!$F:$BZ,MATCH($H17,英雄装备!$F:$F,0),MATCH(I$2,英雄装备!$1:$1,0)-3),装备属性!$A:$C,3,0),VLOOKUP(INDEX(英雄装备!$F:$BZ,MATCH($H17,英雄装备!$F:$F,0),MATCH(I$2,英雄装备!$1:$1,0)-2),装备属性!$A:$C,3,0),VLOOKUP(INDEX(英雄装备!$F:$BZ,MATCH($H17,英雄装备!$F:$F,0),MATCH(I$2,英雄装备!$1:$1,0)-1),装备属性!$A:$C,3,0),VLOOKUP(INDEX(英雄装备!$F:$BZ,MATCH($H17,英雄装备!$F:$F,0),MATCH(I$2,英雄装备!$1:$1,0)),装备属性!$A:$C,3,0))</f>
        <v>2</v>
      </c>
      <c r="J17" s="51">
        <f>MAX(VLOOKUP(INDEX(英雄装备!$F:$BZ,MATCH($H17,英雄装备!$F:$F,0),MATCH(J$2,英雄装备!$1:$1,0)-5),装备属性!$A:$C,3,0),VLOOKUP(INDEX(英雄装备!$F:$BZ,MATCH($H17,英雄装备!$F:$F,0),MATCH(J$2,英雄装备!$1:$1,0)-4),装备属性!$A:$C,3,0),VLOOKUP(INDEX(英雄装备!$F:$BZ,MATCH($H17,英雄装备!$F:$F,0),MATCH(J$2,英雄装备!$1:$1,0)-3),装备属性!$A:$C,3,0),VLOOKUP(INDEX(英雄装备!$F:$BZ,MATCH($H17,英雄装备!$F:$F,0),MATCH(J$2,英雄装备!$1:$1,0)-2),装备属性!$A:$C,3,0),VLOOKUP(INDEX(英雄装备!$F:$BZ,MATCH($H17,英雄装备!$F:$F,0),MATCH(J$2,英雄装备!$1:$1,0)-1),装备属性!$A:$C,3,0),VLOOKUP(INDEX(英雄装备!$F:$BZ,MATCH($H17,英雄装备!$F:$F,0),MATCH(J$2,英雄装备!$1:$1,0)),装备属性!$A:$C,3,0))</f>
        <v>12</v>
      </c>
      <c r="K17" s="51">
        <f>MAX(VLOOKUP(INDEX(英雄装备!$F:$BZ,MATCH($H17,英雄装备!$F:$F,0),MATCH(K$2,英雄装备!$1:$1,0)-5),装备属性!$A:$C,3,0),VLOOKUP(INDEX(英雄装备!$F:$BZ,MATCH($H17,英雄装备!$F:$F,0),MATCH(K$2,英雄装备!$1:$1,0)-4),装备属性!$A:$C,3,0),VLOOKUP(INDEX(英雄装备!$F:$BZ,MATCH($H17,英雄装备!$F:$F,0),MATCH(K$2,英雄装备!$1:$1,0)-3),装备属性!$A:$C,3,0),VLOOKUP(INDEX(英雄装备!$F:$BZ,MATCH($H17,英雄装备!$F:$F,0),MATCH(K$2,英雄装备!$1:$1,0)-2),装备属性!$A:$C,3,0),VLOOKUP(INDEX(英雄装备!$F:$BZ,MATCH($H17,英雄装备!$F:$F,0),MATCH(K$2,英雄装备!$1:$1,0)-1),装备属性!$A:$C,3,0),VLOOKUP(INDEX(英雄装备!$F:$BZ,MATCH($H17,英雄装备!$F:$F,0),MATCH(K$2,英雄装备!$1:$1,0)),装备属性!$A:$C,3,0))</f>
        <v>22</v>
      </c>
      <c r="L17" s="51">
        <f>MAX(VLOOKUP(INDEX(英雄装备!$F:$BZ,MATCH($H17,英雄装备!$F:$F,0),MATCH(L$2,英雄装备!$1:$1,0)-5),装备属性!$A:$C,3,0),VLOOKUP(INDEX(英雄装备!$F:$BZ,MATCH($H17,英雄装备!$F:$F,0),MATCH(L$2,英雄装备!$1:$1,0)-4),装备属性!$A:$C,3,0),VLOOKUP(INDEX(英雄装备!$F:$BZ,MATCH($H17,英雄装备!$F:$F,0),MATCH(L$2,英雄装备!$1:$1,0)-3),装备属性!$A:$C,3,0),VLOOKUP(INDEX(英雄装备!$F:$BZ,MATCH($H17,英雄装备!$F:$F,0),MATCH(L$2,英雄装备!$1:$1,0)-2),装备属性!$A:$C,3,0),VLOOKUP(INDEX(英雄装备!$F:$BZ,MATCH($H17,英雄装备!$F:$F,0),MATCH(L$2,英雄装备!$1:$1,0)-1),装备属性!$A:$C,3,0),VLOOKUP(INDEX(英雄装备!$F:$BZ,MATCH($H17,英雄装备!$F:$F,0),MATCH(L$2,英雄装备!$1:$1,0)),装备属性!$A:$C,3,0))</f>
        <v>34</v>
      </c>
      <c r="M17" s="51">
        <f>MAX(VLOOKUP(INDEX(英雄装备!$F:$BZ,MATCH($H17,英雄装备!$F:$F,0),MATCH(M$2,英雄装备!$1:$1,0)-5),装备属性!$A:$C,3,0),VLOOKUP(INDEX(英雄装备!$F:$BZ,MATCH($H17,英雄装备!$F:$F,0),MATCH(M$2,英雄装备!$1:$1,0)-4),装备属性!$A:$C,3,0),VLOOKUP(INDEX(英雄装备!$F:$BZ,MATCH($H17,英雄装备!$F:$F,0),MATCH(M$2,英雄装备!$1:$1,0)-3),装备属性!$A:$C,3,0),VLOOKUP(INDEX(英雄装备!$F:$BZ,MATCH($H17,英雄装备!$F:$F,0),MATCH(M$2,英雄装备!$1:$1,0)-2),装备属性!$A:$C,3,0),VLOOKUP(INDEX(英雄装备!$F:$BZ,MATCH($H17,英雄装备!$F:$F,0),MATCH(M$2,英雄装备!$1:$1,0)-1),装备属性!$A:$C,3,0),VLOOKUP(INDEX(英雄装备!$F:$BZ,MATCH($H17,英雄装备!$F:$F,0),MATCH(M$2,英雄装备!$1:$1,0)),装备属性!$A:$C,3,0))</f>
        <v>42</v>
      </c>
      <c r="N17" s="51">
        <f>MAX(VLOOKUP(INDEX(英雄装备!$F:$BZ,MATCH($H17,英雄装备!$F:$F,0),MATCH(N$2,英雄装备!$1:$1,0)-5),装备属性!$A:$C,3,0),VLOOKUP(INDEX(英雄装备!$F:$BZ,MATCH($H17,英雄装备!$F:$F,0),MATCH(N$2,英雄装备!$1:$1,0)-4),装备属性!$A:$C,3,0),VLOOKUP(INDEX(英雄装备!$F:$BZ,MATCH($H17,英雄装备!$F:$F,0),MATCH(N$2,英雄装备!$1:$1,0)-3),装备属性!$A:$C,3,0),VLOOKUP(INDEX(英雄装备!$F:$BZ,MATCH($H17,英雄装备!$F:$F,0),MATCH(N$2,英雄装备!$1:$1,0)-2),装备属性!$A:$C,3,0),VLOOKUP(INDEX(英雄装备!$F:$BZ,MATCH($H17,英雄装备!$F:$F,0),MATCH(N$2,英雄装备!$1:$1,0)-1),装备属性!$A:$C,3,0),VLOOKUP(INDEX(英雄装备!$F:$BZ,MATCH($H17,英雄装备!$F:$F,0),MATCH(N$2,英雄装备!$1:$1,0)),装备属性!$A:$C,3,0))</f>
        <v>50</v>
      </c>
      <c r="O17" s="51">
        <f>MAX(VLOOKUP(INDEX(英雄装备!$F:$BZ,MATCH($H17,英雄装备!$F:$F,0),MATCH(O$2,英雄装备!$1:$1,0)-5),装备属性!$A:$C,3,0),VLOOKUP(INDEX(英雄装备!$F:$BZ,MATCH($H17,英雄装备!$F:$F,0),MATCH(O$2,英雄装备!$1:$1,0)-4),装备属性!$A:$C,3,0),VLOOKUP(INDEX(英雄装备!$F:$BZ,MATCH($H17,英雄装备!$F:$F,0),MATCH(O$2,英雄装备!$1:$1,0)-3),装备属性!$A:$C,3,0),VLOOKUP(INDEX(英雄装备!$F:$BZ,MATCH($H17,英雄装备!$F:$F,0),MATCH(O$2,英雄装备!$1:$1,0)-2),装备属性!$A:$C,3,0),VLOOKUP(INDEX(英雄装备!$F:$BZ,MATCH($H17,英雄装备!$F:$F,0),MATCH(O$2,英雄装备!$1:$1,0)-1),装备属性!$A:$C,3,0),VLOOKUP(INDEX(英雄装备!$F:$BZ,MATCH($H17,英雄装备!$F:$F,0),MATCH(O$2,英雄装备!$1:$1,0)),装备属性!$A:$C,3,0))</f>
        <v>64</v>
      </c>
      <c r="P17" s="51">
        <f>MAX(VLOOKUP(INDEX(英雄装备!$F:$BZ,MATCH($H17,英雄装备!$F:$F,0),MATCH(P$2,英雄装备!$1:$1,0)-5),装备属性!$A:$C,3,0),VLOOKUP(INDEX(英雄装备!$F:$BZ,MATCH($H17,英雄装备!$F:$F,0),MATCH(P$2,英雄装备!$1:$1,0)-4),装备属性!$A:$C,3,0),VLOOKUP(INDEX(英雄装备!$F:$BZ,MATCH($H17,英雄装备!$F:$F,0),MATCH(P$2,英雄装备!$1:$1,0)-3),装备属性!$A:$C,3,0),VLOOKUP(INDEX(英雄装备!$F:$BZ,MATCH($H17,英雄装备!$F:$F,0),MATCH(P$2,英雄装备!$1:$1,0)-2),装备属性!$A:$C,3,0),VLOOKUP(INDEX(英雄装备!$F:$BZ,MATCH($H17,英雄装备!$F:$F,0),MATCH(P$2,英雄装备!$1:$1,0)-1),装备属性!$A:$C,3,0),VLOOKUP(INDEX(英雄装备!$F:$BZ,MATCH($H17,英雄装备!$F:$F,0),MATCH(P$2,英雄装备!$1:$1,0)),装备属性!$A:$C,3,0))</f>
        <v>70</v>
      </c>
      <c r="Q17" s="51">
        <f>MAX(VLOOKUP(INDEX(英雄装备!$F:$BZ,MATCH($H17,英雄装备!$F:$F,0),MATCH(Q$2,英雄装备!$1:$1,0)-5),装备属性!$A:$C,3,0),VLOOKUP(INDEX(英雄装备!$F:$BZ,MATCH($H17,英雄装备!$F:$F,0),MATCH(Q$2,英雄装备!$1:$1,0)-4),装备属性!$A:$C,3,0),VLOOKUP(INDEX(英雄装备!$F:$BZ,MATCH($H17,英雄装备!$F:$F,0),MATCH(Q$2,英雄装备!$1:$1,0)-3),装备属性!$A:$C,3,0),VLOOKUP(INDEX(英雄装备!$F:$BZ,MATCH($H17,英雄装备!$F:$F,0),MATCH(Q$2,英雄装备!$1:$1,0)-2),装备属性!$A:$C,3,0),VLOOKUP(INDEX(英雄装备!$F:$BZ,MATCH($H17,英雄装备!$F:$F,0),MATCH(Q$2,英雄装备!$1:$1,0)-1),装备属性!$A:$C,3,0),VLOOKUP(INDEX(英雄装备!$F:$BZ,MATCH($H17,英雄装备!$F:$F,0),MATCH(Q$2,英雄装备!$1:$1,0)),装备属性!$A:$C,3,0))</f>
        <v>80</v>
      </c>
      <c r="R17" s="51">
        <f>MAX(VLOOKUP(INDEX(英雄装备!$F:$BZ,MATCH($H17,英雄装备!$F:$F,0),MATCH(R$2,英雄装备!$1:$1,0)-5),装备属性!$A:$C,3,0),VLOOKUP(INDEX(英雄装备!$F:$BZ,MATCH($H17,英雄装备!$F:$F,0),MATCH(R$2,英雄装备!$1:$1,0)-4),装备属性!$A:$C,3,0),VLOOKUP(INDEX(英雄装备!$F:$BZ,MATCH($H17,英雄装备!$F:$F,0),MATCH(R$2,英雄装备!$1:$1,0)-3),装备属性!$A:$C,3,0),VLOOKUP(INDEX(英雄装备!$F:$BZ,MATCH($H17,英雄装备!$F:$F,0),MATCH(R$2,英雄装备!$1:$1,0)-2),装备属性!$A:$C,3,0),VLOOKUP(INDEX(英雄装备!$F:$BZ,MATCH($H17,英雄装备!$F:$F,0),MATCH(R$2,英雄装备!$1:$1,0)-1),装备属性!$A:$C,3,0),VLOOKUP(INDEX(英雄装备!$F:$BZ,MATCH($H17,英雄装备!$F:$F,0),MATCH(R$2,英雄装备!$1:$1,0)),装备属性!$A:$C,3,0))</f>
        <v>73</v>
      </c>
      <c r="S17" s="51">
        <f>MAX(VLOOKUP(INDEX(英雄装备!$F:$BZ,MATCH($H17,英雄装备!$F:$F,0),MATCH(S$2,英雄装备!$1:$1,0)-5),装备属性!$A:$C,3,0),VLOOKUP(INDEX(英雄装备!$F:$BZ,MATCH($H17,英雄装备!$F:$F,0),MATCH(S$2,英雄装备!$1:$1,0)-4),装备属性!$A:$C,3,0),VLOOKUP(INDEX(英雄装备!$F:$BZ,MATCH($H17,英雄装备!$F:$F,0),MATCH(S$2,英雄装备!$1:$1,0)-3),装备属性!$A:$C,3,0),VLOOKUP(INDEX(英雄装备!$F:$BZ,MATCH($H17,英雄装备!$F:$F,0),MATCH(S$2,英雄装备!$1:$1,0)-2),装备属性!$A:$C,3,0),VLOOKUP(INDEX(英雄装备!$F:$BZ,MATCH($H17,英雄装备!$F:$F,0),MATCH(S$2,英雄装备!$1:$1,0)-1),装备属性!$A:$C,3,0),VLOOKUP(INDEX(英雄装备!$F:$BZ,MATCH($H17,英雄装备!$F:$F,0),MATCH(S$2,英雄装备!$1:$1,0)),装备属性!$A:$C,3,0))</f>
        <v>84</v>
      </c>
      <c r="T17" s="51">
        <f>MAX(VLOOKUP(INDEX(英雄装备!$F:$BZ,MATCH($H17,英雄装备!$F:$F,0),MATCH(T$2,英雄装备!$1:$1,0)-5),装备属性!$A:$C,3,0),VLOOKUP(INDEX(英雄装备!$F:$BZ,MATCH($H17,英雄装备!$F:$F,0),MATCH(T$2,英雄装备!$1:$1,0)-4),装备属性!$A:$C,3,0),VLOOKUP(INDEX(英雄装备!$F:$BZ,MATCH($H17,英雄装备!$F:$F,0),MATCH(T$2,英雄装备!$1:$1,0)-3),装备属性!$A:$C,3,0),VLOOKUP(INDEX(英雄装备!$F:$BZ,MATCH($H17,英雄装备!$F:$F,0),MATCH(T$2,英雄装备!$1:$1,0)-2),装备属性!$A:$C,3,0),VLOOKUP(INDEX(英雄装备!$F:$BZ,MATCH($H17,英雄装备!$F:$F,0),MATCH(T$2,英雄装备!$1:$1,0)-1),装备属性!$A:$C,3,0))</f>
        <v>89</v>
      </c>
      <c r="W17" s="108">
        <f t="shared" si="3"/>
        <v>1</v>
      </c>
      <c r="X17" s="151">
        <f>IF(X4="暂无","暂无",IF(VLOOKUP(X4,装备属性!$A:$C,3,0)&gt;英雄对比!$G$4,0,1))</f>
        <v>1</v>
      </c>
      <c r="Y17" s="151">
        <f>IF(Y4="暂无","暂无",IF(VLOOKUP(Y4,装备属性!$A:$C,3,0)&gt;英雄对比!$G$4,0,1))</f>
        <v>1</v>
      </c>
      <c r="Z17" s="151">
        <f>IF(Z4="暂无","暂无",IF(VLOOKUP(Z4,装备属性!$A:$C,3,0)&gt;英雄对比!$G$4,0,1))</f>
        <v>1</v>
      </c>
      <c r="AA17" s="151">
        <f>IF(AA4="暂无","暂无",IF(VLOOKUP(AA4,装备属性!$A:$C,3,0)&gt;英雄对比!$G$4,0,1))</f>
        <v>1</v>
      </c>
      <c r="AB17" s="151">
        <f>IF(AB4="暂无","暂无",IF(VLOOKUP(AB4,装备属性!$A:$C,3,0)&gt;英雄对比!$G$4,0,1))</f>
        <v>1</v>
      </c>
      <c r="AC17" s="151">
        <f>IF(AC4="暂无","暂无",IF(VLOOKUP(AC4,装备属性!$A:$C,3,0)&gt;英雄对比!$G$4,0,1))</f>
        <v>1</v>
      </c>
      <c r="AG17" s="234"/>
      <c r="AH17" s="232"/>
      <c r="AI17" s="232"/>
      <c r="AJ17" s="232"/>
      <c r="AK17" s="232"/>
      <c r="AL17" s="232"/>
      <c r="AM17" s="232"/>
      <c r="AN17" s="232"/>
    </row>
    <row r="18" spans="2:54">
      <c r="B18" s="151" t="str">
        <f>英雄初始!A19</f>
        <v>骨弓</v>
      </c>
      <c r="E18" s="151" t="str">
        <f>进阶奖励!$A22</f>
        <v>紫+1</v>
      </c>
      <c r="F18" s="151">
        <v>8</v>
      </c>
      <c r="G18" s="152">
        <f>VLOOKUP(英雄对比!$G$2,中介表格3!$H:$T,9,0)</f>
        <v>73</v>
      </c>
      <c r="H18" s="54" t="s">
        <v>171</v>
      </c>
      <c r="I18" s="51">
        <f>MAX(VLOOKUP(INDEX(英雄装备!$F:$BZ,MATCH($H18,英雄装备!$F:$F,0),MATCH(I$2,英雄装备!$1:$1,0)-5),装备属性!$A:$C,3,0),VLOOKUP(INDEX(英雄装备!$F:$BZ,MATCH($H18,英雄装备!$F:$F,0),MATCH(I$2,英雄装备!$1:$1,0)-4),装备属性!$A:$C,3,0),VLOOKUP(INDEX(英雄装备!$F:$BZ,MATCH($H18,英雄装备!$F:$F,0),MATCH(I$2,英雄装备!$1:$1,0)-3),装备属性!$A:$C,3,0),VLOOKUP(INDEX(英雄装备!$F:$BZ,MATCH($H18,英雄装备!$F:$F,0),MATCH(I$2,英雄装备!$1:$1,0)-2),装备属性!$A:$C,3,0),VLOOKUP(INDEX(英雄装备!$F:$BZ,MATCH($H18,英雄装备!$F:$F,0),MATCH(I$2,英雄装备!$1:$1,0)-1),装备属性!$A:$C,3,0),VLOOKUP(INDEX(英雄装备!$F:$BZ,MATCH($H18,英雄装备!$F:$F,0),MATCH(I$2,英雄装备!$1:$1,0)),装备属性!$A:$C,3,0))</f>
        <v>2</v>
      </c>
      <c r="J18" s="51">
        <f>MAX(VLOOKUP(INDEX(英雄装备!$F:$BZ,MATCH($H18,英雄装备!$F:$F,0),MATCH(J$2,英雄装备!$1:$1,0)-5),装备属性!$A:$C,3,0),VLOOKUP(INDEX(英雄装备!$F:$BZ,MATCH($H18,英雄装备!$F:$F,0),MATCH(J$2,英雄装备!$1:$1,0)-4),装备属性!$A:$C,3,0),VLOOKUP(INDEX(英雄装备!$F:$BZ,MATCH($H18,英雄装备!$F:$F,0),MATCH(J$2,英雄装备!$1:$1,0)-3),装备属性!$A:$C,3,0),VLOOKUP(INDEX(英雄装备!$F:$BZ,MATCH($H18,英雄装备!$F:$F,0),MATCH(J$2,英雄装备!$1:$1,0)-2),装备属性!$A:$C,3,0),VLOOKUP(INDEX(英雄装备!$F:$BZ,MATCH($H18,英雄装备!$F:$F,0),MATCH(J$2,英雄装备!$1:$1,0)-1),装备属性!$A:$C,3,0),VLOOKUP(INDEX(英雄装备!$F:$BZ,MATCH($H18,英雄装备!$F:$F,0),MATCH(J$2,英雄装备!$1:$1,0)),装备属性!$A:$C,3,0))</f>
        <v>10</v>
      </c>
      <c r="K18" s="51">
        <f>MAX(VLOOKUP(INDEX(英雄装备!$F:$BZ,MATCH($H18,英雄装备!$F:$F,0),MATCH(K$2,英雄装备!$1:$1,0)-5),装备属性!$A:$C,3,0),VLOOKUP(INDEX(英雄装备!$F:$BZ,MATCH($H18,英雄装备!$F:$F,0),MATCH(K$2,英雄装备!$1:$1,0)-4),装备属性!$A:$C,3,0),VLOOKUP(INDEX(英雄装备!$F:$BZ,MATCH($H18,英雄装备!$F:$F,0),MATCH(K$2,英雄装备!$1:$1,0)-3),装备属性!$A:$C,3,0),VLOOKUP(INDEX(英雄装备!$F:$BZ,MATCH($H18,英雄装备!$F:$F,0),MATCH(K$2,英雄装备!$1:$1,0)-2),装备属性!$A:$C,3,0),VLOOKUP(INDEX(英雄装备!$F:$BZ,MATCH($H18,英雄装备!$F:$F,0),MATCH(K$2,英雄装备!$1:$1,0)-1),装备属性!$A:$C,3,0),VLOOKUP(INDEX(英雄装备!$F:$BZ,MATCH($H18,英雄装备!$F:$F,0),MATCH(K$2,英雄装备!$1:$1,0)),装备属性!$A:$C,3,0))</f>
        <v>24</v>
      </c>
      <c r="L18" s="51">
        <f>MAX(VLOOKUP(INDEX(英雄装备!$F:$BZ,MATCH($H18,英雄装备!$F:$F,0),MATCH(L$2,英雄装备!$1:$1,0)-5),装备属性!$A:$C,3,0),VLOOKUP(INDEX(英雄装备!$F:$BZ,MATCH($H18,英雄装备!$F:$F,0),MATCH(L$2,英雄装备!$1:$1,0)-4),装备属性!$A:$C,3,0),VLOOKUP(INDEX(英雄装备!$F:$BZ,MATCH($H18,英雄装备!$F:$F,0),MATCH(L$2,英雄装备!$1:$1,0)-3),装备属性!$A:$C,3,0),VLOOKUP(INDEX(英雄装备!$F:$BZ,MATCH($H18,英雄装备!$F:$F,0),MATCH(L$2,英雄装备!$1:$1,0)-2),装备属性!$A:$C,3,0),VLOOKUP(INDEX(英雄装备!$F:$BZ,MATCH($H18,英雄装备!$F:$F,0),MATCH(L$2,英雄装备!$1:$1,0)-1),装备属性!$A:$C,3,0),VLOOKUP(INDEX(英雄装备!$F:$BZ,MATCH($H18,英雄装备!$F:$F,0),MATCH(L$2,英雄装备!$1:$1,0)),装备属性!$A:$C,3,0))</f>
        <v>37</v>
      </c>
      <c r="M18" s="51">
        <f>MAX(VLOOKUP(INDEX(英雄装备!$F:$BZ,MATCH($H18,英雄装备!$F:$F,0),MATCH(M$2,英雄装备!$1:$1,0)-5),装备属性!$A:$C,3,0),VLOOKUP(INDEX(英雄装备!$F:$BZ,MATCH($H18,英雄装备!$F:$F,0),MATCH(M$2,英雄装备!$1:$1,0)-4),装备属性!$A:$C,3,0),VLOOKUP(INDEX(英雄装备!$F:$BZ,MATCH($H18,英雄装备!$F:$F,0),MATCH(M$2,英雄装备!$1:$1,0)-3),装备属性!$A:$C,3,0),VLOOKUP(INDEX(英雄装备!$F:$BZ,MATCH($H18,英雄装备!$F:$F,0),MATCH(M$2,英雄装备!$1:$1,0)-2),装备属性!$A:$C,3,0),VLOOKUP(INDEX(英雄装备!$F:$BZ,MATCH($H18,英雄装备!$F:$F,0),MATCH(M$2,英雄装备!$1:$1,0)-1),装备属性!$A:$C,3,0),VLOOKUP(INDEX(英雄装备!$F:$BZ,MATCH($H18,英雄装备!$F:$F,0),MATCH(M$2,英雄装备!$1:$1,0)),装备属性!$A:$C,3,0))</f>
        <v>44</v>
      </c>
      <c r="N18" s="51">
        <f>MAX(VLOOKUP(INDEX(英雄装备!$F:$BZ,MATCH($H18,英雄装备!$F:$F,0),MATCH(N$2,英雄装备!$1:$1,0)-5),装备属性!$A:$C,3,0),VLOOKUP(INDEX(英雄装备!$F:$BZ,MATCH($H18,英雄装备!$F:$F,0),MATCH(N$2,英雄装备!$1:$1,0)-4),装备属性!$A:$C,3,0),VLOOKUP(INDEX(英雄装备!$F:$BZ,MATCH($H18,英雄装备!$F:$F,0),MATCH(N$2,英雄装备!$1:$1,0)-3),装备属性!$A:$C,3,0),VLOOKUP(INDEX(英雄装备!$F:$BZ,MATCH($H18,英雄装备!$F:$F,0),MATCH(N$2,英雄装备!$1:$1,0)-2),装备属性!$A:$C,3,0),VLOOKUP(INDEX(英雄装备!$F:$BZ,MATCH($H18,英雄装备!$F:$F,0),MATCH(N$2,英雄装备!$1:$1,0)-1),装备属性!$A:$C,3,0),VLOOKUP(INDEX(英雄装备!$F:$BZ,MATCH($H18,英雄装备!$F:$F,0),MATCH(N$2,英雄装备!$1:$1,0)),装备属性!$A:$C,3,0))</f>
        <v>53</v>
      </c>
      <c r="O18" s="51">
        <f>MAX(VLOOKUP(INDEX(英雄装备!$F:$BZ,MATCH($H18,英雄装备!$F:$F,0),MATCH(O$2,英雄装备!$1:$1,0)-5),装备属性!$A:$C,3,0),VLOOKUP(INDEX(英雄装备!$F:$BZ,MATCH($H18,英雄装备!$F:$F,0),MATCH(O$2,英雄装备!$1:$1,0)-4),装备属性!$A:$C,3,0),VLOOKUP(INDEX(英雄装备!$F:$BZ,MATCH($H18,英雄装备!$F:$F,0),MATCH(O$2,英雄装备!$1:$1,0)-3),装备属性!$A:$C,3,0),VLOOKUP(INDEX(英雄装备!$F:$BZ,MATCH($H18,英雄装备!$F:$F,0),MATCH(O$2,英雄装备!$1:$1,0)-2),装备属性!$A:$C,3,0),VLOOKUP(INDEX(英雄装备!$F:$BZ,MATCH($H18,英雄装备!$F:$F,0),MATCH(O$2,英雄装备!$1:$1,0)-1),装备属性!$A:$C,3,0),VLOOKUP(INDEX(英雄装备!$F:$BZ,MATCH($H18,英雄装备!$F:$F,0),MATCH(O$2,英雄装备!$1:$1,0)),装备属性!$A:$C,3,0))</f>
        <v>66</v>
      </c>
      <c r="P18" s="51">
        <f>MAX(VLOOKUP(INDEX(英雄装备!$F:$BZ,MATCH($H18,英雄装备!$F:$F,0),MATCH(P$2,英雄装备!$1:$1,0)-5),装备属性!$A:$C,3,0),VLOOKUP(INDEX(英雄装备!$F:$BZ,MATCH($H18,英雄装备!$F:$F,0),MATCH(P$2,英雄装备!$1:$1,0)-4),装备属性!$A:$C,3,0),VLOOKUP(INDEX(英雄装备!$F:$BZ,MATCH($H18,英雄装备!$F:$F,0),MATCH(P$2,英雄装备!$1:$1,0)-3),装备属性!$A:$C,3,0),VLOOKUP(INDEX(英雄装备!$F:$BZ,MATCH($H18,英雄装备!$F:$F,0),MATCH(P$2,英雄装备!$1:$1,0)-2),装备属性!$A:$C,3,0),VLOOKUP(INDEX(英雄装备!$F:$BZ,MATCH($H18,英雄装备!$F:$F,0),MATCH(P$2,英雄装备!$1:$1,0)-1),装备属性!$A:$C,3,0),VLOOKUP(INDEX(英雄装备!$F:$BZ,MATCH($H18,英雄装备!$F:$F,0),MATCH(P$2,英雄装备!$1:$1,0)),装备属性!$A:$C,3,0))</f>
        <v>73</v>
      </c>
      <c r="Q18" s="51">
        <f>MAX(VLOOKUP(INDEX(英雄装备!$F:$BZ,MATCH($H18,英雄装备!$F:$F,0),MATCH(Q$2,英雄装备!$1:$1,0)-5),装备属性!$A:$C,3,0),VLOOKUP(INDEX(英雄装备!$F:$BZ,MATCH($H18,英雄装备!$F:$F,0),MATCH(Q$2,英雄装备!$1:$1,0)-4),装备属性!$A:$C,3,0),VLOOKUP(INDEX(英雄装备!$F:$BZ,MATCH($H18,英雄装备!$F:$F,0),MATCH(Q$2,英雄装备!$1:$1,0)-3),装备属性!$A:$C,3,0),VLOOKUP(INDEX(英雄装备!$F:$BZ,MATCH($H18,英雄装备!$F:$F,0),MATCH(Q$2,英雄装备!$1:$1,0)-2),装备属性!$A:$C,3,0),VLOOKUP(INDEX(英雄装备!$F:$BZ,MATCH($H18,英雄装备!$F:$F,0),MATCH(Q$2,英雄装备!$1:$1,0)-1),装备属性!$A:$C,3,0),VLOOKUP(INDEX(英雄装备!$F:$BZ,MATCH($H18,英雄装备!$F:$F,0),MATCH(Q$2,英雄装备!$1:$1,0)),装备属性!$A:$C,3,0))</f>
        <v>80</v>
      </c>
      <c r="R18" s="51">
        <f>MAX(VLOOKUP(INDEX(英雄装备!$F:$BZ,MATCH($H18,英雄装备!$F:$F,0),MATCH(R$2,英雄装备!$1:$1,0)-5),装备属性!$A:$C,3,0),VLOOKUP(INDEX(英雄装备!$F:$BZ,MATCH($H18,英雄装备!$F:$F,0),MATCH(R$2,英雄装备!$1:$1,0)-4),装备属性!$A:$C,3,0),VLOOKUP(INDEX(英雄装备!$F:$BZ,MATCH($H18,英雄装备!$F:$F,0),MATCH(R$2,英雄装备!$1:$1,0)-3),装备属性!$A:$C,3,0),VLOOKUP(INDEX(英雄装备!$F:$BZ,MATCH($H18,英雄装备!$F:$F,0),MATCH(R$2,英雄装备!$1:$1,0)-2),装备属性!$A:$C,3,0),VLOOKUP(INDEX(英雄装备!$F:$BZ,MATCH($H18,英雄装备!$F:$F,0),MATCH(R$2,英雄装备!$1:$1,0)-1),装备属性!$A:$C,3,0),VLOOKUP(INDEX(英雄装备!$F:$BZ,MATCH($H18,英雄装备!$F:$F,0),MATCH(R$2,英雄装备!$1:$1,0)),装备属性!$A:$C,3,0))</f>
        <v>79</v>
      </c>
      <c r="S18" s="51">
        <f>MAX(VLOOKUP(INDEX(英雄装备!$F:$BZ,MATCH($H18,英雄装备!$F:$F,0),MATCH(S$2,英雄装备!$1:$1,0)-5),装备属性!$A:$C,3,0),VLOOKUP(INDEX(英雄装备!$F:$BZ,MATCH($H18,英雄装备!$F:$F,0),MATCH(S$2,英雄装备!$1:$1,0)-4),装备属性!$A:$C,3,0),VLOOKUP(INDEX(英雄装备!$F:$BZ,MATCH($H18,英雄装备!$F:$F,0),MATCH(S$2,英雄装备!$1:$1,0)-3),装备属性!$A:$C,3,0),VLOOKUP(INDEX(英雄装备!$F:$BZ,MATCH($H18,英雄装备!$F:$F,0),MATCH(S$2,英雄装备!$1:$1,0)-2),装备属性!$A:$C,3,0),VLOOKUP(INDEX(英雄装备!$F:$BZ,MATCH($H18,英雄装备!$F:$F,0),MATCH(S$2,英雄装备!$1:$1,0)-1),装备属性!$A:$C,3,0),VLOOKUP(INDEX(英雄装备!$F:$BZ,MATCH($H18,英雄装备!$F:$F,0),MATCH(S$2,英雄装备!$1:$1,0)),装备属性!$A:$C,3,0))</f>
        <v>85</v>
      </c>
      <c r="T18" s="51">
        <f>MAX(VLOOKUP(INDEX(英雄装备!$F:$BZ,MATCH($H18,英雄装备!$F:$F,0),MATCH(T$2,英雄装备!$1:$1,0)-5),装备属性!$A:$C,3,0),VLOOKUP(INDEX(英雄装备!$F:$BZ,MATCH($H18,英雄装备!$F:$F,0),MATCH(T$2,英雄装备!$1:$1,0)-4),装备属性!$A:$C,3,0),VLOOKUP(INDEX(英雄装备!$F:$BZ,MATCH($H18,英雄装备!$F:$F,0),MATCH(T$2,英雄装备!$1:$1,0)-3),装备属性!$A:$C,3,0),VLOOKUP(INDEX(英雄装备!$F:$BZ,MATCH($H18,英雄装备!$F:$F,0),MATCH(T$2,英雄装备!$1:$1,0)-2),装备属性!$A:$C,3,0),VLOOKUP(INDEX(英雄装备!$F:$BZ,MATCH($H18,英雄装备!$F:$F,0),MATCH(T$2,英雄装备!$1:$1,0)-1),装备属性!$A:$C,3,0))</f>
        <v>89</v>
      </c>
      <c r="W18" s="108">
        <f t="shared" si="3"/>
        <v>1</v>
      </c>
      <c r="X18" s="151">
        <f>IF(X5="暂无","暂无",IF(VLOOKUP(X5,装备属性!$A:$C,3,0)&gt;英雄对比!$G$4,0,1))</f>
        <v>1</v>
      </c>
      <c r="Y18" s="151">
        <f>IF(Y5="暂无","暂无",IF(VLOOKUP(Y5,装备属性!$A:$C,3,0)&gt;英雄对比!$G$4,0,1))</f>
        <v>1</v>
      </c>
      <c r="Z18" s="151">
        <f>IF(Z5="暂无","暂无",IF(VLOOKUP(Z5,装备属性!$A:$C,3,0)&gt;英雄对比!$G$4,0,1))</f>
        <v>1</v>
      </c>
      <c r="AA18" s="151">
        <f>IF(AA5="暂无","暂无",IF(VLOOKUP(AA5,装备属性!$A:$C,3,0)&gt;英雄对比!$G$4,0,1))</f>
        <v>1</v>
      </c>
      <c r="AB18" s="151">
        <f>IF(AB5="暂无","暂无",IF(VLOOKUP(AB5,装备属性!$A:$C,3,0)&gt;英雄对比!$G$4,0,1))</f>
        <v>1</v>
      </c>
      <c r="AC18" s="151">
        <f>IF(AC5="暂无","暂无",IF(VLOOKUP(AC5,装备属性!$A:$C,3,0)&gt;英雄对比!$G$4,0,1))</f>
        <v>1</v>
      </c>
      <c r="AG18" s="234"/>
      <c r="AH18" s="232" t="s">
        <v>1077</v>
      </c>
      <c r="AI18" s="50" t="s">
        <v>103</v>
      </c>
      <c r="AJ18" s="50" t="s">
        <v>14</v>
      </c>
      <c r="AK18" s="50" t="s">
        <v>47</v>
      </c>
      <c r="AL18" s="50" t="s">
        <v>35</v>
      </c>
      <c r="AM18" s="50" t="s">
        <v>38</v>
      </c>
      <c r="AN18" s="50" t="s">
        <v>34</v>
      </c>
      <c r="AO18" s="50" t="s">
        <v>56</v>
      </c>
      <c r="AP18" s="50" t="s">
        <v>84</v>
      </c>
      <c r="AQ18" s="50" t="s">
        <v>98</v>
      </c>
      <c r="AR18" s="50" t="s">
        <v>2099</v>
      </c>
      <c r="AS18" s="119" t="s">
        <v>1874</v>
      </c>
      <c r="AT18" s="50" t="s">
        <v>91</v>
      </c>
      <c r="AU18" s="50" t="s">
        <v>13</v>
      </c>
      <c r="AV18" s="50" t="s">
        <v>18</v>
      </c>
      <c r="AW18" s="51" t="s">
        <v>71</v>
      </c>
      <c r="AX18" s="50" t="s">
        <v>130</v>
      </c>
      <c r="AY18" s="141" t="s">
        <v>1867</v>
      </c>
      <c r="AZ18" s="141" t="s">
        <v>1877</v>
      </c>
    </row>
    <row r="19" spans="2:54">
      <c r="B19" s="151" t="str">
        <f>英雄初始!A20</f>
        <v>火枪</v>
      </c>
      <c r="E19" s="151" t="str">
        <f>进阶奖励!$A23</f>
        <v>紫+2</v>
      </c>
      <c r="F19" s="151">
        <v>9</v>
      </c>
      <c r="G19" s="152">
        <f>VLOOKUP(英雄对比!$G$2,中介表格3!$H:$T,10,0)</f>
        <v>78</v>
      </c>
      <c r="H19" s="54" t="s">
        <v>172</v>
      </c>
      <c r="I19" s="51">
        <f>MAX(VLOOKUP(INDEX(英雄装备!$F:$BZ,MATCH($H19,英雄装备!$F:$F,0),MATCH(I$2,英雄装备!$1:$1,0)-5),装备属性!$A:$C,3,0),VLOOKUP(INDEX(英雄装备!$F:$BZ,MATCH($H19,英雄装备!$F:$F,0),MATCH(I$2,英雄装备!$1:$1,0)-4),装备属性!$A:$C,3,0),VLOOKUP(INDEX(英雄装备!$F:$BZ,MATCH($H19,英雄装备!$F:$F,0),MATCH(I$2,英雄装备!$1:$1,0)-3),装备属性!$A:$C,3,0),VLOOKUP(INDEX(英雄装备!$F:$BZ,MATCH($H19,英雄装备!$F:$F,0),MATCH(I$2,英雄装备!$1:$1,0)-2),装备属性!$A:$C,3,0),VLOOKUP(INDEX(英雄装备!$F:$BZ,MATCH($H19,英雄装备!$F:$F,0),MATCH(I$2,英雄装备!$1:$1,0)-1),装备属性!$A:$C,3,0),VLOOKUP(INDEX(英雄装备!$F:$BZ,MATCH($H19,英雄装备!$F:$F,0),MATCH(I$2,英雄装备!$1:$1,0)),装备属性!$A:$C,3,0))</f>
        <v>2</v>
      </c>
      <c r="J19" s="51">
        <f>MAX(VLOOKUP(INDEX(英雄装备!$F:$BZ,MATCH($H19,英雄装备!$F:$F,0),MATCH(J$2,英雄装备!$1:$1,0)-5),装备属性!$A:$C,3,0),VLOOKUP(INDEX(英雄装备!$F:$BZ,MATCH($H19,英雄装备!$F:$F,0),MATCH(J$2,英雄装备!$1:$1,0)-4),装备属性!$A:$C,3,0),VLOOKUP(INDEX(英雄装备!$F:$BZ,MATCH($H19,英雄装备!$F:$F,0),MATCH(J$2,英雄装备!$1:$1,0)-3),装备属性!$A:$C,3,0),VLOOKUP(INDEX(英雄装备!$F:$BZ,MATCH($H19,英雄装备!$F:$F,0),MATCH(J$2,英雄装备!$1:$1,0)-2),装备属性!$A:$C,3,0),VLOOKUP(INDEX(英雄装备!$F:$BZ,MATCH($H19,英雄装备!$F:$F,0),MATCH(J$2,英雄装备!$1:$1,0)-1),装备属性!$A:$C,3,0),VLOOKUP(INDEX(英雄装备!$F:$BZ,MATCH($H19,英雄装备!$F:$F,0),MATCH(J$2,英雄装备!$1:$1,0)),装备属性!$A:$C,3,0))</f>
        <v>10</v>
      </c>
      <c r="K19" s="51">
        <f>MAX(VLOOKUP(INDEX(英雄装备!$F:$BZ,MATCH($H19,英雄装备!$F:$F,0),MATCH(K$2,英雄装备!$1:$1,0)-5),装备属性!$A:$C,3,0),VLOOKUP(INDEX(英雄装备!$F:$BZ,MATCH($H19,英雄装备!$F:$F,0),MATCH(K$2,英雄装备!$1:$1,0)-4),装备属性!$A:$C,3,0),VLOOKUP(INDEX(英雄装备!$F:$BZ,MATCH($H19,英雄装备!$F:$F,0),MATCH(K$2,英雄装备!$1:$1,0)-3),装备属性!$A:$C,3,0),VLOOKUP(INDEX(英雄装备!$F:$BZ,MATCH($H19,英雄装备!$F:$F,0),MATCH(K$2,英雄装备!$1:$1,0)-2),装备属性!$A:$C,3,0),VLOOKUP(INDEX(英雄装备!$F:$BZ,MATCH($H19,英雄装备!$F:$F,0),MATCH(K$2,英雄装备!$1:$1,0)-1),装备属性!$A:$C,3,0),VLOOKUP(INDEX(英雄装备!$F:$BZ,MATCH($H19,英雄装备!$F:$F,0),MATCH(K$2,英雄装备!$1:$1,0)),装备属性!$A:$C,3,0))</f>
        <v>20</v>
      </c>
      <c r="L19" s="51">
        <f>MAX(VLOOKUP(INDEX(英雄装备!$F:$BZ,MATCH($H19,英雄装备!$F:$F,0),MATCH(L$2,英雄装备!$1:$1,0)-5),装备属性!$A:$C,3,0),VLOOKUP(INDEX(英雄装备!$F:$BZ,MATCH($H19,英雄装备!$F:$F,0),MATCH(L$2,英雄装备!$1:$1,0)-4),装备属性!$A:$C,3,0),VLOOKUP(INDEX(英雄装备!$F:$BZ,MATCH($H19,英雄装备!$F:$F,0),MATCH(L$2,英雄装备!$1:$1,0)-3),装备属性!$A:$C,3,0),VLOOKUP(INDEX(英雄装备!$F:$BZ,MATCH($H19,英雄装备!$F:$F,0),MATCH(L$2,英雄装备!$1:$1,0)-2),装备属性!$A:$C,3,0),VLOOKUP(INDEX(英雄装备!$F:$BZ,MATCH($H19,英雄装备!$F:$F,0),MATCH(L$2,英雄装备!$1:$1,0)-1),装备属性!$A:$C,3,0),VLOOKUP(INDEX(英雄装备!$F:$BZ,MATCH($H19,英雄装备!$F:$F,0),MATCH(L$2,英雄装备!$1:$1,0)),装备属性!$A:$C,3,0))</f>
        <v>35</v>
      </c>
      <c r="M19" s="51">
        <f>MAX(VLOOKUP(INDEX(英雄装备!$F:$BZ,MATCH($H19,英雄装备!$F:$F,0),MATCH(M$2,英雄装备!$1:$1,0)-5),装备属性!$A:$C,3,0),VLOOKUP(INDEX(英雄装备!$F:$BZ,MATCH($H19,英雄装备!$F:$F,0),MATCH(M$2,英雄装备!$1:$1,0)-4),装备属性!$A:$C,3,0),VLOOKUP(INDEX(英雄装备!$F:$BZ,MATCH($H19,英雄装备!$F:$F,0),MATCH(M$2,英雄装备!$1:$1,0)-3),装备属性!$A:$C,3,0),VLOOKUP(INDEX(英雄装备!$F:$BZ,MATCH($H19,英雄装备!$F:$F,0),MATCH(M$2,英雄装备!$1:$1,0)-2),装备属性!$A:$C,3,0),VLOOKUP(INDEX(英雄装备!$F:$BZ,MATCH($H19,英雄装备!$F:$F,0),MATCH(M$2,英雄装备!$1:$1,0)-1),装备属性!$A:$C,3,0),VLOOKUP(INDEX(英雄装备!$F:$BZ,MATCH($H19,英雄装备!$F:$F,0),MATCH(M$2,英雄装备!$1:$1,0)),装备属性!$A:$C,3,0))</f>
        <v>44</v>
      </c>
      <c r="N19" s="51">
        <f>MAX(VLOOKUP(INDEX(英雄装备!$F:$BZ,MATCH($H19,英雄装备!$F:$F,0),MATCH(N$2,英雄装备!$1:$1,0)-5),装备属性!$A:$C,3,0),VLOOKUP(INDEX(英雄装备!$F:$BZ,MATCH($H19,英雄装备!$F:$F,0),MATCH(N$2,英雄装备!$1:$1,0)-4),装备属性!$A:$C,3,0),VLOOKUP(INDEX(英雄装备!$F:$BZ,MATCH($H19,英雄装备!$F:$F,0),MATCH(N$2,英雄装备!$1:$1,0)-3),装备属性!$A:$C,3,0),VLOOKUP(INDEX(英雄装备!$F:$BZ,MATCH($H19,英雄装备!$F:$F,0),MATCH(N$2,英雄装备!$1:$1,0)-2),装备属性!$A:$C,3,0),VLOOKUP(INDEX(英雄装备!$F:$BZ,MATCH($H19,英雄装备!$F:$F,0),MATCH(N$2,英雄装备!$1:$1,0)-1),装备属性!$A:$C,3,0),VLOOKUP(INDEX(英雄装备!$F:$BZ,MATCH($H19,英雄装备!$F:$F,0),MATCH(N$2,英雄装备!$1:$1,0)),装备属性!$A:$C,3,0))</f>
        <v>52</v>
      </c>
      <c r="O19" s="51">
        <f>MAX(VLOOKUP(INDEX(英雄装备!$F:$BZ,MATCH($H19,英雄装备!$F:$F,0),MATCH(O$2,英雄装备!$1:$1,0)-5),装备属性!$A:$C,3,0),VLOOKUP(INDEX(英雄装备!$F:$BZ,MATCH($H19,英雄装备!$F:$F,0),MATCH(O$2,英雄装备!$1:$1,0)-4),装备属性!$A:$C,3,0),VLOOKUP(INDEX(英雄装备!$F:$BZ,MATCH($H19,英雄装备!$F:$F,0),MATCH(O$2,英雄装备!$1:$1,0)-3),装备属性!$A:$C,3,0),VLOOKUP(INDEX(英雄装备!$F:$BZ,MATCH($H19,英雄装备!$F:$F,0),MATCH(O$2,英雄装备!$1:$1,0)-2),装备属性!$A:$C,3,0),VLOOKUP(INDEX(英雄装备!$F:$BZ,MATCH($H19,英雄装备!$F:$F,0),MATCH(O$2,英雄装备!$1:$1,0)-1),装备属性!$A:$C,3,0),VLOOKUP(INDEX(英雄装备!$F:$BZ,MATCH($H19,英雄装备!$F:$F,0),MATCH(O$2,英雄装备!$1:$1,0)),装备属性!$A:$C,3,0))</f>
        <v>64</v>
      </c>
      <c r="P19" s="51">
        <f>MAX(VLOOKUP(INDEX(英雄装备!$F:$BZ,MATCH($H19,英雄装备!$F:$F,0),MATCH(P$2,英雄装备!$1:$1,0)-5),装备属性!$A:$C,3,0),VLOOKUP(INDEX(英雄装备!$F:$BZ,MATCH($H19,英雄装备!$F:$F,0),MATCH(P$2,英雄装备!$1:$1,0)-4),装备属性!$A:$C,3,0),VLOOKUP(INDEX(英雄装备!$F:$BZ,MATCH($H19,英雄装备!$F:$F,0),MATCH(P$2,英雄装备!$1:$1,0)-3),装备属性!$A:$C,3,0),VLOOKUP(INDEX(英雄装备!$F:$BZ,MATCH($H19,英雄装备!$F:$F,0),MATCH(P$2,英雄装备!$1:$1,0)-2),装备属性!$A:$C,3,0),VLOOKUP(INDEX(英雄装备!$F:$BZ,MATCH($H19,英雄装备!$F:$F,0),MATCH(P$2,英雄装备!$1:$1,0)-1),装备属性!$A:$C,3,0),VLOOKUP(INDEX(英雄装备!$F:$BZ,MATCH($H19,英雄装备!$F:$F,0),MATCH(P$2,英雄装备!$1:$1,0)),装备属性!$A:$C,3,0))</f>
        <v>70</v>
      </c>
      <c r="Q19" s="51">
        <f>MAX(VLOOKUP(INDEX(英雄装备!$F:$BZ,MATCH($H19,英雄装备!$F:$F,0),MATCH(Q$2,英雄装备!$1:$1,0)-5),装备属性!$A:$C,3,0),VLOOKUP(INDEX(英雄装备!$F:$BZ,MATCH($H19,英雄装备!$F:$F,0),MATCH(Q$2,英雄装备!$1:$1,0)-4),装备属性!$A:$C,3,0),VLOOKUP(INDEX(英雄装备!$F:$BZ,MATCH($H19,英雄装备!$F:$F,0),MATCH(Q$2,英雄装备!$1:$1,0)-3),装备属性!$A:$C,3,0),VLOOKUP(INDEX(英雄装备!$F:$BZ,MATCH($H19,英雄装备!$F:$F,0),MATCH(Q$2,英雄装备!$1:$1,0)-2),装备属性!$A:$C,3,0),VLOOKUP(INDEX(英雄装备!$F:$BZ,MATCH($H19,英雄装备!$F:$F,0),MATCH(Q$2,英雄装备!$1:$1,0)-1),装备属性!$A:$C,3,0),VLOOKUP(INDEX(英雄装备!$F:$BZ,MATCH($H19,英雄装备!$F:$F,0),MATCH(Q$2,英雄装备!$1:$1,0)),装备属性!$A:$C,3,0))</f>
        <v>79</v>
      </c>
      <c r="R19" s="51">
        <f>MAX(VLOOKUP(INDEX(英雄装备!$F:$BZ,MATCH($H19,英雄装备!$F:$F,0),MATCH(R$2,英雄装备!$1:$1,0)-5),装备属性!$A:$C,3,0),VLOOKUP(INDEX(英雄装备!$F:$BZ,MATCH($H19,英雄装备!$F:$F,0),MATCH(R$2,英雄装备!$1:$1,0)-4),装备属性!$A:$C,3,0),VLOOKUP(INDEX(英雄装备!$F:$BZ,MATCH($H19,英雄装备!$F:$F,0),MATCH(R$2,英雄装备!$1:$1,0)-3),装备属性!$A:$C,3,0),VLOOKUP(INDEX(英雄装备!$F:$BZ,MATCH($H19,英雄装备!$F:$F,0),MATCH(R$2,英雄装备!$1:$1,0)-2),装备属性!$A:$C,3,0),VLOOKUP(INDEX(英雄装备!$F:$BZ,MATCH($H19,英雄装备!$F:$F,0),MATCH(R$2,英雄装备!$1:$1,0)-1),装备属性!$A:$C,3,0),VLOOKUP(INDEX(英雄装备!$F:$BZ,MATCH($H19,英雄装备!$F:$F,0),MATCH(R$2,英雄装备!$1:$1,0)),装备属性!$A:$C,3,0))</f>
        <v>80</v>
      </c>
      <c r="S19" s="51">
        <f>MAX(VLOOKUP(INDEX(英雄装备!$F:$BZ,MATCH($H19,英雄装备!$F:$F,0),MATCH(S$2,英雄装备!$1:$1,0)-5),装备属性!$A:$C,3,0),VLOOKUP(INDEX(英雄装备!$F:$BZ,MATCH($H19,英雄装备!$F:$F,0),MATCH(S$2,英雄装备!$1:$1,0)-4),装备属性!$A:$C,3,0),VLOOKUP(INDEX(英雄装备!$F:$BZ,MATCH($H19,英雄装备!$F:$F,0),MATCH(S$2,英雄装备!$1:$1,0)-3),装备属性!$A:$C,3,0),VLOOKUP(INDEX(英雄装备!$F:$BZ,MATCH($H19,英雄装备!$F:$F,0),MATCH(S$2,英雄装备!$1:$1,0)-2),装备属性!$A:$C,3,0),VLOOKUP(INDEX(英雄装备!$F:$BZ,MATCH($H19,英雄装备!$F:$F,0),MATCH(S$2,英雄装备!$1:$1,0)-1),装备属性!$A:$C,3,0),VLOOKUP(INDEX(英雄装备!$F:$BZ,MATCH($H19,英雄装备!$F:$F,0),MATCH(S$2,英雄装备!$1:$1,0)),装备属性!$A:$C,3,0))</f>
        <v>85</v>
      </c>
      <c r="T19" s="51">
        <f>MAX(VLOOKUP(INDEX(英雄装备!$F:$BZ,MATCH($H19,英雄装备!$F:$F,0),MATCH(T$2,英雄装备!$1:$1,0)-5),装备属性!$A:$C,3,0),VLOOKUP(INDEX(英雄装备!$F:$BZ,MATCH($H19,英雄装备!$F:$F,0),MATCH(T$2,英雄装备!$1:$1,0)-4),装备属性!$A:$C,3,0),VLOOKUP(INDEX(英雄装备!$F:$BZ,MATCH($H19,英雄装备!$F:$F,0),MATCH(T$2,英雄装备!$1:$1,0)-3),装备属性!$A:$C,3,0),VLOOKUP(INDEX(英雄装备!$F:$BZ,MATCH($H19,英雄装备!$F:$F,0),MATCH(T$2,英雄装备!$1:$1,0)-2),装备属性!$A:$C,3,0),VLOOKUP(INDEX(英雄装备!$F:$BZ,MATCH($H19,英雄装备!$F:$F,0),MATCH(T$2,英雄装备!$1:$1,0)-1),装备属性!$A:$C,3,0))</f>
        <v>89</v>
      </c>
      <c r="W19" s="108">
        <f t="shared" si="3"/>
        <v>1</v>
      </c>
      <c r="X19" s="151">
        <f>IF(X6="暂无","暂无",IF(VLOOKUP(X6,装备属性!$A:$C,3,0)&gt;英雄对比!$G$4,0,1))</f>
        <v>1</v>
      </c>
      <c r="Y19" s="151">
        <f>IF(Y6="暂无","暂无",IF(VLOOKUP(Y6,装备属性!$A:$C,3,0)&gt;英雄对比!$G$4,0,1))</f>
        <v>1</v>
      </c>
      <c r="Z19" s="151">
        <f>IF(Z6="暂无","暂无",IF(VLOOKUP(Z6,装备属性!$A:$C,3,0)&gt;英雄对比!$G$4,0,1))</f>
        <v>1</v>
      </c>
      <c r="AA19" s="151">
        <f>IF(AA6="暂无","暂无",IF(VLOOKUP(AA6,装备属性!$A:$C,3,0)&gt;英雄对比!$G$4,0,1))</f>
        <v>1</v>
      </c>
      <c r="AB19" s="151">
        <f>IF(AB6="暂无","暂无",IF(VLOOKUP(AB6,装备属性!$A:$C,3,0)&gt;英雄对比!$G$4,0,1))</f>
        <v>1</v>
      </c>
      <c r="AC19" s="151">
        <f>IF(AC6="暂无","暂无",IF(VLOOKUP(AC6,装备属性!$A:$C,3,0)&gt;英雄对比!$G$4,0,1))</f>
        <v>1</v>
      </c>
      <c r="AG19" s="234"/>
      <c r="AH19" s="232"/>
      <c r="AI19" s="151">
        <f>VLOOKUP(英雄对比!$G$2,英雄初始!$A:$K,6,0)</f>
        <v>473</v>
      </c>
      <c r="AJ19" s="151">
        <f>VLOOKUP(英雄对比!$G$2,英雄初始!$A:$K,7,0)</f>
        <v>47</v>
      </c>
      <c r="AK19" s="151">
        <f>VLOOKUP(英雄对比!$G$2,英雄初始!$A:$K,8,0)</f>
        <v>31</v>
      </c>
      <c r="AL19" s="151">
        <f>VLOOKUP(英雄对比!$G$2,英雄初始!$A:$K,9,0)</f>
        <v>3</v>
      </c>
      <c r="AM19" s="151">
        <f>VLOOKUP(英雄对比!$G$2,英雄初始!$A:$K,10,0)</f>
        <v>1</v>
      </c>
      <c r="AN19" s="151">
        <f>VLOOKUP(英雄对比!$G$2,英雄初始!$A:$K,11,0)</f>
        <v>8</v>
      </c>
    </row>
    <row r="20" spans="2:54">
      <c r="B20" s="151" t="str">
        <f>英雄初始!A21</f>
        <v>剑圣</v>
      </c>
      <c r="E20" s="151" t="str">
        <f>进阶奖励!$A24</f>
        <v>紫+3</v>
      </c>
      <c r="F20" s="151">
        <v>10</v>
      </c>
      <c r="G20" s="152">
        <f>VLOOKUP(英雄对比!$G$2,中介表格3!$H:$T,11,0)</f>
        <v>79</v>
      </c>
      <c r="H20" s="54" t="s">
        <v>173</v>
      </c>
      <c r="I20" s="51">
        <f>MAX(VLOOKUP(INDEX(英雄装备!$F:$BZ,MATCH($H20,英雄装备!$F:$F,0),MATCH(I$2,英雄装备!$1:$1,0)-5),装备属性!$A:$C,3,0),VLOOKUP(INDEX(英雄装备!$F:$BZ,MATCH($H20,英雄装备!$F:$F,0),MATCH(I$2,英雄装备!$1:$1,0)-4),装备属性!$A:$C,3,0),VLOOKUP(INDEX(英雄装备!$F:$BZ,MATCH($H20,英雄装备!$F:$F,0),MATCH(I$2,英雄装备!$1:$1,0)-3),装备属性!$A:$C,3,0),VLOOKUP(INDEX(英雄装备!$F:$BZ,MATCH($H20,英雄装备!$F:$F,0),MATCH(I$2,英雄装备!$1:$1,0)-2),装备属性!$A:$C,3,0),VLOOKUP(INDEX(英雄装备!$F:$BZ,MATCH($H20,英雄装备!$F:$F,0),MATCH(I$2,英雄装备!$1:$1,0)-1),装备属性!$A:$C,3,0),VLOOKUP(INDEX(英雄装备!$F:$BZ,MATCH($H20,英雄装备!$F:$F,0),MATCH(I$2,英雄装备!$1:$1,0)),装备属性!$A:$C,3,0))</f>
        <v>2</v>
      </c>
      <c r="J20" s="51">
        <f>MAX(VLOOKUP(INDEX(英雄装备!$F:$BZ,MATCH($H20,英雄装备!$F:$F,0),MATCH(J$2,英雄装备!$1:$1,0)-5),装备属性!$A:$C,3,0),VLOOKUP(INDEX(英雄装备!$F:$BZ,MATCH($H20,英雄装备!$F:$F,0),MATCH(J$2,英雄装备!$1:$1,0)-4),装备属性!$A:$C,3,0),VLOOKUP(INDEX(英雄装备!$F:$BZ,MATCH($H20,英雄装备!$F:$F,0),MATCH(J$2,英雄装备!$1:$1,0)-3),装备属性!$A:$C,3,0),VLOOKUP(INDEX(英雄装备!$F:$BZ,MATCH($H20,英雄装备!$F:$F,0),MATCH(J$2,英雄装备!$1:$1,0)-2),装备属性!$A:$C,3,0),VLOOKUP(INDEX(英雄装备!$F:$BZ,MATCH($H20,英雄装备!$F:$F,0),MATCH(J$2,英雄装备!$1:$1,0)-1),装备属性!$A:$C,3,0),VLOOKUP(INDEX(英雄装备!$F:$BZ,MATCH($H20,英雄装备!$F:$F,0),MATCH(J$2,英雄装备!$1:$1,0)),装备属性!$A:$C,3,0))</f>
        <v>10</v>
      </c>
      <c r="K20" s="51">
        <f>MAX(VLOOKUP(INDEX(英雄装备!$F:$BZ,MATCH($H20,英雄装备!$F:$F,0),MATCH(K$2,英雄装备!$1:$1,0)-5),装备属性!$A:$C,3,0),VLOOKUP(INDEX(英雄装备!$F:$BZ,MATCH($H20,英雄装备!$F:$F,0),MATCH(K$2,英雄装备!$1:$1,0)-4),装备属性!$A:$C,3,0),VLOOKUP(INDEX(英雄装备!$F:$BZ,MATCH($H20,英雄装备!$F:$F,0),MATCH(K$2,英雄装备!$1:$1,0)-3),装备属性!$A:$C,3,0),VLOOKUP(INDEX(英雄装备!$F:$BZ,MATCH($H20,英雄装备!$F:$F,0),MATCH(K$2,英雄装备!$1:$1,0)-2),装备属性!$A:$C,3,0),VLOOKUP(INDEX(英雄装备!$F:$BZ,MATCH($H20,英雄装备!$F:$F,0),MATCH(K$2,英雄装备!$1:$1,0)-1),装备属性!$A:$C,3,0),VLOOKUP(INDEX(英雄装备!$F:$BZ,MATCH($H20,英雄装备!$F:$F,0),MATCH(K$2,英雄装备!$1:$1,0)),装备属性!$A:$C,3,0))</f>
        <v>23</v>
      </c>
      <c r="L20" s="51">
        <f>MAX(VLOOKUP(INDEX(英雄装备!$F:$BZ,MATCH($H20,英雄装备!$F:$F,0),MATCH(L$2,英雄装备!$1:$1,0)-5),装备属性!$A:$C,3,0),VLOOKUP(INDEX(英雄装备!$F:$BZ,MATCH($H20,英雄装备!$F:$F,0),MATCH(L$2,英雄装备!$1:$1,0)-4),装备属性!$A:$C,3,0),VLOOKUP(INDEX(英雄装备!$F:$BZ,MATCH($H20,英雄装备!$F:$F,0),MATCH(L$2,英雄装备!$1:$1,0)-3),装备属性!$A:$C,3,0),VLOOKUP(INDEX(英雄装备!$F:$BZ,MATCH($H20,英雄装备!$F:$F,0),MATCH(L$2,英雄装备!$1:$1,0)-2),装备属性!$A:$C,3,0),VLOOKUP(INDEX(英雄装备!$F:$BZ,MATCH($H20,英雄装备!$F:$F,0),MATCH(L$2,英雄装备!$1:$1,0)-1),装备属性!$A:$C,3,0),VLOOKUP(INDEX(英雄装备!$F:$BZ,MATCH($H20,英雄装备!$F:$F,0),MATCH(L$2,英雄装备!$1:$1,0)),装备属性!$A:$C,3,0))</f>
        <v>37</v>
      </c>
      <c r="M20" s="51">
        <f>MAX(VLOOKUP(INDEX(英雄装备!$F:$BZ,MATCH($H20,英雄装备!$F:$F,0),MATCH(M$2,英雄装备!$1:$1,0)-5),装备属性!$A:$C,3,0),VLOOKUP(INDEX(英雄装备!$F:$BZ,MATCH($H20,英雄装备!$F:$F,0),MATCH(M$2,英雄装备!$1:$1,0)-4),装备属性!$A:$C,3,0),VLOOKUP(INDEX(英雄装备!$F:$BZ,MATCH($H20,英雄装备!$F:$F,0),MATCH(M$2,英雄装备!$1:$1,0)-3),装备属性!$A:$C,3,0),VLOOKUP(INDEX(英雄装备!$F:$BZ,MATCH($H20,英雄装备!$F:$F,0),MATCH(M$2,英雄装备!$1:$1,0)-2),装备属性!$A:$C,3,0),VLOOKUP(INDEX(英雄装备!$F:$BZ,MATCH($H20,英雄装备!$F:$F,0),MATCH(M$2,英雄装备!$1:$1,0)-1),装备属性!$A:$C,3,0),VLOOKUP(INDEX(英雄装备!$F:$BZ,MATCH($H20,英雄装备!$F:$F,0),MATCH(M$2,英雄装备!$1:$1,0)),装备属性!$A:$C,3,0))</f>
        <v>44</v>
      </c>
      <c r="N20" s="51">
        <f>MAX(VLOOKUP(INDEX(英雄装备!$F:$BZ,MATCH($H20,英雄装备!$F:$F,0),MATCH(N$2,英雄装备!$1:$1,0)-5),装备属性!$A:$C,3,0),VLOOKUP(INDEX(英雄装备!$F:$BZ,MATCH($H20,英雄装备!$F:$F,0),MATCH(N$2,英雄装备!$1:$1,0)-4),装备属性!$A:$C,3,0),VLOOKUP(INDEX(英雄装备!$F:$BZ,MATCH($H20,英雄装备!$F:$F,0),MATCH(N$2,英雄装备!$1:$1,0)-3),装备属性!$A:$C,3,0),VLOOKUP(INDEX(英雄装备!$F:$BZ,MATCH($H20,英雄装备!$F:$F,0),MATCH(N$2,英雄装备!$1:$1,0)-2),装备属性!$A:$C,3,0),VLOOKUP(INDEX(英雄装备!$F:$BZ,MATCH($H20,英雄装备!$F:$F,0),MATCH(N$2,英雄装备!$1:$1,0)-1),装备属性!$A:$C,3,0),VLOOKUP(INDEX(英雄装备!$F:$BZ,MATCH($H20,英雄装备!$F:$F,0),MATCH(N$2,英雄装备!$1:$1,0)),装备属性!$A:$C,3,0))</f>
        <v>51</v>
      </c>
      <c r="O20" s="51">
        <f>MAX(VLOOKUP(INDEX(英雄装备!$F:$BZ,MATCH($H20,英雄装备!$F:$F,0),MATCH(O$2,英雄装备!$1:$1,0)-5),装备属性!$A:$C,3,0),VLOOKUP(INDEX(英雄装备!$F:$BZ,MATCH($H20,英雄装备!$F:$F,0),MATCH(O$2,英雄装备!$1:$1,0)-4),装备属性!$A:$C,3,0),VLOOKUP(INDEX(英雄装备!$F:$BZ,MATCH($H20,英雄装备!$F:$F,0),MATCH(O$2,英雄装备!$1:$1,0)-3),装备属性!$A:$C,3,0),VLOOKUP(INDEX(英雄装备!$F:$BZ,MATCH($H20,英雄装备!$F:$F,0),MATCH(O$2,英雄装备!$1:$1,0)-2),装备属性!$A:$C,3,0),VLOOKUP(INDEX(英雄装备!$F:$BZ,MATCH($H20,英雄装备!$F:$F,0),MATCH(O$2,英雄装备!$1:$1,0)-1),装备属性!$A:$C,3,0),VLOOKUP(INDEX(英雄装备!$F:$BZ,MATCH($H20,英雄装备!$F:$F,0),MATCH(O$2,英雄装备!$1:$1,0)),装备属性!$A:$C,3,0))</f>
        <v>65</v>
      </c>
      <c r="P20" s="51">
        <f>MAX(VLOOKUP(INDEX(英雄装备!$F:$BZ,MATCH($H20,英雄装备!$F:$F,0),MATCH(P$2,英雄装备!$1:$1,0)-5),装备属性!$A:$C,3,0),VLOOKUP(INDEX(英雄装备!$F:$BZ,MATCH($H20,英雄装备!$F:$F,0),MATCH(P$2,英雄装备!$1:$1,0)-4),装备属性!$A:$C,3,0),VLOOKUP(INDEX(英雄装备!$F:$BZ,MATCH($H20,英雄装备!$F:$F,0),MATCH(P$2,英雄装备!$1:$1,0)-3),装备属性!$A:$C,3,0),VLOOKUP(INDEX(英雄装备!$F:$BZ,MATCH($H20,英雄装备!$F:$F,0),MATCH(P$2,英雄装备!$1:$1,0)-2),装备属性!$A:$C,3,0),VLOOKUP(INDEX(英雄装备!$F:$BZ,MATCH($H20,英雄装备!$F:$F,0),MATCH(P$2,英雄装备!$1:$1,0)-1),装备属性!$A:$C,3,0),VLOOKUP(INDEX(英雄装备!$F:$BZ,MATCH($H20,英雄装备!$F:$F,0),MATCH(P$2,英雄装备!$1:$1,0)),装备属性!$A:$C,3,0))</f>
        <v>73</v>
      </c>
      <c r="Q20" s="51">
        <f>MAX(VLOOKUP(INDEX(英雄装备!$F:$BZ,MATCH($H20,英雄装备!$F:$F,0),MATCH(Q$2,英雄装备!$1:$1,0)-5),装备属性!$A:$C,3,0),VLOOKUP(INDEX(英雄装备!$F:$BZ,MATCH($H20,英雄装备!$F:$F,0),MATCH(Q$2,英雄装备!$1:$1,0)-4),装备属性!$A:$C,3,0),VLOOKUP(INDEX(英雄装备!$F:$BZ,MATCH($H20,英雄装备!$F:$F,0),MATCH(Q$2,英雄装备!$1:$1,0)-3),装备属性!$A:$C,3,0),VLOOKUP(INDEX(英雄装备!$F:$BZ,MATCH($H20,英雄装备!$F:$F,0),MATCH(Q$2,英雄装备!$1:$1,0)-2),装备属性!$A:$C,3,0),VLOOKUP(INDEX(英雄装备!$F:$BZ,MATCH($H20,英雄装备!$F:$F,0),MATCH(Q$2,英雄装备!$1:$1,0)-1),装备属性!$A:$C,3,0),VLOOKUP(INDEX(英雄装备!$F:$BZ,MATCH($H20,英雄装备!$F:$F,0),MATCH(Q$2,英雄装备!$1:$1,0)),装备属性!$A:$C,3,0))</f>
        <v>79</v>
      </c>
      <c r="R20" s="51">
        <f>MAX(VLOOKUP(INDEX(英雄装备!$F:$BZ,MATCH($H20,英雄装备!$F:$F,0),MATCH(R$2,英雄装备!$1:$1,0)-5),装备属性!$A:$C,3,0),VLOOKUP(INDEX(英雄装备!$F:$BZ,MATCH($H20,英雄装备!$F:$F,0),MATCH(R$2,英雄装备!$1:$1,0)-4),装备属性!$A:$C,3,0),VLOOKUP(INDEX(英雄装备!$F:$BZ,MATCH($H20,英雄装备!$F:$F,0),MATCH(R$2,英雄装备!$1:$1,0)-3),装备属性!$A:$C,3,0),VLOOKUP(INDEX(英雄装备!$F:$BZ,MATCH($H20,英雄装备!$F:$F,0),MATCH(R$2,英雄装备!$1:$1,0)-2),装备属性!$A:$C,3,0),VLOOKUP(INDEX(英雄装备!$F:$BZ,MATCH($H20,英雄装备!$F:$F,0),MATCH(R$2,英雄装备!$1:$1,0)-1),装备属性!$A:$C,3,0),VLOOKUP(INDEX(英雄装备!$F:$BZ,MATCH($H20,英雄装备!$F:$F,0),MATCH(R$2,英雄装备!$1:$1,0)),装备属性!$A:$C,3,0))</f>
        <v>80</v>
      </c>
      <c r="S20" s="51">
        <f>MAX(VLOOKUP(INDEX(英雄装备!$F:$BZ,MATCH($H20,英雄装备!$F:$F,0),MATCH(S$2,英雄装备!$1:$1,0)-5),装备属性!$A:$C,3,0),VLOOKUP(INDEX(英雄装备!$F:$BZ,MATCH($H20,英雄装备!$F:$F,0),MATCH(S$2,英雄装备!$1:$1,0)-4),装备属性!$A:$C,3,0),VLOOKUP(INDEX(英雄装备!$F:$BZ,MATCH($H20,英雄装备!$F:$F,0),MATCH(S$2,英雄装备!$1:$1,0)-3),装备属性!$A:$C,3,0),VLOOKUP(INDEX(英雄装备!$F:$BZ,MATCH($H20,英雄装备!$F:$F,0),MATCH(S$2,英雄装备!$1:$1,0)-2),装备属性!$A:$C,3,0),VLOOKUP(INDEX(英雄装备!$F:$BZ,MATCH($H20,英雄装备!$F:$F,0),MATCH(S$2,英雄装备!$1:$1,0)-1),装备属性!$A:$C,3,0),VLOOKUP(INDEX(英雄装备!$F:$BZ,MATCH($H20,英雄装备!$F:$F,0),MATCH(S$2,英雄装备!$1:$1,0)),装备属性!$A:$C,3,0))</f>
        <v>85</v>
      </c>
      <c r="T20" s="51">
        <f>MAX(VLOOKUP(INDEX(英雄装备!$F:$BZ,MATCH($H20,英雄装备!$F:$F,0),MATCH(T$2,英雄装备!$1:$1,0)-5),装备属性!$A:$C,3,0),VLOOKUP(INDEX(英雄装备!$F:$BZ,MATCH($H20,英雄装备!$F:$F,0),MATCH(T$2,英雄装备!$1:$1,0)-4),装备属性!$A:$C,3,0),VLOOKUP(INDEX(英雄装备!$F:$BZ,MATCH($H20,英雄装备!$F:$F,0),MATCH(T$2,英雄装备!$1:$1,0)-3),装备属性!$A:$C,3,0),VLOOKUP(INDEX(英雄装备!$F:$BZ,MATCH($H20,英雄装备!$F:$F,0),MATCH(T$2,英雄装备!$1:$1,0)-2),装备属性!$A:$C,3,0),VLOOKUP(INDEX(英雄装备!$F:$BZ,MATCH($H20,英雄装备!$F:$F,0),MATCH(T$2,英雄装备!$1:$1,0)-1),装备属性!$A:$C,3,0))</f>
        <v>89</v>
      </c>
      <c r="W20" s="108">
        <f t="shared" si="3"/>
        <v>1</v>
      </c>
      <c r="X20" s="151">
        <f>IF(X7="暂无","暂无",IF(VLOOKUP(X7,装备属性!$A:$C,3,0)&gt;英雄对比!$G$4,0,1))</f>
        <v>1</v>
      </c>
      <c r="Y20" s="151">
        <f>IF(Y7="暂无","暂无",IF(VLOOKUP(Y7,装备属性!$A:$C,3,0)&gt;英雄对比!$G$4,0,1))</f>
        <v>1</v>
      </c>
      <c r="Z20" s="151">
        <f>IF(Z7="暂无","暂无",IF(VLOOKUP(Z7,装备属性!$A:$C,3,0)&gt;英雄对比!$G$4,0,1))</f>
        <v>1</v>
      </c>
      <c r="AA20" s="151">
        <f>IF(AA7="暂无","暂无",IF(VLOOKUP(AA7,装备属性!$A:$C,3,0)&gt;英雄对比!$G$4,0,1))</f>
        <v>1</v>
      </c>
      <c r="AB20" s="151">
        <f>IF(AB7="暂无","暂无",IF(VLOOKUP(AB7,装备属性!$A:$C,3,0)&gt;英雄对比!$G$4,0,1))</f>
        <v>1</v>
      </c>
      <c r="AC20" s="151">
        <f>IF(AC7="暂无","暂无",IF(VLOOKUP(AC7,装备属性!$A:$C,3,0)&gt;英雄对比!$G$4,0,1))</f>
        <v>1</v>
      </c>
    </row>
    <row r="21" spans="2:54">
      <c r="B21" s="151" t="str">
        <f>英雄初始!A22</f>
        <v>巨魔</v>
      </c>
      <c r="E21" s="151" t="str">
        <f>进阶奖励!$A25</f>
        <v>紫+4</v>
      </c>
      <c r="F21" s="151">
        <v>11</v>
      </c>
      <c r="G21" s="152">
        <f>VLOOKUP(英雄对比!$G$2,中介表格3!$H:$T,12,0)</f>
        <v>84</v>
      </c>
      <c r="H21" s="54" t="s">
        <v>174</v>
      </c>
      <c r="I21" s="51">
        <f>MAX(VLOOKUP(INDEX(英雄装备!$F:$BZ,MATCH($H21,英雄装备!$F:$F,0),MATCH(I$2,英雄装备!$1:$1,0)-5),装备属性!$A:$C,3,0),VLOOKUP(INDEX(英雄装备!$F:$BZ,MATCH($H21,英雄装备!$F:$F,0),MATCH(I$2,英雄装备!$1:$1,0)-4),装备属性!$A:$C,3,0),VLOOKUP(INDEX(英雄装备!$F:$BZ,MATCH($H21,英雄装备!$F:$F,0),MATCH(I$2,英雄装备!$1:$1,0)-3),装备属性!$A:$C,3,0),VLOOKUP(INDEX(英雄装备!$F:$BZ,MATCH($H21,英雄装备!$F:$F,0),MATCH(I$2,英雄装备!$1:$1,0)-2),装备属性!$A:$C,3,0),VLOOKUP(INDEX(英雄装备!$F:$BZ,MATCH($H21,英雄装备!$F:$F,0),MATCH(I$2,英雄装备!$1:$1,0)-1),装备属性!$A:$C,3,0),VLOOKUP(INDEX(英雄装备!$F:$BZ,MATCH($H21,英雄装备!$F:$F,0),MATCH(I$2,英雄装备!$1:$1,0)),装备属性!$A:$C,3,0))</f>
        <v>2</v>
      </c>
      <c r="J21" s="51">
        <f>MAX(VLOOKUP(INDEX(英雄装备!$F:$BZ,MATCH($H21,英雄装备!$F:$F,0),MATCH(J$2,英雄装备!$1:$1,0)-5),装备属性!$A:$C,3,0),VLOOKUP(INDEX(英雄装备!$F:$BZ,MATCH($H21,英雄装备!$F:$F,0),MATCH(J$2,英雄装备!$1:$1,0)-4),装备属性!$A:$C,3,0),VLOOKUP(INDEX(英雄装备!$F:$BZ,MATCH($H21,英雄装备!$F:$F,0),MATCH(J$2,英雄装备!$1:$1,0)-3),装备属性!$A:$C,3,0),VLOOKUP(INDEX(英雄装备!$F:$BZ,MATCH($H21,英雄装备!$F:$F,0),MATCH(J$2,英雄装备!$1:$1,0)-2),装备属性!$A:$C,3,0),VLOOKUP(INDEX(英雄装备!$F:$BZ,MATCH($H21,英雄装备!$F:$F,0),MATCH(J$2,英雄装备!$1:$1,0)-1),装备属性!$A:$C,3,0),VLOOKUP(INDEX(英雄装备!$F:$BZ,MATCH($H21,英雄装备!$F:$F,0),MATCH(J$2,英雄装备!$1:$1,0)),装备属性!$A:$C,3,0))</f>
        <v>10</v>
      </c>
      <c r="K21" s="51">
        <f>MAX(VLOOKUP(INDEX(英雄装备!$F:$BZ,MATCH($H21,英雄装备!$F:$F,0),MATCH(K$2,英雄装备!$1:$1,0)-5),装备属性!$A:$C,3,0),VLOOKUP(INDEX(英雄装备!$F:$BZ,MATCH($H21,英雄装备!$F:$F,0),MATCH(K$2,英雄装备!$1:$1,0)-4),装备属性!$A:$C,3,0),VLOOKUP(INDEX(英雄装备!$F:$BZ,MATCH($H21,英雄装备!$F:$F,0),MATCH(K$2,英雄装备!$1:$1,0)-3),装备属性!$A:$C,3,0),VLOOKUP(INDEX(英雄装备!$F:$BZ,MATCH($H21,英雄装备!$F:$F,0),MATCH(K$2,英雄装备!$1:$1,0)-2),装备属性!$A:$C,3,0),VLOOKUP(INDEX(英雄装备!$F:$BZ,MATCH($H21,英雄装备!$F:$F,0),MATCH(K$2,英雄装备!$1:$1,0)-1),装备属性!$A:$C,3,0),VLOOKUP(INDEX(英雄装备!$F:$BZ,MATCH($H21,英雄装备!$F:$F,0),MATCH(K$2,英雄装备!$1:$1,0)),装备属性!$A:$C,3,0))</f>
        <v>24</v>
      </c>
      <c r="L21" s="51">
        <f>MAX(VLOOKUP(INDEX(英雄装备!$F:$BZ,MATCH($H21,英雄装备!$F:$F,0),MATCH(L$2,英雄装备!$1:$1,0)-5),装备属性!$A:$C,3,0),VLOOKUP(INDEX(英雄装备!$F:$BZ,MATCH($H21,英雄装备!$F:$F,0),MATCH(L$2,英雄装备!$1:$1,0)-4),装备属性!$A:$C,3,0),VLOOKUP(INDEX(英雄装备!$F:$BZ,MATCH($H21,英雄装备!$F:$F,0),MATCH(L$2,英雄装备!$1:$1,0)-3),装备属性!$A:$C,3,0),VLOOKUP(INDEX(英雄装备!$F:$BZ,MATCH($H21,英雄装备!$F:$F,0),MATCH(L$2,英雄装备!$1:$1,0)-2),装备属性!$A:$C,3,0),VLOOKUP(INDEX(英雄装备!$F:$BZ,MATCH($H21,英雄装备!$F:$F,0),MATCH(L$2,英雄装备!$1:$1,0)-1),装备属性!$A:$C,3,0),VLOOKUP(INDEX(英雄装备!$F:$BZ,MATCH($H21,英雄装备!$F:$F,0),MATCH(L$2,英雄装备!$1:$1,0)),装备属性!$A:$C,3,0))</f>
        <v>37</v>
      </c>
      <c r="M21" s="51">
        <f>MAX(VLOOKUP(INDEX(英雄装备!$F:$BZ,MATCH($H21,英雄装备!$F:$F,0),MATCH(M$2,英雄装备!$1:$1,0)-5),装备属性!$A:$C,3,0),VLOOKUP(INDEX(英雄装备!$F:$BZ,MATCH($H21,英雄装备!$F:$F,0),MATCH(M$2,英雄装备!$1:$1,0)-4),装备属性!$A:$C,3,0),VLOOKUP(INDEX(英雄装备!$F:$BZ,MATCH($H21,英雄装备!$F:$F,0),MATCH(M$2,英雄装备!$1:$1,0)-3),装备属性!$A:$C,3,0),VLOOKUP(INDEX(英雄装备!$F:$BZ,MATCH($H21,英雄装备!$F:$F,0),MATCH(M$2,英雄装备!$1:$1,0)-2),装备属性!$A:$C,3,0),VLOOKUP(INDEX(英雄装备!$F:$BZ,MATCH($H21,英雄装备!$F:$F,0),MATCH(M$2,英雄装备!$1:$1,0)-1),装备属性!$A:$C,3,0),VLOOKUP(INDEX(英雄装备!$F:$BZ,MATCH($H21,英雄装备!$F:$F,0),MATCH(M$2,英雄装备!$1:$1,0)),装备属性!$A:$C,3,0))</f>
        <v>44</v>
      </c>
      <c r="N21" s="51">
        <f>MAX(VLOOKUP(INDEX(英雄装备!$F:$BZ,MATCH($H21,英雄装备!$F:$F,0),MATCH(N$2,英雄装备!$1:$1,0)-5),装备属性!$A:$C,3,0),VLOOKUP(INDEX(英雄装备!$F:$BZ,MATCH($H21,英雄装备!$F:$F,0),MATCH(N$2,英雄装备!$1:$1,0)-4),装备属性!$A:$C,3,0),VLOOKUP(INDEX(英雄装备!$F:$BZ,MATCH($H21,英雄装备!$F:$F,0),MATCH(N$2,英雄装备!$1:$1,0)-3),装备属性!$A:$C,3,0),VLOOKUP(INDEX(英雄装备!$F:$BZ,MATCH($H21,英雄装备!$F:$F,0),MATCH(N$2,英雄装备!$1:$1,0)-2),装备属性!$A:$C,3,0),VLOOKUP(INDEX(英雄装备!$F:$BZ,MATCH($H21,英雄装备!$F:$F,0),MATCH(N$2,英雄装备!$1:$1,0)-1),装备属性!$A:$C,3,0),VLOOKUP(INDEX(英雄装备!$F:$BZ,MATCH($H21,英雄装备!$F:$F,0),MATCH(N$2,英雄装备!$1:$1,0)),装备属性!$A:$C,3,0))</f>
        <v>50</v>
      </c>
      <c r="O21" s="51">
        <f>MAX(VLOOKUP(INDEX(英雄装备!$F:$BZ,MATCH($H21,英雄装备!$F:$F,0),MATCH(O$2,英雄装备!$1:$1,0)-5),装备属性!$A:$C,3,0),VLOOKUP(INDEX(英雄装备!$F:$BZ,MATCH($H21,英雄装备!$F:$F,0),MATCH(O$2,英雄装备!$1:$1,0)-4),装备属性!$A:$C,3,0),VLOOKUP(INDEX(英雄装备!$F:$BZ,MATCH($H21,英雄装备!$F:$F,0),MATCH(O$2,英雄装备!$1:$1,0)-3),装备属性!$A:$C,3,0),VLOOKUP(INDEX(英雄装备!$F:$BZ,MATCH($H21,英雄装备!$F:$F,0),MATCH(O$2,英雄装备!$1:$1,0)-2),装备属性!$A:$C,3,0),VLOOKUP(INDEX(英雄装备!$F:$BZ,MATCH($H21,英雄装备!$F:$F,0),MATCH(O$2,英雄装备!$1:$1,0)-1),装备属性!$A:$C,3,0),VLOOKUP(INDEX(英雄装备!$F:$BZ,MATCH($H21,英雄装备!$F:$F,0),MATCH(O$2,英雄装备!$1:$1,0)),装备属性!$A:$C,3,0))</f>
        <v>64</v>
      </c>
      <c r="P21" s="51">
        <f>MAX(VLOOKUP(INDEX(英雄装备!$F:$BZ,MATCH($H21,英雄装备!$F:$F,0),MATCH(P$2,英雄装备!$1:$1,0)-5),装备属性!$A:$C,3,0),VLOOKUP(INDEX(英雄装备!$F:$BZ,MATCH($H21,英雄装备!$F:$F,0),MATCH(P$2,英雄装备!$1:$1,0)-4),装备属性!$A:$C,3,0),VLOOKUP(INDEX(英雄装备!$F:$BZ,MATCH($H21,英雄装备!$F:$F,0),MATCH(P$2,英雄装备!$1:$1,0)-3),装备属性!$A:$C,3,0),VLOOKUP(INDEX(英雄装备!$F:$BZ,MATCH($H21,英雄装备!$F:$F,0),MATCH(P$2,英雄装备!$1:$1,0)-2),装备属性!$A:$C,3,0),VLOOKUP(INDEX(英雄装备!$F:$BZ,MATCH($H21,英雄装备!$F:$F,0),MATCH(P$2,英雄装备!$1:$1,0)-1),装备属性!$A:$C,3,0),VLOOKUP(INDEX(英雄装备!$F:$BZ,MATCH($H21,英雄装备!$F:$F,0),MATCH(P$2,英雄装备!$1:$1,0)),装备属性!$A:$C,3,0))</f>
        <v>73</v>
      </c>
      <c r="Q21" s="51">
        <f>MAX(VLOOKUP(INDEX(英雄装备!$F:$BZ,MATCH($H21,英雄装备!$F:$F,0),MATCH(Q$2,英雄装备!$1:$1,0)-5),装备属性!$A:$C,3,0),VLOOKUP(INDEX(英雄装备!$F:$BZ,MATCH($H21,英雄装备!$F:$F,0),MATCH(Q$2,英雄装备!$1:$1,0)-4),装备属性!$A:$C,3,0),VLOOKUP(INDEX(英雄装备!$F:$BZ,MATCH($H21,英雄装备!$F:$F,0),MATCH(Q$2,英雄装备!$1:$1,0)-3),装备属性!$A:$C,3,0),VLOOKUP(INDEX(英雄装备!$F:$BZ,MATCH($H21,英雄装备!$F:$F,0),MATCH(Q$2,英雄装备!$1:$1,0)-2),装备属性!$A:$C,3,0),VLOOKUP(INDEX(英雄装备!$F:$BZ,MATCH($H21,英雄装备!$F:$F,0),MATCH(Q$2,英雄装备!$1:$1,0)-1),装备属性!$A:$C,3,0),VLOOKUP(INDEX(英雄装备!$F:$BZ,MATCH($H21,英雄装备!$F:$F,0),MATCH(Q$2,英雄装备!$1:$1,0)),装备属性!$A:$C,3,0))</f>
        <v>80</v>
      </c>
      <c r="R21" s="51">
        <f>MAX(VLOOKUP(INDEX(英雄装备!$F:$BZ,MATCH($H21,英雄装备!$F:$F,0),MATCH(R$2,英雄装备!$1:$1,0)-5),装备属性!$A:$C,3,0),VLOOKUP(INDEX(英雄装备!$F:$BZ,MATCH($H21,英雄装备!$F:$F,0),MATCH(R$2,英雄装备!$1:$1,0)-4),装备属性!$A:$C,3,0),VLOOKUP(INDEX(英雄装备!$F:$BZ,MATCH($H21,英雄装备!$F:$F,0),MATCH(R$2,英雄装备!$1:$1,0)-3),装备属性!$A:$C,3,0),VLOOKUP(INDEX(英雄装备!$F:$BZ,MATCH($H21,英雄装备!$F:$F,0),MATCH(R$2,英雄装备!$1:$1,0)-2),装备属性!$A:$C,3,0),VLOOKUP(INDEX(英雄装备!$F:$BZ,MATCH($H21,英雄装备!$F:$F,0),MATCH(R$2,英雄装备!$1:$1,0)-1),装备属性!$A:$C,3,0),VLOOKUP(INDEX(英雄装备!$F:$BZ,MATCH($H21,英雄装备!$F:$F,0),MATCH(R$2,英雄装备!$1:$1,0)),装备属性!$A:$C,3,0))</f>
        <v>79</v>
      </c>
      <c r="S21" s="51">
        <f>MAX(VLOOKUP(INDEX(英雄装备!$F:$BZ,MATCH($H21,英雄装备!$F:$F,0),MATCH(S$2,英雄装备!$1:$1,0)-5),装备属性!$A:$C,3,0),VLOOKUP(INDEX(英雄装备!$F:$BZ,MATCH($H21,英雄装备!$F:$F,0),MATCH(S$2,英雄装备!$1:$1,0)-4),装备属性!$A:$C,3,0),VLOOKUP(INDEX(英雄装备!$F:$BZ,MATCH($H21,英雄装备!$F:$F,0),MATCH(S$2,英雄装备!$1:$1,0)-3),装备属性!$A:$C,3,0),VLOOKUP(INDEX(英雄装备!$F:$BZ,MATCH($H21,英雄装备!$F:$F,0),MATCH(S$2,英雄装备!$1:$1,0)-2),装备属性!$A:$C,3,0),VLOOKUP(INDEX(英雄装备!$F:$BZ,MATCH($H21,英雄装备!$F:$F,0),MATCH(S$2,英雄装备!$1:$1,0)-1),装备属性!$A:$C,3,0),VLOOKUP(INDEX(英雄装备!$F:$BZ,MATCH($H21,英雄装备!$F:$F,0),MATCH(S$2,英雄装备!$1:$1,0)),装备属性!$A:$C,3,0))</f>
        <v>85</v>
      </c>
      <c r="T21" s="51">
        <f>MAX(VLOOKUP(INDEX(英雄装备!$F:$BZ,MATCH($H21,英雄装备!$F:$F,0),MATCH(T$2,英雄装备!$1:$1,0)-5),装备属性!$A:$C,3,0),VLOOKUP(INDEX(英雄装备!$F:$BZ,MATCH($H21,英雄装备!$F:$F,0),MATCH(T$2,英雄装备!$1:$1,0)-4),装备属性!$A:$C,3,0),VLOOKUP(INDEX(英雄装备!$F:$BZ,MATCH($H21,英雄装备!$F:$F,0),MATCH(T$2,英雄装备!$1:$1,0)-3),装备属性!$A:$C,3,0),VLOOKUP(INDEX(英雄装备!$F:$BZ,MATCH($H21,英雄装备!$F:$F,0),MATCH(T$2,英雄装备!$1:$1,0)-2),装备属性!$A:$C,3,0),VLOOKUP(INDEX(英雄装备!$F:$BZ,MATCH($H21,英雄装备!$F:$F,0),MATCH(T$2,英雄装备!$1:$1,0)-1),装备属性!$A:$C,3,0))</f>
        <v>89</v>
      </c>
      <c r="W21" s="108">
        <f t="shared" si="3"/>
        <v>1</v>
      </c>
      <c r="X21" s="151">
        <f>IF(X8="暂无","暂无",IF(VLOOKUP(X8,装备属性!$A:$C,3,0)&gt;英雄对比!$G$4,0,1))</f>
        <v>1</v>
      </c>
      <c r="Y21" s="151">
        <f>IF(Y8="暂无","暂无",IF(VLOOKUP(Y8,装备属性!$A:$C,3,0)&gt;英雄对比!$G$4,0,1))</f>
        <v>1</v>
      </c>
      <c r="Z21" s="151">
        <f>IF(Z8="暂无","暂无",IF(VLOOKUP(Z8,装备属性!$A:$C,3,0)&gt;英雄对比!$G$4,0,1))</f>
        <v>1</v>
      </c>
      <c r="AA21" s="151">
        <f>IF(AA8="暂无","暂无",IF(VLOOKUP(AA8,装备属性!$A:$C,3,0)&gt;英雄对比!$G$4,0,1))</f>
        <v>1</v>
      </c>
      <c r="AB21" s="151">
        <f>IF(AB8="暂无","暂无",IF(VLOOKUP(AB8,装备属性!$A:$C,3,0)&gt;英雄对比!$G$4,0,1))</f>
        <v>1</v>
      </c>
      <c r="AC21" s="151">
        <f>IF(AC8="暂无","暂无",IF(VLOOKUP(AC8,装备属性!$A:$C,3,0)&gt;英雄对比!$G$4,0,1))</f>
        <v>1</v>
      </c>
    </row>
    <row r="22" spans="2:54">
      <c r="B22" s="151" t="str">
        <f>英雄初始!A23</f>
        <v>拍拍熊</v>
      </c>
      <c r="E22" s="151" t="str">
        <f>进阶奖励!$A26</f>
        <v>橙</v>
      </c>
      <c r="F22" s="151">
        <v>12</v>
      </c>
      <c r="G22" s="152">
        <f>VLOOKUP(英雄对比!$G$2,中介表格3!$H:$T,13,0)</f>
        <v>89</v>
      </c>
      <c r="H22" s="54" t="s">
        <v>175</v>
      </c>
      <c r="I22" s="51">
        <f>MAX(VLOOKUP(INDEX(英雄装备!$F:$BZ,MATCH($H22,英雄装备!$F:$F,0),MATCH(I$2,英雄装备!$1:$1,0)-5),装备属性!$A:$C,3,0),VLOOKUP(INDEX(英雄装备!$F:$BZ,MATCH($H22,英雄装备!$F:$F,0),MATCH(I$2,英雄装备!$1:$1,0)-4),装备属性!$A:$C,3,0),VLOOKUP(INDEX(英雄装备!$F:$BZ,MATCH($H22,英雄装备!$F:$F,0),MATCH(I$2,英雄装备!$1:$1,0)-3),装备属性!$A:$C,3,0),VLOOKUP(INDEX(英雄装备!$F:$BZ,MATCH($H22,英雄装备!$F:$F,0),MATCH(I$2,英雄装备!$1:$1,0)-2),装备属性!$A:$C,3,0),VLOOKUP(INDEX(英雄装备!$F:$BZ,MATCH($H22,英雄装备!$F:$F,0),MATCH(I$2,英雄装备!$1:$1,0)-1),装备属性!$A:$C,3,0),VLOOKUP(INDEX(英雄装备!$F:$BZ,MATCH($H22,英雄装备!$F:$F,0),MATCH(I$2,英雄装备!$1:$1,0)),装备属性!$A:$C,3,0))</f>
        <v>2</v>
      </c>
      <c r="J22" s="51">
        <f>MAX(VLOOKUP(INDEX(英雄装备!$F:$BZ,MATCH($H22,英雄装备!$F:$F,0),MATCH(J$2,英雄装备!$1:$1,0)-5),装备属性!$A:$C,3,0),VLOOKUP(INDEX(英雄装备!$F:$BZ,MATCH($H22,英雄装备!$F:$F,0),MATCH(J$2,英雄装备!$1:$1,0)-4),装备属性!$A:$C,3,0),VLOOKUP(INDEX(英雄装备!$F:$BZ,MATCH($H22,英雄装备!$F:$F,0),MATCH(J$2,英雄装备!$1:$1,0)-3),装备属性!$A:$C,3,0),VLOOKUP(INDEX(英雄装备!$F:$BZ,MATCH($H22,英雄装备!$F:$F,0),MATCH(J$2,英雄装备!$1:$1,0)-2),装备属性!$A:$C,3,0),VLOOKUP(INDEX(英雄装备!$F:$BZ,MATCH($H22,英雄装备!$F:$F,0),MATCH(J$2,英雄装备!$1:$1,0)-1),装备属性!$A:$C,3,0),VLOOKUP(INDEX(英雄装备!$F:$BZ,MATCH($H22,英雄装备!$F:$F,0),MATCH(J$2,英雄装备!$1:$1,0)),装备属性!$A:$C,3,0))</f>
        <v>10</v>
      </c>
      <c r="K22" s="51">
        <f>MAX(VLOOKUP(INDEX(英雄装备!$F:$BZ,MATCH($H22,英雄装备!$F:$F,0),MATCH(K$2,英雄装备!$1:$1,0)-5),装备属性!$A:$C,3,0),VLOOKUP(INDEX(英雄装备!$F:$BZ,MATCH($H22,英雄装备!$F:$F,0),MATCH(K$2,英雄装备!$1:$1,0)-4),装备属性!$A:$C,3,0),VLOOKUP(INDEX(英雄装备!$F:$BZ,MATCH($H22,英雄装备!$F:$F,0),MATCH(K$2,英雄装备!$1:$1,0)-3),装备属性!$A:$C,3,0),VLOOKUP(INDEX(英雄装备!$F:$BZ,MATCH($H22,英雄装备!$F:$F,0),MATCH(K$2,英雄装备!$1:$1,0)-2),装备属性!$A:$C,3,0),VLOOKUP(INDEX(英雄装备!$F:$BZ,MATCH($H22,英雄装备!$F:$F,0),MATCH(K$2,英雄装备!$1:$1,0)-1),装备属性!$A:$C,3,0),VLOOKUP(INDEX(英雄装备!$F:$BZ,MATCH($H22,英雄装备!$F:$F,0),MATCH(K$2,英雄装备!$1:$1,0)),装备属性!$A:$C,3,0))</f>
        <v>20</v>
      </c>
      <c r="L22" s="51">
        <f>MAX(VLOOKUP(INDEX(英雄装备!$F:$BZ,MATCH($H22,英雄装备!$F:$F,0),MATCH(L$2,英雄装备!$1:$1,0)-5),装备属性!$A:$C,3,0),VLOOKUP(INDEX(英雄装备!$F:$BZ,MATCH($H22,英雄装备!$F:$F,0),MATCH(L$2,英雄装备!$1:$1,0)-4),装备属性!$A:$C,3,0),VLOOKUP(INDEX(英雄装备!$F:$BZ,MATCH($H22,英雄装备!$F:$F,0),MATCH(L$2,英雄装备!$1:$1,0)-3),装备属性!$A:$C,3,0),VLOOKUP(INDEX(英雄装备!$F:$BZ,MATCH($H22,英雄装备!$F:$F,0),MATCH(L$2,英雄装备!$1:$1,0)-2),装备属性!$A:$C,3,0),VLOOKUP(INDEX(英雄装备!$F:$BZ,MATCH($H22,英雄装备!$F:$F,0),MATCH(L$2,英雄装备!$1:$1,0)-1),装备属性!$A:$C,3,0),VLOOKUP(INDEX(英雄装备!$F:$BZ,MATCH($H22,英雄装备!$F:$F,0),MATCH(L$2,英雄装备!$1:$1,0)),装备属性!$A:$C,3,0))</f>
        <v>35</v>
      </c>
      <c r="M22" s="51">
        <f>MAX(VLOOKUP(INDEX(英雄装备!$F:$BZ,MATCH($H22,英雄装备!$F:$F,0),MATCH(M$2,英雄装备!$1:$1,0)-5),装备属性!$A:$C,3,0),VLOOKUP(INDEX(英雄装备!$F:$BZ,MATCH($H22,英雄装备!$F:$F,0),MATCH(M$2,英雄装备!$1:$1,0)-4),装备属性!$A:$C,3,0),VLOOKUP(INDEX(英雄装备!$F:$BZ,MATCH($H22,英雄装备!$F:$F,0),MATCH(M$2,英雄装备!$1:$1,0)-3),装备属性!$A:$C,3,0),VLOOKUP(INDEX(英雄装备!$F:$BZ,MATCH($H22,英雄装备!$F:$F,0),MATCH(M$2,英雄装备!$1:$1,0)-2),装备属性!$A:$C,3,0),VLOOKUP(INDEX(英雄装备!$F:$BZ,MATCH($H22,英雄装备!$F:$F,0),MATCH(M$2,英雄装备!$1:$1,0)-1),装备属性!$A:$C,3,0),VLOOKUP(INDEX(英雄装备!$F:$BZ,MATCH($H22,英雄装备!$F:$F,0),MATCH(M$2,英雄装备!$1:$1,0)),装备属性!$A:$C,3,0))</f>
        <v>42</v>
      </c>
      <c r="N22" s="51">
        <f>MAX(VLOOKUP(INDEX(英雄装备!$F:$BZ,MATCH($H22,英雄装备!$F:$F,0),MATCH(N$2,英雄装备!$1:$1,0)-5),装备属性!$A:$C,3,0),VLOOKUP(INDEX(英雄装备!$F:$BZ,MATCH($H22,英雄装备!$F:$F,0),MATCH(N$2,英雄装备!$1:$1,0)-4),装备属性!$A:$C,3,0),VLOOKUP(INDEX(英雄装备!$F:$BZ,MATCH($H22,英雄装备!$F:$F,0),MATCH(N$2,英雄装备!$1:$1,0)-3),装备属性!$A:$C,3,0),VLOOKUP(INDEX(英雄装备!$F:$BZ,MATCH($H22,英雄装备!$F:$F,0),MATCH(N$2,英雄装备!$1:$1,0)-2),装备属性!$A:$C,3,0),VLOOKUP(INDEX(英雄装备!$F:$BZ,MATCH($H22,英雄装备!$F:$F,0),MATCH(N$2,英雄装备!$1:$1,0)-1),装备属性!$A:$C,3,0),VLOOKUP(INDEX(英雄装备!$F:$BZ,MATCH($H22,英雄装备!$F:$F,0),MATCH(N$2,英雄装备!$1:$1,0)),装备属性!$A:$C,3,0))</f>
        <v>53</v>
      </c>
      <c r="O22" s="51">
        <f>MAX(VLOOKUP(INDEX(英雄装备!$F:$BZ,MATCH($H22,英雄装备!$F:$F,0),MATCH(O$2,英雄装备!$1:$1,0)-5),装备属性!$A:$C,3,0),VLOOKUP(INDEX(英雄装备!$F:$BZ,MATCH($H22,英雄装备!$F:$F,0),MATCH(O$2,英雄装备!$1:$1,0)-4),装备属性!$A:$C,3,0),VLOOKUP(INDEX(英雄装备!$F:$BZ,MATCH($H22,英雄装备!$F:$F,0),MATCH(O$2,英雄装备!$1:$1,0)-3),装备属性!$A:$C,3,0),VLOOKUP(INDEX(英雄装备!$F:$BZ,MATCH($H22,英雄装备!$F:$F,0),MATCH(O$2,英雄装备!$1:$1,0)-2),装备属性!$A:$C,3,0),VLOOKUP(INDEX(英雄装备!$F:$BZ,MATCH($H22,英雄装备!$F:$F,0),MATCH(O$2,英雄装备!$1:$1,0)-1),装备属性!$A:$C,3,0),VLOOKUP(INDEX(英雄装备!$F:$BZ,MATCH($H22,英雄装备!$F:$F,0),MATCH(O$2,英雄装备!$1:$1,0)),装备属性!$A:$C,3,0))</f>
        <v>64</v>
      </c>
      <c r="P22" s="51">
        <f>MAX(VLOOKUP(INDEX(英雄装备!$F:$BZ,MATCH($H22,英雄装备!$F:$F,0),MATCH(P$2,英雄装备!$1:$1,0)-5),装备属性!$A:$C,3,0),VLOOKUP(INDEX(英雄装备!$F:$BZ,MATCH($H22,英雄装备!$F:$F,0),MATCH(P$2,英雄装备!$1:$1,0)-4),装备属性!$A:$C,3,0),VLOOKUP(INDEX(英雄装备!$F:$BZ,MATCH($H22,英雄装备!$F:$F,0),MATCH(P$2,英雄装备!$1:$1,0)-3),装备属性!$A:$C,3,0),VLOOKUP(INDEX(英雄装备!$F:$BZ,MATCH($H22,英雄装备!$F:$F,0),MATCH(P$2,英雄装备!$1:$1,0)-2),装备属性!$A:$C,3,0),VLOOKUP(INDEX(英雄装备!$F:$BZ,MATCH($H22,英雄装备!$F:$F,0),MATCH(P$2,英雄装备!$1:$1,0)-1),装备属性!$A:$C,3,0),VLOOKUP(INDEX(英雄装备!$F:$BZ,MATCH($H22,英雄装备!$F:$F,0),MATCH(P$2,英雄装备!$1:$1,0)),装备属性!$A:$C,3,0))</f>
        <v>73</v>
      </c>
      <c r="Q22" s="51">
        <f>MAX(VLOOKUP(INDEX(英雄装备!$F:$BZ,MATCH($H22,英雄装备!$F:$F,0),MATCH(Q$2,英雄装备!$1:$1,0)-5),装备属性!$A:$C,3,0),VLOOKUP(INDEX(英雄装备!$F:$BZ,MATCH($H22,英雄装备!$F:$F,0),MATCH(Q$2,英雄装备!$1:$1,0)-4),装备属性!$A:$C,3,0),VLOOKUP(INDEX(英雄装备!$F:$BZ,MATCH($H22,英雄装备!$F:$F,0),MATCH(Q$2,英雄装备!$1:$1,0)-3),装备属性!$A:$C,3,0),VLOOKUP(INDEX(英雄装备!$F:$BZ,MATCH($H22,英雄装备!$F:$F,0),MATCH(Q$2,英雄装备!$1:$1,0)-2),装备属性!$A:$C,3,0),VLOOKUP(INDEX(英雄装备!$F:$BZ,MATCH($H22,英雄装备!$F:$F,0),MATCH(Q$2,英雄装备!$1:$1,0)-1),装备属性!$A:$C,3,0),VLOOKUP(INDEX(英雄装备!$F:$BZ,MATCH($H22,英雄装备!$F:$F,0),MATCH(Q$2,英雄装备!$1:$1,0)),装备属性!$A:$C,3,0))</f>
        <v>80</v>
      </c>
      <c r="R22" s="51">
        <f>MAX(VLOOKUP(INDEX(英雄装备!$F:$BZ,MATCH($H22,英雄装备!$F:$F,0),MATCH(R$2,英雄装备!$1:$1,0)-5),装备属性!$A:$C,3,0),VLOOKUP(INDEX(英雄装备!$F:$BZ,MATCH($H22,英雄装备!$F:$F,0),MATCH(R$2,英雄装备!$1:$1,0)-4),装备属性!$A:$C,3,0),VLOOKUP(INDEX(英雄装备!$F:$BZ,MATCH($H22,英雄装备!$F:$F,0),MATCH(R$2,英雄装备!$1:$1,0)-3),装备属性!$A:$C,3,0),VLOOKUP(INDEX(英雄装备!$F:$BZ,MATCH($H22,英雄装备!$F:$F,0),MATCH(R$2,英雄装备!$1:$1,0)-2),装备属性!$A:$C,3,0),VLOOKUP(INDEX(英雄装备!$F:$BZ,MATCH($H22,英雄装备!$F:$F,0),MATCH(R$2,英雄装备!$1:$1,0)-1),装备属性!$A:$C,3,0),VLOOKUP(INDEX(英雄装备!$F:$BZ,MATCH($H22,英雄装备!$F:$F,0),MATCH(R$2,英雄装备!$1:$1,0)),装备属性!$A:$C,3,0))</f>
        <v>78</v>
      </c>
      <c r="S22" s="51">
        <f>MAX(VLOOKUP(INDEX(英雄装备!$F:$BZ,MATCH($H22,英雄装备!$F:$F,0),MATCH(S$2,英雄装备!$1:$1,0)-5),装备属性!$A:$C,3,0),VLOOKUP(INDEX(英雄装备!$F:$BZ,MATCH($H22,英雄装备!$F:$F,0),MATCH(S$2,英雄装备!$1:$1,0)-4),装备属性!$A:$C,3,0),VLOOKUP(INDEX(英雄装备!$F:$BZ,MATCH($H22,英雄装备!$F:$F,0),MATCH(S$2,英雄装备!$1:$1,0)-3),装备属性!$A:$C,3,0),VLOOKUP(INDEX(英雄装备!$F:$BZ,MATCH($H22,英雄装备!$F:$F,0),MATCH(S$2,英雄装备!$1:$1,0)-2),装备属性!$A:$C,3,0),VLOOKUP(INDEX(英雄装备!$F:$BZ,MATCH($H22,英雄装备!$F:$F,0),MATCH(S$2,英雄装备!$1:$1,0)-1),装备属性!$A:$C,3,0),VLOOKUP(INDEX(英雄装备!$F:$BZ,MATCH($H22,英雄装备!$F:$F,0),MATCH(S$2,英雄装备!$1:$1,0)),装备属性!$A:$C,3,0))</f>
        <v>85</v>
      </c>
      <c r="T22" s="51">
        <f>MAX(VLOOKUP(INDEX(英雄装备!$F:$BZ,MATCH($H22,英雄装备!$F:$F,0),MATCH(T$2,英雄装备!$1:$1,0)-5),装备属性!$A:$C,3,0),VLOOKUP(INDEX(英雄装备!$F:$BZ,MATCH($H22,英雄装备!$F:$F,0),MATCH(T$2,英雄装备!$1:$1,0)-4),装备属性!$A:$C,3,0),VLOOKUP(INDEX(英雄装备!$F:$BZ,MATCH($H22,英雄装备!$F:$F,0),MATCH(T$2,英雄装备!$1:$1,0)-3),装备属性!$A:$C,3,0),VLOOKUP(INDEX(英雄装备!$F:$BZ,MATCH($H22,英雄装备!$F:$F,0),MATCH(T$2,英雄装备!$1:$1,0)-2),装备属性!$A:$C,3,0),VLOOKUP(INDEX(英雄装备!$F:$BZ,MATCH($H22,英雄装备!$F:$F,0),MATCH(T$2,英雄装备!$1:$1,0)-1),装备属性!$A:$C,3,0))</f>
        <v>89</v>
      </c>
      <c r="W22" s="108">
        <f t="shared" si="3"/>
        <v>1</v>
      </c>
      <c r="X22" s="151">
        <f>IF(X9="暂无","暂无",IF(VLOOKUP(X9,装备属性!$A:$C,3,0)&gt;英雄对比!$G$4,0,1))</f>
        <v>1</v>
      </c>
      <c r="Y22" s="151">
        <f>IF(Y9="暂无","暂无",IF(VLOOKUP(Y9,装备属性!$A:$C,3,0)&gt;英雄对比!$G$4,0,1))</f>
        <v>1</v>
      </c>
      <c r="Z22" s="151">
        <f>IF(Z9="暂无","暂无",IF(VLOOKUP(Z9,装备属性!$A:$C,3,0)&gt;英雄对比!$G$4,0,1))</f>
        <v>1</v>
      </c>
      <c r="AA22" s="151">
        <f>IF(AA9="暂无","暂无",IF(VLOOKUP(AA9,装备属性!$A:$C,3,0)&gt;英雄对比!$G$4,0,1))</f>
        <v>1</v>
      </c>
      <c r="AB22" s="151">
        <f>IF(AB9="暂无","暂无",IF(VLOOKUP(AB9,装备属性!$A:$C,3,0)&gt;英雄对比!$G$4,0,1))</f>
        <v>1</v>
      </c>
      <c r="AC22" s="151">
        <f>IF(AC9="暂无","暂无",IF(VLOOKUP(AC9,装备属性!$A:$C,3,0)&gt;英雄对比!$G$4,0,1))</f>
        <v>1</v>
      </c>
      <c r="AF22" s="151" t="s">
        <v>1080</v>
      </c>
      <c r="AG22" s="151" t="s">
        <v>1079</v>
      </c>
      <c r="AH22" s="50" t="s">
        <v>3</v>
      </c>
      <c r="AI22" s="50" t="s">
        <v>4</v>
      </c>
      <c r="AJ22" s="50" t="s">
        <v>5</v>
      </c>
      <c r="AK22" s="50" t="s">
        <v>103</v>
      </c>
      <c r="AL22" s="50" t="s">
        <v>14</v>
      </c>
      <c r="AM22" s="50" t="s">
        <v>47</v>
      </c>
      <c r="AN22" s="50" t="s">
        <v>35</v>
      </c>
      <c r="AO22" s="50" t="s">
        <v>38</v>
      </c>
      <c r="AP22" s="50" t="s">
        <v>34</v>
      </c>
      <c r="AQ22" s="50" t="s">
        <v>56</v>
      </c>
      <c r="AR22" s="50" t="s">
        <v>84</v>
      </c>
      <c r="AS22" s="50" t="s">
        <v>98</v>
      </c>
      <c r="AT22" s="50" t="s">
        <v>2099</v>
      </c>
      <c r="AU22" s="119" t="s">
        <v>1874</v>
      </c>
      <c r="AV22" s="50" t="s">
        <v>91</v>
      </c>
      <c r="AW22" s="50" t="s">
        <v>13</v>
      </c>
      <c r="AX22" s="50" t="s">
        <v>18</v>
      </c>
      <c r="AY22" s="51" t="s">
        <v>71</v>
      </c>
      <c r="AZ22" s="50" t="s">
        <v>130</v>
      </c>
      <c r="BA22" s="141" t="s">
        <v>1867</v>
      </c>
      <c r="BB22" s="141" t="s">
        <v>1877</v>
      </c>
    </row>
    <row r="23" spans="2:54">
      <c r="B23" s="151" t="str">
        <f>英雄初始!A24</f>
        <v>美杜莎</v>
      </c>
      <c r="H23" s="54" t="s">
        <v>176</v>
      </c>
      <c r="I23" s="51">
        <f>MAX(VLOOKUP(INDEX(英雄装备!$F:$BZ,MATCH($H23,英雄装备!$F:$F,0),MATCH(I$2,英雄装备!$1:$1,0)-5),装备属性!$A:$C,3,0),VLOOKUP(INDEX(英雄装备!$F:$BZ,MATCH($H23,英雄装备!$F:$F,0),MATCH(I$2,英雄装备!$1:$1,0)-4),装备属性!$A:$C,3,0),VLOOKUP(INDEX(英雄装备!$F:$BZ,MATCH($H23,英雄装备!$F:$F,0),MATCH(I$2,英雄装备!$1:$1,0)-3),装备属性!$A:$C,3,0),VLOOKUP(INDEX(英雄装备!$F:$BZ,MATCH($H23,英雄装备!$F:$F,0),MATCH(I$2,英雄装备!$1:$1,0)-2),装备属性!$A:$C,3,0),VLOOKUP(INDEX(英雄装备!$F:$BZ,MATCH($H23,英雄装备!$F:$F,0),MATCH(I$2,英雄装备!$1:$1,0)-1),装备属性!$A:$C,3,0),VLOOKUP(INDEX(英雄装备!$F:$BZ,MATCH($H23,英雄装备!$F:$F,0),MATCH(I$2,英雄装备!$1:$1,0)),装备属性!$A:$C,3,0))</f>
        <v>2</v>
      </c>
      <c r="J23" s="51">
        <f>MAX(VLOOKUP(INDEX(英雄装备!$F:$BZ,MATCH($H23,英雄装备!$F:$F,0),MATCH(J$2,英雄装备!$1:$1,0)-5),装备属性!$A:$C,3,0),VLOOKUP(INDEX(英雄装备!$F:$BZ,MATCH($H23,英雄装备!$F:$F,0),MATCH(J$2,英雄装备!$1:$1,0)-4),装备属性!$A:$C,3,0),VLOOKUP(INDEX(英雄装备!$F:$BZ,MATCH($H23,英雄装备!$F:$F,0),MATCH(J$2,英雄装备!$1:$1,0)-3),装备属性!$A:$C,3,0),VLOOKUP(INDEX(英雄装备!$F:$BZ,MATCH($H23,英雄装备!$F:$F,0),MATCH(J$2,英雄装备!$1:$1,0)-2),装备属性!$A:$C,3,0),VLOOKUP(INDEX(英雄装备!$F:$BZ,MATCH($H23,英雄装备!$F:$F,0),MATCH(J$2,英雄装备!$1:$1,0)-1),装备属性!$A:$C,3,0),VLOOKUP(INDEX(英雄装备!$F:$BZ,MATCH($H23,英雄装备!$F:$F,0),MATCH(J$2,英雄装备!$1:$1,0)),装备属性!$A:$C,3,0))</f>
        <v>11</v>
      </c>
      <c r="K23" s="51">
        <f>MAX(VLOOKUP(INDEX(英雄装备!$F:$BZ,MATCH($H23,英雄装备!$F:$F,0),MATCH(K$2,英雄装备!$1:$1,0)-5),装备属性!$A:$C,3,0),VLOOKUP(INDEX(英雄装备!$F:$BZ,MATCH($H23,英雄装备!$F:$F,0),MATCH(K$2,英雄装备!$1:$1,0)-4),装备属性!$A:$C,3,0),VLOOKUP(INDEX(英雄装备!$F:$BZ,MATCH($H23,英雄装备!$F:$F,0),MATCH(K$2,英雄装备!$1:$1,0)-3),装备属性!$A:$C,3,0),VLOOKUP(INDEX(英雄装备!$F:$BZ,MATCH($H23,英雄装备!$F:$F,0),MATCH(K$2,英雄装备!$1:$1,0)-2),装备属性!$A:$C,3,0),VLOOKUP(INDEX(英雄装备!$F:$BZ,MATCH($H23,英雄装备!$F:$F,0),MATCH(K$2,英雄装备!$1:$1,0)-1),装备属性!$A:$C,3,0),VLOOKUP(INDEX(英雄装备!$F:$BZ,MATCH($H23,英雄装备!$F:$F,0),MATCH(K$2,英雄装备!$1:$1,0)),装备属性!$A:$C,3,0))</f>
        <v>25</v>
      </c>
      <c r="L23" s="51">
        <f>MAX(VLOOKUP(INDEX(英雄装备!$F:$BZ,MATCH($H23,英雄装备!$F:$F,0),MATCH(L$2,英雄装备!$1:$1,0)-5),装备属性!$A:$C,3,0),VLOOKUP(INDEX(英雄装备!$F:$BZ,MATCH($H23,英雄装备!$F:$F,0),MATCH(L$2,英雄装备!$1:$1,0)-4),装备属性!$A:$C,3,0),VLOOKUP(INDEX(英雄装备!$F:$BZ,MATCH($H23,英雄装备!$F:$F,0),MATCH(L$2,英雄装备!$1:$1,0)-3),装备属性!$A:$C,3,0),VLOOKUP(INDEX(英雄装备!$F:$BZ,MATCH($H23,英雄装备!$F:$F,0),MATCH(L$2,英雄装备!$1:$1,0)-2),装备属性!$A:$C,3,0),VLOOKUP(INDEX(英雄装备!$F:$BZ,MATCH($H23,英雄装备!$F:$F,0),MATCH(L$2,英雄装备!$1:$1,0)-1),装备属性!$A:$C,3,0),VLOOKUP(INDEX(英雄装备!$F:$BZ,MATCH($H23,英雄装备!$F:$F,0),MATCH(L$2,英雄装备!$1:$1,0)),装备属性!$A:$C,3,0))</f>
        <v>34</v>
      </c>
      <c r="M23" s="51">
        <f>MAX(VLOOKUP(INDEX(英雄装备!$F:$BZ,MATCH($H23,英雄装备!$F:$F,0),MATCH(M$2,英雄装备!$1:$1,0)-5),装备属性!$A:$C,3,0),VLOOKUP(INDEX(英雄装备!$F:$BZ,MATCH($H23,英雄装备!$F:$F,0),MATCH(M$2,英雄装备!$1:$1,0)-4),装备属性!$A:$C,3,0),VLOOKUP(INDEX(英雄装备!$F:$BZ,MATCH($H23,英雄装备!$F:$F,0),MATCH(M$2,英雄装备!$1:$1,0)-3),装备属性!$A:$C,3,0),VLOOKUP(INDEX(英雄装备!$F:$BZ,MATCH($H23,英雄装备!$F:$F,0),MATCH(M$2,英雄装备!$1:$1,0)-2),装备属性!$A:$C,3,0),VLOOKUP(INDEX(英雄装备!$F:$BZ,MATCH($H23,英雄装备!$F:$F,0),MATCH(M$2,英雄装备!$1:$1,0)-1),装备属性!$A:$C,3,0),VLOOKUP(INDEX(英雄装备!$F:$BZ,MATCH($H23,英雄装备!$F:$F,0),MATCH(M$2,英雄装备!$1:$1,0)),装备属性!$A:$C,3,0))</f>
        <v>44</v>
      </c>
      <c r="N23" s="51">
        <f>MAX(VLOOKUP(INDEX(英雄装备!$F:$BZ,MATCH($H23,英雄装备!$F:$F,0),MATCH(N$2,英雄装备!$1:$1,0)-5),装备属性!$A:$C,3,0),VLOOKUP(INDEX(英雄装备!$F:$BZ,MATCH($H23,英雄装备!$F:$F,0),MATCH(N$2,英雄装备!$1:$1,0)-4),装备属性!$A:$C,3,0),VLOOKUP(INDEX(英雄装备!$F:$BZ,MATCH($H23,英雄装备!$F:$F,0),MATCH(N$2,英雄装备!$1:$1,0)-3),装备属性!$A:$C,3,0),VLOOKUP(INDEX(英雄装备!$F:$BZ,MATCH($H23,英雄装备!$F:$F,0),MATCH(N$2,英雄装备!$1:$1,0)-2),装备属性!$A:$C,3,0),VLOOKUP(INDEX(英雄装备!$F:$BZ,MATCH($H23,英雄装备!$F:$F,0),MATCH(N$2,英雄装备!$1:$1,0)-1),装备属性!$A:$C,3,0),VLOOKUP(INDEX(英雄装备!$F:$BZ,MATCH($H23,英雄装备!$F:$F,0),MATCH(N$2,英雄装备!$1:$1,0)),装备属性!$A:$C,3,0))</f>
        <v>53</v>
      </c>
      <c r="O23" s="51">
        <f>MAX(VLOOKUP(INDEX(英雄装备!$F:$BZ,MATCH($H23,英雄装备!$F:$F,0),MATCH(O$2,英雄装备!$1:$1,0)-5),装备属性!$A:$C,3,0),VLOOKUP(INDEX(英雄装备!$F:$BZ,MATCH($H23,英雄装备!$F:$F,0),MATCH(O$2,英雄装备!$1:$1,0)-4),装备属性!$A:$C,3,0),VLOOKUP(INDEX(英雄装备!$F:$BZ,MATCH($H23,英雄装备!$F:$F,0),MATCH(O$2,英雄装备!$1:$1,0)-3),装备属性!$A:$C,3,0),VLOOKUP(INDEX(英雄装备!$F:$BZ,MATCH($H23,英雄装备!$F:$F,0),MATCH(O$2,英雄装备!$1:$1,0)-2),装备属性!$A:$C,3,0),VLOOKUP(INDEX(英雄装备!$F:$BZ,MATCH($H23,英雄装备!$F:$F,0),MATCH(O$2,英雄装备!$1:$1,0)-1),装备属性!$A:$C,3,0),VLOOKUP(INDEX(英雄装备!$F:$BZ,MATCH($H23,英雄装备!$F:$F,0),MATCH(O$2,英雄装备!$1:$1,0)),装备属性!$A:$C,3,0))</f>
        <v>59</v>
      </c>
      <c r="P23" s="51">
        <f>MAX(VLOOKUP(INDEX(英雄装备!$F:$BZ,MATCH($H23,英雄装备!$F:$F,0),MATCH(P$2,英雄装备!$1:$1,0)-5),装备属性!$A:$C,3,0),VLOOKUP(INDEX(英雄装备!$F:$BZ,MATCH($H23,英雄装备!$F:$F,0),MATCH(P$2,英雄装备!$1:$1,0)-4),装备属性!$A:$C,3,0),VLOOKUP(INDEX(英雄装备!$F:$BZ,MATCH($H23,英雄装备!$F:$F,0),MATCH(P$2,英雄装备!$1:$1,0)-3),装备属性!$A:$C,3,0),VLOOKUP(INDEX(英雄装备!$F:$BZ,MATCH($H23,英雄装备!$F:$F,0),MATCH(P$2,英雄装备!$1:$1,0)-2),装备属性!$A:$C,3,0),VLOOKUP(INDEX(英雄装备!$F:$BZ,MATCH($H23,英雄装备!$F:$F,0),MATCH(P$2,英雄装备!$1:$1,0)-1),装备属性!$A:$C,3,0),VLOOKUP(INDEX(英雄装备!$F:$BZ,MATCH($H23,英雄装备!$F:$F,0),MATCH(P$2,英雄装备!$1:$1,0)),装备属性!$A:$C,3,0))</f>
        <v>73</v>
      </c>
      <c r="Q23" s="51">
        <f>MAX(VLOOKUP(INDEX(英雄装备!$F:$BZ,MATCH($H23,英雄装备!$F:$F,0),MATCH(Q$2,英雄装备!$1:$1,0)-5),装备属性!$A:$C,3,0),VLOOKUP(INDEX(英雄装备!$F:$BZ,MATCH($H23,英雄装备!$F:$F,0),MATCH(Q$2,英雄装备!$1:$1,0)-4),装备属性!$A:$C,3,0),VLOOKUP(INDEX(英雄装备!$F:$BZ,MATCH($H23,英雄装备!$F:$F,0),MATCH(Q$2,英雄装备!$1:$1,0)-3),装备属性!$A:$C,3,0),VLOOKUP(INDEX(英雄装备!$F:$BZ,MATCH($H23,英雄装备!$F:$F,0),MATCH(Q$2,英雄装备!$1:$1,0)-2),装备属性!$A:$C,3,0),VLOOKUP(INDEX(英雄装备!$F:$BZ,MATCH($H23,英雄装备!$F:$F,0),MATCH(Q$2,英雄装备!$1:$1,0)-1),装备属性!$A:$C,3,0),VLOOKUP(INDEX(英雄装备!$F:$BZ,MATCH($H23,英雄装备!$F:$F,0),MATCH(Q$2,英雄装备!$1:$1,0)),装备属性!$A:$C,3,0))</f>
        <v>78</v>
      </c>
      <c r="R23" s="51">
        <f>MAX(VLOOKUP(INDEX(英雄装备!$F:$BZ,MATCH($H23,英雄装备!$F:$F,0),MATCH(R$2,英雄装备!$1:$1,0)-5),装备属性!$A:$C,3,0),VLOOKUP(INDEX(英雄装备!$F:$BZ,MATCH($H23,英雄装备!$F:$F,0),MATCH(R$2,英雄装备!$1:$1,0)-4),装备属性!$A:$C,3,0),VLOOKUP(INDEX(英雄装备!$F:$BZ,MATCH($H23,英雄装备!$F:$F,0),MATCH(R$2,英雄装备!$1:$1,0)-3),装备属性!$A:$C,3,0),VLOOKUP(INDEX(英雄装备!$F:$BZ,MATCH($H23,英雄装备!$F:$F,0),MATCH(R$2,英雄装备!$1:$1,0)-2),装备属性!$A:$C,3,0),VLOOKUP(INDEX(英雄装备!$F:$BZ,MATCH($H23,英雄装备!$F:$F,0),MATCH(R$2,英雄装备!$1:$1,0)-1),装备属性!$A:$C,3,0),VLOOKUP(INDEX(英雄装备!$F:$BZ,MATCH($H23,英雄装备!$F:$F,0),MATCH(R$2,英雄装备!$1:$1,0)),装备属性!$A:$C,3,0))</f>
        <v>79</v>
      </c>
      <c r="S23" s="51">
        <f>MAX(VLOOKUP(INDEX(英雄装备!$F:$BZ,MATCH($H23,英雄装备!$F:$F,0),MATCH(S$2,英雄装备!$1:$1,0)-5),装备属性!$A:$C,3,0),VLOOKUP(INDEX(英雄装备!$F:$BZ,MATCH($H23,英雄装备!$F:$F,0),MATCH(S$2,英雄装备!$1:$1,0)-4),装备属性!$A:$C,3,0),VLOOKUP(INDEX(英雄装备!$F:$BZ,MATCH($H23,英雄装备!$F:$F,0),MATCH(S$2,英雄装备!$1:$1,0)-3),装备属性!$A:$C,3,0),VLOOKUP(INDEX(英雄装备!$F:$BZ,MATCH($H23,英雄装备!$F:$F,0),MATCH(S$2,英雄装备!$1:$1,0)-2),装备属性!$A:$C,3,0),VLOOKUP(INDEX(英雄装备!$F:$BZ,MATCH($H23,英雄装备!$F:$F,0),MATCH(S$2,英雄装备!$1:$1,0)-1),装备属性!$A:$C,3,0),VLOOKUP(INDEX(英雄装备!$F:$BZ,MATCH($H23,英雄装备!$F:$F,0),MATCH(S$2,英雄装备!$1:$1,0)),装备属性!$A:$C,3,0))</f>
        <v>84</v>
      </c>
      <c r="T23" s="51">
        <f>MAX(VLOOKUP(INDEX(英雄装备!$F:$BZ,MATCH($H23,英雄装备!$F:$F,0),MATCH(T$2,英雄装备!$1:$1,0)-5),装备属性!$A:$C,3,0),VLOOKUP(INDEX(英雄装备!$F:$BZ,MATCH($H23,英雄装备!$F:$F,0),MATCH(T$2,英雄装备!$1:$1,0)-4),装备属性!$A:$C,3,0),VLOOKUP(INDEX(英雄装备!$F:$BZ,MATCH($H23,英雄装备!$F:$F,0),MATCH(T$2,英雄装备!$1:$1,0)-3),装备属性!$A:$C,3,0),VLOOKUP(INDEX(英雄装备!$F:$BZ,MATCH($H23,英雄装备!$F:$F,0),MATCH(T$2,英雄装备!$1:$1,0)-2),装备属性!$A:$C,3,0),VLOOKUP(INDEX(英雄装备!$F:$BZ,MATCH($H23,英雄装备!$F:$F,0),MATCH(T$2,英雄装备!$1:$1,0)-1),装备属性!$A:$C,3,0))</f>
        <v>89</v>
      </c>
      <c r="W23" s="108">
        <f t="shared" si="3"/>
        <v>1</v>
      </c>
      <c r="X23" s="151">
        <f>IF(X10="暂无","暂无",IF(VLOOKUP(X10,装备属性!$A:$C,3,0)&gt;英雄对比!$G$4,0,1))</f>
        <v>1</v>
      </c>
      <c r="Y23" s="151">
        <f>IF(Y10="暂无","暂无",IF(VLOOKUP(Y10,装备属性!$A:$C,3,0)&gt;英雄对比!$G$4,0,1))</f>
        <v>1</v>
      </c>
      <c r="Z23" s="151">
        <f>IF(Z10="暂无","暂无",IF(VLOOKUP(Z10,装备属性!$A:$C,3,0)&gt;英雄对比!$G$4,0,1))</f>
        <v>1</v>
      </c>
      <c r="AA23" s="151">
        <f>IF(AA10="暂无","暂无",IF(VLOOKUP(AA10,装备属性!$A:$C,3,0)&gt;英雄对比!$G$4,0,1))</f>
        <v>1</v>
      </c>
      <c r="AB23" s="151">
        <f>IF(AB10="暂无","暂无",IF(VLOOKUP(AB10,装备属性!$A:$C,3,0)&gt;英雄对比!$G$4,0,1))</f>
        <v>1</v>
      </c>
      <c r="AC23" s="151">
        <f>IF(AC10="暂无","暂无",IF(VLOOKUP(AC10,装备属性!$A:$C,3,0)&gt;英雄对比!$G$4,0,1))</f>
        <v>1</v>
      </c>
      <c r="AF23" s="151">
        <v>1</v>
      </c>
      <c r="AG23" s="151" t="str">
        <f>X1</f>
        <v>树枝</v>
      </c>
      <c r="AH23" s="151">
        <f>VLOOKUP($AG23,装备属性!$A:$Y,5,0)</f>
        <v>1</v>
      </c>
      <c r="AI23" s="151">
        <f>VLOOKUP($AG23,装备属性!$A:$Y,6,0)</f>
        <v>1</v>
      </c>
      <c r="AJ23" s="151">
        <f>VLOOKUP($AG23,装备属性!$A:$Y,7,0)</f>
        <v>1</v>
      </c>
      <c r="AK23" s="151">
        <f>VLOOKUP($AG23,装备属性!$A:$Y,8,0)</f>
        <v>0</v>
      </c>
      <c r="AL23" s="151">
        <f>VLOOKUP($AG23,装备属性!$A:$Y,9,0)</f>
        <v>0</v>
      </c>
      <c r="AM23" s="151">
        <f>VLOOKUP($AG23,装备属性!$A:$Y,10,0)</f>
        <v>0</v>
      </c>
      <c r="AN23" s="151">
        <f>VLOOKUP($AG23,装备属性!$A:$Y,11,0)</f>
        <v>0</v>
      </c>
      <c r="AO23" s="151">
        <f>VLOOKUP($AG23,装备属性!$A:$Y,12,0)</f>
        <v>0</v>
      </c>
      <c r="AP23" s="151">
        <f>VLOOKUP($AG23,装备属性!$A:$Y,13,0)</f>
        <v>0</v>
      </c>
      <c r="AQ23" s="151">
        <f>VLOOKUP($AG23,装备属性!$A:$Y,14,0)</f>
        <v>0</v>
      </c>
      <c r="AR23" s="151">
        <f>VLOOKUP($AG23,装备属性!$A:$Y,15,0)</f>
        <v>0</v>
      </c>
      <c r="AS23" s="151">
        <f>VLOOKUP($AG23,装备属性!$A:$Y,16,0)</f>
        <v>0</v>
      </c>
      <c r="AT23" s="151">
        <f>VLOOKUP($AG23,装备属性!$A:$Y,17,0)</f>
        <v>0</v>
      </c>
      <c r="AU23" s="151">
        <f>VLOOKUP($AG23,装备属性!$A:$Y,18,0)</f>
        <v>0</v>
      </c>
      <c r="AV23" s="151">
        <f>VLOOKUP($AG23,装备属性!$A:$Y,19,0)</f>
        <v>0</v>
      </c>
      <c r="AW23" s="151">
        <f>VLOOKUP($AG23,装备属性!$A:$Y,20,0)</f>
        <v>0</v>
      </c>
      <c r="AX23" s="151">
        <f>VLOOKUP($AG23,装备属性!$A:$Y,21,0)</f>
        <v>0</v>
      </c>
      <c r="AY23" s="151">
        <f>VLOOKUP($AG23,装备属性!$A:$Y,22,0)</f>
        <v>0</v>
      </c>
      <c r="AZ23" s="151">
        <f>VLOOKUP($AG23,装备属性!$A:$Y,23,0)</f>
        <v>0</v>
      </c>
      <c r="BA23" s="151">
        <f>VLOOKUP($AG23,装备属性!$A:$Y,24,0)</f>
        <v>0</v>
      </c>
      <c r="BB23" s="151">
        <f>VLOOKUP($AG23,装备属性!$A:$Y,25,0)</f>
        <v>0</v>
      </c>
    </row>
    <row r="24" spans="2:54" ht="13.5" customHeight="1">
      <c r="B24" s="151" t="str">
        <f>英雄初始!A25</f>
        <v>小黑</v>
      </c>
      <c r="D24" s="48" t="s">
        <v>1055</v>
      </c>
      <c r="E24" s="233" t="str">
        <f>IF(D25="-","暂无英雄2数据，请重新输入","")</f>
        <v/>
      </c>
      <c r="H24" s="54" t="s">
        <v>177</v>
      </c>
      <c r="I24" s="51">
        <f>MAX(VLOOKUP(INDEX(英雄装备!$F:$BZ,MATCH($H24,英雄装备!$F:$F,0),MATCH(I$2,英雄装备!$1:$1,0)-5),装备属性!$A:$C,3,0),VLOOKUP(INDEX(英雄装备!$F:$BZ,MATCH($H24,英雄装备!$F:$F,0),MATCH(I$2,英雄装备!$1:$1,0)-4),装备属性!$A:$C,3,0),VLOOKUP(INDEX(英雄装备!$F:$BZ,MATCH($H24,英雄装备!$F:$F,0),MATCH(I$2,英雄装备!$1:$1,0)-3),装备属性!$A:$C,3,0),VLOOKUP(INDEX(英雄装备!$F:$BZ,MATCH($H24,英雄装备!$F:$F,0),MATCH(I$2,英雄装备!$1:$1,0)-2),装备属性!$A:$C,3,0),VLOOKUP(INDEX(英雄装备!$F:$BZ,MATCH($H24,英雄装备!$F:$F,0),MATCH(I$2,英雄装备!$1:$1,0)-1),装备属性!$A:$C,3,0),VLOOKUP(INDEX(英雄装备!$F:$BZ,MATCH($H24,英雄装备!$F:$F,0),MATCH(I$2,英雄装备!$1:$1,0)),装备属性!$A:$C,3,0))</f>
        <v>2</v>
      </c>
      <c r="J24" s="51">
        <f>MAX(VLOOKUP(INDEX(英雄装备!$F:$BZ,MATCH($H24,英雄装备!$F:$F,0),MATCH(J$2,英雄装备!$1:$1,0)-5),装备属性!$A:$C,3,0),VLOOKUP(INDEX(英雄装备!$F:$BZ,MATCH($H24,英雄装备!$F:$F,0),MATCH(J$2,英雄装备!$1:$1,0)-4),装备属性!$A:$C,3,0),VLOOKUP(INDEX(英雄装备!$F:$BZ,MATCH($H24,英雄装备!$F:$F,0),MATCH(J$2,英雄装备!$1:$1,0)-3),装备属性!$A:$C,3,0),VLOOKUP(INDEX(英雄装备!$F:$BZ,MATCH($H24,英雄装备!$F:$F,0),MATCH(J$2,英雄装备!$1:$1,0)-2),装备属性!$A:$C,3,0),VLOOKUP(INDEX(英雄装备!$F:$BZ,MATCH($H24,英雄装备!$F:$F,0),MATCH(J$2,英雄装备!$1:$1,0)-1),装备属性!$A:$C,3,0),VLOOKUP(INDEX(英雄装备!$F:$BZ,MATCH($H24,英雄装备!$F:$F,0),MATCH(J$2,英雄装备!$1:$1,0)),装备属性!$A:$C,3,0))</f>
        <v>11</v>
      </c>
      <c r="K24" s="51">
        <f>MAX(VLOOKUP(INDEX(英雄装备!$F:$BZ,MATCH($H24,英雄装备!$F:$F,0),MATCH(K$2,英雄装备!$1:$1,0)-5),装备属性!$A:$C,3,0),VLOOKUP(INDEX(英雄装备!$F:$BZ,MATCH($H24,英雄装备!$F:$F,0),MATCH(K$2,英雄装备!$1:$1,0)-4),装备属性!$A:$C,3,0),VLOOKUP(INDEX(英雄装备!$F:$BZ,MATCH($H24,英雄装备!$F:$F,0),MATCH(K$2,英雄装备!$1:$1,0)-3),装备属性!$A:$C,3,0),VLOOKUP(INDEX(英雄装备!$F:$BZ,MATCH($H24,英雄装备!$F:$F,0),MATCH(K$2,英雄装备!$1:$1,0)-2),装备属性!$A:$C,3,0),VLOOKUP(INDEX(英雄装备!$F:$BZ,MATCH($H24,英雄装备!$F:$F,0),MATCH(K$2,英雄装备!$1:$1,0)-1),装备属性!$A:$C,3,0),VLOOKUP(INDEX(英雄装备!$F:$BZ,MATCH($H24,英雄装备!$F:$F,0),MATCH(K$2,英雄装备!$1:$1,0)),装备属性!$A:$C,3,0))</f>
        <v>25</v>
      </c>
      <c r="L24" s="51">
        <f>MAX(VLOOKUP(INDEX(英雄装备!$F:$BZ,MATCH($H24,英雄装备!$F:$F,0),MATCH(L$2,英雄装备!$1:$1,0)-5),装备属性!$A:$C,3,0),VLOOKUP(INDEX(英雄装备!$F:$BZ,MATCH($H24,英雄装备!$F:$F,0),MATCH(L$2,英雄装备!$1:$1,0)-4),装备属性!$A:$C,3,0),VLOOKUP(INDEX(英雄装备!$F:$BZ,MATCH($H24,英雄装备!$F:$F,0),MATCH(L$2,英雄装备!$1:$1,0)-3),装备属性!$A:$C,3,0),VLOOKUP(INDEX(英雄装备!$F:$BZ,MATCH($H24,英雄装备!$F:$F,0),MATCH(L$2,英雄装备!$1:$1,0)-2),装备属性!$A:$C,3,0),VLOOKUP(INDEX(英雄装备!$F:$BZ,MATCH($H24,英雄装备!$F:$F,0),MATCH(L$2,英雄装备!$1:$1,0)-1),装备属性!$A:$C,3,0),VLOOKUP(INDEX(英雄装备!$F:$BZ,MATCH($H24,英雄装备!$F:$F,0),MATCH(L$2,英雄装备!$1:$1,0)),装备属性!$A:$C,3,0))</f>
        <v>34</v>
      </c>
      <c r="M24" s="51">
        <f>MAX(VLOOKUP(INDEX(英雄装备!$F:$BZ,MATCH($H24,英雄装备!$F:$F,0),MATCH(M$2,英雄装备!$1:$1,0)-5),装备属性!$A:$C,3,0),VLOOKUP(INDEX(英雄装备!$F:$BZ,MATCH($H24,英雄装备!$F:$F,0),MATCH(M$2,英雄装备!$1:$1,0)-4),装备属性!$A:$C,3,0),VLOOKUP(INDEX(英雄装备!$F:$BZ,MATCH($H24,英雄装备!$F:$F,0),MATCH(M$2,英雄装备!$1:$1,0)-3),装备属性!$A:$C,3,0),VLOOKUP(INDEX(英雄装备!$F:$BZ,MATCH($H24,英雄装备!$F:$F,0),MATCH(M$2,英雄装备!$1:$1,0)-2),装备属性!$A:$C,3,0),VLOOKUP(INDEX(英雄装备!$F:$BZ,MATCH($H24,英雄装备!$F:$F,0),MATCH(M$2,英雄装备!$1:$1,0)-1),装备属性!$A:$C,3,0),VLOOKUP(INDEX(英雄装备!$F:$BZ,MATCH($H24,英雄装备!$F:$F,0),MATCH(M$2,英雄装备!$1:$1,0)),装备属性!$A:$C,3,0))</f>
        <v>44</v>
      </c>
      <c r="N24" s="51">
        <f>MAX(VLOOKUP(INDEX(英雄装备!$F:$BZ,MATCH($H24,英雄装备!$F:$F,0),MATCH(N$2,英雄装备!$1:$1,0)-5),装备属性!$A:$C,3,0),VLOOKUP(INDEX(英雄装备!$F:$BZ,MATCH($H24,英雄装备!$F:$F,0),MATCH(N$2,英雄装备!$1:$1,0)-4),装备属性!$A:$C,3,0),VLOOKUP(INDEX(英雄装备!$F:$BZ,MATCH($H24,英雄装备!$F:$F,0),MATCH(N$2,英雄装备!$1:$1,0)-3),装备属性!$A:$C,3,0),VLOOKUP(INDEX(英雄装备!$F:$BZ,MATCH($H24,英雄装备!$F:$F,0),MATCH(N$2,英雄装备!$1:$1,0)-2),装备属性!$A:$C,3,0),VLOOKUP(INDEX(英雄装备!$F:$BZ,MATCH($H24,英雄装备!$F:$F,0),MATCH(N$2,英雄装备!$1:$1,0)-1),装备属性!$A:$C,3,0),VLOOKUP(INDEX(英雄装备!$F:$BZ,MATCH($H24,英雄装备!$F:$F,0),MATCH(N$2,英雄装备!$1:$1,0)),装备属性!$A:$C,3,0))</f>
        <v>53</v>
      </c>
      <c r="O24" s="51">
        <f>MAX(VLOOKUP(INDEX(英雄装备!$F:$BZ,MATCH($H24,英雄装备!$F:$F,0),MATCH(O$2,英雄装备!$1:$1,0)-5),装备属性!$A:$C,3,0),VLOOKUP(INDEX(英雄装备!$F:$BZ,MATCH($H24,英雄装备!$F:$F,0),MATCH(O$2,英雄装备!$1:$1,0)-4),装备属性!$A:$C,3,0),VLOOKUP(INDEX(英雄装备!$F:$BZ,MATCH($H24,英雄装备!$F:$F,0),MATCH(O$2,英雄装备!$1:$1,0)-3),装备属性!$A:$C,3,0),VLOOKUP(INDEX(英雄装备!$F:$BZ,MATCH($H24,英雄装备!$F:$F,0),MATCH(O$2,英雄装备!$1:$1,0)-2),装备属性!$A:$C,3,0),VLOOKUP(INDEX(英雄装备!$F:$BZ,MATCH($H24,英雄装备!$F:$F,0),MATCH(O$2,英雄装备!$1:$1,0)-1),装备属性!$A:$C,3,0),VLOOKUP(INDEX(英雄装备!$F:$BZ,MATCH($H24,英雄装备!$F:$F,0),MATCH(O$2,英雄装备!$1:$1,0)),装备属性!$A:$C,3,0))</f>
        <v>59</v>
      </c>
      <c r="P24" s="51">
        <f>MAX(VLOOKUP(INDEX(英雄装备!$F:$BZ,MATCH($H24,英雄装备!$F:$F,0),MATCH(P$2,英雄装备!$1:$1,0)-5),装备属性!$A:$C,3,0),VLOOKUP(INDEX(英雄装备!$F:$BZ,MATCH($H24,英雄装备!$F:$F,0),MATCH(P$2,英雄装备!$1:$1,0)-4),装备属性!$A:$C,3,0),VLOOKUP(INDEX(英雄装备!$F:$BZ,MATCH($H24,英雄装备!$F:$F,0),MATCH(P$2,英雄装备!$1:$1,0)-3),装备属性!$A:$C,3,0),VLOOKUP(INDEX(英雄装备!$F:$BZ,MATCH($H24,英雄装备!$F:$F,0),MATCH(P$2,英雄装备!$1:$1,0)-2),装备属性!$A:$C,3,0),VLOOKUP(INDEX(英雄装备!$F:$BZ,MATCH($H24,英雄装备!$F:$F,0),MATCH(P$2,英雄装备!$1:$1,0)-1),装备属性!$A:$C,3,0),VLOOKUP(INDEX(英雄装备!$F:$BZ,MATCH($H24,英雄装备!$F:$F,0),MATCH(P$2,英雄装备!$1:$1,0)),装备属性!$A:$C,3,0))</f>
        <v>72</v>
      </c>
      <c r="Q24" s="51">
        <f>MAX(VLOOKUP(INDEX(英雄装备!$F:$BZ,MATCH($H24,英雄装备!$F:$F,0),MATCH(Q$2,英雄装备!$1:$1,0)-5),装备属性!$A:$C,3,0),VLOOKUP(INDEX(英雄装备!$F:$BZ,MATCH($H24,英雄装备!$F:$F,0),MATCH(Q$2,英雄装备!$1:$1,0)-4),装备属性!$A:$C,3,0),VLOOKUP(INDEX(英雄装备!$F:$BZ,MATCH($H24,英雄装备!$F:$F,0),MATCH(Q$2,英雄装备!$1:$1,0)-3),装备属性!$A:$C,3,0),VLOOKUP(INDEX(英雄装备!$F:$BZ,MATCH($H24,英雄装备!$F:$F,0),MATCH(Q$2,英雄装备!$1:$1,0)-2),装备属性!$A:$C,3,0),VLOOKUP(INDEX(英雄装备!$F:$BZ,MATCH($H24,英雄装备!$F:$F,0),MATCH(Q$2,英雄装备!$1:$1,0)-1),装备属性!$A:$C,3,0),VLOOKUP(INDEX(英雄装备!$F:$BZ,MATCH($H24,英雄装备!$F:$F,0),MATCH(Q$2,英雄装备!$1:$1,0)),装备属性!$A:$C,3,0))</f>
        <v>78</v>
      </c>
      <c r="R24" s="51">
        <f>MAX(VLOOKUP(INDEX(英雄装备!$F:$BZ,MATCH($H24,英雄装备!$F:$F,0),MATCH(R$2,英雄装备!$1:$1,0)-5),装备属性!$A:$C,3,0),VLOOKUP(INDEX(英雄装备!$F:$BZ,MATCH($H24,英雄装备!$F:$F,0),MATCH(R$2,英雄装备!$1:$1,0)-4),装备属性!$A:$C,3,0),VLOOKUP(INDEX(英雄装备!$F:$BZ,MATCH($H24,英雄装备!$F:$F,0),MATCH(R$2,英雄装备!$1:$1,0)-3),装备属性!$A:$C,3,0),VLOOKUP(INDEX(英雄装备!$F:$BZ,MATCH($H24,英雄装备!$F:$F,0),MATCH(R$2,英雄装备!$1:$1,0)-2),装备属性!$A:$C,3,0),VLOOKUP(INDEX(英雄装备!$F:$BZ,MATCH($H24,英雄装备!$F:$F,0),MATCH(R$2,英雄装备!$1:$1,0)-1),装备属性!$A:$C,3,0),VLOOKUP(INDEX(英雄装备!$F:$BZ,MATCH($H24,英雄装备!$F:$F,0),MATCH(R$2,英雄装备!$1:$1,0)),装备属性!$A:$C,3,0))</f>
        <v>73</v>
      </c>
      <c r="S24" s="51">
        <f>MAX(VLOOKUP(INDEX(英雄装备!$F:$BZ,MATCH($H24,英雄装备!$F:$F,0),MATCH(S$2,英雄装备!$1:$1,0)-5),装备属性!$A:$C,3,0),VLOOKUP(INDEX(英雄装备!$F:$BZ,MATCH($H24,英雄装备!$F:$F,0),MATCH(S$2,英雄装备!$1:$1,0)-4),装备属性!$A:$C,3,0),VLOOKUP(INDEX(英雄装备!$F:$BZ,MATCH($H24,英雄装备!$F:$F,0),MATCH(S$2,英雄装备!$1:$1,0)-3),装备属性!$A:$C,3,0),VLOOKUP(INDEX(英雄装备!$F:$BZ,MATCH($H24,英雄装备!$F:$F,0),MATCH(S$2,英雄装备!$1:$1,0)-2),装备属性!$A:$C,3,0),VLOOKUP(INDEX(英雄装备!$F:$BZ,MATCH($H24,英雄装备!$F:$F,0),MATCH(S$2,英雄装备!$1:$1,0)-1),装备属性!$A:$C,3,0),VLOOKUP(INDEX(英雄装备!$F:$BZ,MATCH($H24,英雄装备!$F:$F,0),MATCH(S$2,英雄装备!$1:$1,0)),装备属性!$A:$C,3,0))</f>
        <v>84</v>
      </c>
      <c r="T24" s="51">
        <f>MAX(VLOOKUP(INDEX(英雄装备!$F:$BZ,MATCH($H24,英雄装备!$F:$F,0),MATCH(T$2,英雄装备!$1:$1,0)-5),装备属性!$A:$C,3,0),VLOOKUP(INDEX(英雄装备!$F:$BZ,MATCH($H24,英雄装备!$F:$F,0),MATCH(T$2,英雄装备!$1:$1,0)-4),装备属性!$A:$C,3,0),VLOOKUP(INDEX(英雄装备!$F:$BZ,MATCH($H24,英雄装备!$F:$F,0),MATCH(T$2,英雄装备!$1:$1,0)-3),装备属性!$A:$C,3,0),VLOOKUP(INDEX(英雄装备!$F:$BZ,MATCH($H24,英雄装备!$F:$F,0),MATCH(T$2,英雄装备!$1:$1,0)-2),装备属性!$A:$C,3,0),VLOOKUP(INDEX(英雄装备!$F:$BZ,MATCH($H24,英雄装备!$F:$F,0),MATCH(T$2,英雄装备!$1:$1,0)-1),装备属性!$A:$C,3,0))</f>
        <v>89</v>
      </c>
      <c r="W24" s="108">
        <f t="shared" si="3"/>
        <v>1</v>
      </c>
      <c r="X24" s="151">
        <f>IF(X11="暂无","暂无",IF(VLOOKUP(X11,装备属性!$A:$C,3,0)&gt;英雄对比!$G$4,0,1))</f>
        <v>1</v>
      </c>
      <c r="Y24" s="151">
        <f>IF(Y11="暂无","暂无",IF(VLOOKUP(Y11,装备属性!$A:$C,3,0)&gt;英雄对比!$G$4,0,1))</f>
        <v>1</v>
      </c>
      <c r="Z24" s="151">
        <f>IF(Z11="暂无","暂无",IF(VLOOKUP(Z11,装备属性!$A:$C,3,0)&gt;英雄对比!$G$4,0,1))</f>
        <v>1</v>
      </c>
      <c r="AA24" s="151">
        <f>IF(AA11="暂无","暂无",IF(VLOOKUP(AA11,装备属性!$A:$C,3,0)&gt;英雄对比!$G$4,0,1))</f>
        <v>1</v>
      </c>
      <c r="AB24" s="151">
        <f>IF(AB11="暂无","暂无",IF(VLOOKUP(AB11,装备属性!$A:$C,3,0)&gt;英雄对比!$G$4,0,1))</f>
        <v>1</v>
      </c>
      <c r="AC24" s="151">
        <f>IF(AC11="暂无","暂无",IF(VLOOKUP(AC11,装备属性!$A:$C,3,0)&gt;英雄对比!$G$4,0,1))</f>
        <v>1</v>
      </c>
      <c r="AF24" s="151">
        <v>1</v>
      </c>
      <c r="AG24" s="151" t="str">
        <f>Y1</f>
        <v>树枝</v>
      </c>
      <c r="AH24" s="151">
        <f>VLOOKUP($AG24,装备属性!$A:$Y,5,0)</f>
        <v>1</v>
      </c>
      <c r="AI24" s="151">
        <f>VLOOKUP($AG24,装备属性!$A:$Y,6,0)</f>
        <v>1</v>
      </c>
      <c r="AJ24" s="151">
        <f>VLOOKUP($AG24,装备属性!$A:$Y,7,0)</f>
        <v>1</v>
      </c>
      <c r="AK24" s="151">
        <f>VLOOKUP($AG24,装备属性!$A:$Y,8,0)</f>
        <v>0</v>
      </c>
      <c r="AL24" s="151">
        <f>VLOOKUP($AG24,装备属性!$A:$Y,9,0)</f>
        <v>0</v>
      </c>
      <c r="AM24" s="151">
        <f>VLOOKUP($AG24,装备属性!$A:$Y,10,0)</f>
        <v>0</v>
      </c>
      <c r="AN24" s="151">
        <f>VLOOKUP($AG24,装备属性!$A:$Y,11,0)</f>
        <v>0</v>
      </c>
      <c r="AO24" s="151">
        <f>VLOOKUP($AG24,装备属性!$A:$Y,12,0)</f>
        <v>0</v>
      </c>
      <c r="AP24" s="151">
        <f>VLOOKUP($AG24,装备属性!$A:$Y,13,0)</f>
        <v>0</v>
      </c>
      <c r="AQ24" s="151">
        <f>VLOOKUP($AG24,装备属性!$A:$Y,14,0)</f>
        <v>0</v>
      </c>
      <c r="AR24" s="151">
        <f>VLOOKUP($AG24,装备属性!$A:$Y,15,0)</f>
        <v>0</v>
      </c>
      <c r="AS24" s="151">
        <f>VLOOKUP($AG24,装备属性!$A:$Y,16,0)</f>
        <v>0</v>
      </c>
      <c r="AT24" s="151">
        <f>VLOOKUP($AG24,装备属性!$A:$Y,17,0)</f>
        <v>0</v>
      </c>
      <c r="AU24" s="151">
        <f>VLOOKUP($AG24,装备属性!$A:$Y,18,0)</f>
        <v>0</v>
      </c>
      <c r="AV24" s="151">
        <f>VLOOKUP($AG24,装备属性!$A:$Y,19,0)</f>
        <v>0</v>
      </c>
      <c r="AW24" s="151">
        <f>VLOOKUP($AG24,装备属性!$A:$Y,20,0)</f>
        <v>0</v>
      </c>
      <c r="AX24" s="151">
        <f>VLOOKUP($AG24,装备属性!$A:$Y,21,0)</f>
        <v>0</v>
      </c>
      <c r="AY24" s="151">
        <f>VLOOKUP($AG24,装备属性!$A:$Y,22,0)</f>
        <v>0</v>
      </c>
      <c r="AZ24" s="151">
        <f>VLOOKUP($AG24,装备属性!$A:$Y,23,0)</f>
        <v>0</v>
      </c>
      <c r="BA24" s="151">
        <f>VLOOKUP($AG24,装备属性!$A:$Y,24,0)</f>
        <v>0</v>
      </c>
      <c r="BB24" s="151">
        <f>VLOOKUP($AG24,装备属性!$A:$Y,25,0)</f>
        <v>0</v>
      </c>
    </row>
    <row r="25" spans="2:54">
      <c r="B25" s="151" t="str">
        <f>英雄初始!A26</f>
        <v>小娜迦</v>
      </c>
      <c r="D25" s="151">
        <f>INDEX(英雄成长!$A:$Q,MATCH(英雄对比!$G$2,英雄成长!$A:$A,0),MATCH(英雄对比!$G$3,英雄成长!$1:$1,0))</f>
        <v>6.6</v>
      </c>
      <c r="E25" s="233"/>
      <c r="H25" s="54" t="s">
        <v>178</v>
      </c>
      <c r="I25" s="51">
        <f>MAX(VLOOKUP(INDEX(英雄装备!$F:$BZ,MATCH($H25,英雄装备!$F:$F,0),MATCH(I$2,英雄装备!$1:$1,0)-5),装备属性!$A:$C,3,0),VLOOKUP(INDEX(英雄装备!$F:$BZ,MATCH($H25,英雄装备!$F:$F,0),MATCH(I$2,英雄装备!$1:$1,0)-4),装备属性!$A:$C,3,0),VLOOKUP(INDEX(英雄装备!$F:$BZ,MATCH($H25,英雄装备!$F:$F,0),MATCH(I$2,英雄装备!$1:$1,0)-3),装备属性!$A:$C,3,0),VLOOKUP(INDEX(英雄装备!$F:$BZ,MATCH($H25,英雄装备!$F:$F,0),MATCH(I$2,英雄装备!$1:$1,0)-2),装备属性!$A:$C,3,0),VLOOKUP(INDEX(英雄装备!$F:$BZ,MATCH($H25,英雄装备!$F:$F,0),MATCH(I$2,英雄装备!$1:$1,0)-1),装备属性!$A:$C,3,0),VLOOKUP(INDEX(英雄装备!$F:$BZ,MATCH($H25,英雄装备!$F:$F,0),MATCH(I$2,英雄装备!$1:$1,0)),装备属性!$A:$C,3,0))</f>
        <v>2</v>
      </c>
      <c r="J25" s="51">
        <f>MAX(VLOOKUP(INDEX(英雄装备!$F:$BZ,MATCH($H25,英雄装备!$F:$F,0),MATCH(J$2,英雄装备!$1:$1,0)-5),装备属性!$A:$C,3,0),VLOOKUP(INDEX(英雄装备!$F:$BZ,MATCH($H25,英雄装备!$F:$F,0),MATCH(J$2,英雄装备!$1:$1,0)-4),装备属性!$A:$C,3,0),VLOOKUP(INDEX(英雄装备!$F:$BZ,MATCH($H25,英雄装备!$F:$F,0),MATCH(J$2,英雄装备!$1:$1,0)-3),装备属性!$A:$C,3,0),VLOOKUP(INDEX(英雄装备!$F:$BZ,MATCH($H25,英雄装备!$F:$F,0),MATCH(J$2,英雄装备!$1:$1,0)-2),装备属性!$A:$C,3,0),VLOOKUP(INDEX(英雄装备!$F:$BZ,MATCH($H25,英雄装备!$F:$F,0),MATCH(J$2,英雄装备!$1:$1,0)-1),装备属性!$A:$C,3,0),VLOOKUP(INDEX(英雄装备!$F:$BZ,MATCH($H25,英雄装备!$F:$F,0),MATCH(J$2,英雄装备!$1:$1,0)),装备属性!$A:$C,3,0))</f>
        <v>10</v>
      </c>
      <c r="K25" s="51">
        <f>MAX(VLOOKUP(INDEX(英雄装备!$F:$BZ,MATCH($H25,英雄装备!$F:$F,0),MATCH(K$2,英雄装备!$1:$1,0)-5),装备属性!$A:$C,3,0),VLOOKUP(INDEX(英雄装备!$F:$BZ,MATCH($H25,英雄装备!$F:$F,0),MATCH(K$2,英雄装备!$1:$1,0)-4),装备属性!$A:$C,3,0),VLOOKUP(INDEX(英雄装备!$F:$BZ,MATCH($H25,英雄装备!$F:$F,0),MATCH(K$2,英雄装备!$1:$1,0)-3),装备属性!$A:$C,3,0),VLOOKUP(INDEX(英雄装备!$F:$BZ,MATCH($H25,英雄装备!$F:$F,0),MATCH(K$2,英雄装备!$1:$1,0)-2),装备属性!$A:$C,3,0),VLOOKUP(INDEX(英雄装备!$F:$BZ,MATCH($H25,英雄装备!$F:$F,0),MATCH(K$2,英雄装备!$1:$1,0)-1),装备属性!$A:$C,3,0),VLOOKUP(INDEX(英雄装备!$F:$BZ,MATCH($H25,英雄装备!$F:$F,0),MATCH(K$2,英雄装备!$1:$1,0)),装备属性!$A:$C,3,0))</f>
        <v>20</v>
      </c>
      <c r="L25" s="51">
        <f>MAX(VLOOKUP(INDEX(英雄装备!$F:$BZ,MATCH($H25,英雄装备!$F:$F,0),MATCH(L$2,英雄装备!$1:$1,0)-5),装备属性!$A:$C,3,0),VLOOKUP(INDEX(英雄装备!$F:$BZ,MATCH($H25,英雄装备!$F:$F,0),MATCH(L$2,英雄装备!$1:$1,0)-4),装备属性!$A:$C,3,0),VLOOKUP(INDEX(英雄装备!$F:$BZ,MATCH($H25,英雄装备!$F:$F,0),MATCH(L$2,英雄装备!$1:$1,0)-3),装备属性!$A:$C,3,0),VLOOKUP(INDEX(英雄装备!$F:$BZ,MATCH($H25,英雄装备!$F:$F,0),MATCH(L$2,英雄装备!$1:$1,0)-2),装备属性!$A:$C,3,0),VLOOKUP(INDEX(英雄装备!$F:$BZ,MATCH($H25,英雄装备!$F:$F,0),MATCH(L$2,英雄装备!$1:$1,0)-1),装备属性!$A:$C,3,0),VLOOKUP(INDEX(英雄装备!$F:$BZ,MATCH($H25,英雄装备!$F:$F,0),MATCH(L$2,英雄装备!$1:$1,0)),装备属性!$A:$C,3,0))</f>
        <v>37</v>
      </c>
      <c r="M25" s="51">
        <f>MAX(VLOOKUP(INDEX(英雄装备!$F:$BZ,MATCH($H25,英雄装备!$F:$F,0),MATCH(M$2,英雄装备!$1:$1,0)-5),装备属性!$A:$C,3,0),VLOOKUP(INDEX(英雄装备!$F:$BZ,MATCH($H25,英雄装备!$F:$F,0),MATCH(M$2,英雄装备!$1:$1,0)-4),装备属性!$A:$C,3,0),VLOOKUP(INDEX(英雄装备!$F:$BZ,MATCH($H25,英雄装备!$F:$F,0),MATCH(M$2,英雄装备!$1:$1,0)-3),装备属性!$A:$C,3,0),VLOOKUP(INDEX(英雄装备!$F:$BZ,MATCH($H25,英雄装备!$F:$F,0),MATCH(M$2,英雄装备!$1:$1,0)-2),装备属性!$A:$C,3,0),VLOOKUP(INDEX(英雄装备!$F:$BZ,MATCH($H25,英雄装备!$F:$F,0),MATCH(M$2,英雄装备!$1:$1,0)-1),装备属性!$A:$C,3,0),VLOOKUP(INDEX(英雄装备!$F:$BZ,MATCH($H25,英雄装备!$F:$F,0),MATCH(M$2,英雄装备!$1:$1,0)),装备属性!$A:$C,3,0))</f>
        <v>42</v>
      </c>
      <c r="N25" s="51">
        <f>MAX(VLOOKUP(INDEX(英雄装备!$F:$BZ,MATCH($H25,英雄装备!$F:$F,0),MATCH(N$2,英雄装备!$1:$1,0)-5),装备属性!$A:$C,3,0),VLOOKUP(INDEX(英雄装备!$F:$BZ,MATCH($H25,英雄装备!$F:$F,0),MATCH(N$2,英雄装备!$1:$1,0)-4),装备属性!$A:$C,3,0),VLOOKUP(INDEX(英雄装备!$F:$BZ,MATCH($H25,英雄装备!$F:$F,0),MATCH(N$2,英雄装备!$1:$1,0)-3),装备属性!$A:$C,3,0),VLOOKUP(INDEX(英雄装备!$F:$BZ,MATCH($H25,英雄装备!$F:$F,0),MATCH(N$2,英雄装备!$1:$1,0)-2),装备属性!$A:$C,3,0),VLOOKUP(INDEX(英雄装备!$F:$BZ,MATCH($H25,英雄装备!$F:$F,0),MATCH(N$2,英雄装备!$1:$1,0)-1),装备属性!$A:$C,3,0),VLOOKUP(INDEX(英雄装备!$F:$BZ,MATCH($H25,英雄装备!$F:$F,0),MATCH(N$2,英雄装备!$1:$1,0)),装备属性!$A:$C,3,0))</f>
        <v>53</v>
      </c>
      <c r="O25" s="51">
        <f>MAX(VLOOKUP(INDEX(英雄装备!$F:$BZ,MATCH($H25,英雄装备!$F:$F,0),MATCH(O$2,英雄装备!$1:$1,0)-5),装备属性!$A:$C,3,0),VLOOKUP(INDEX(英雄装备!$F:$BZ,MATCH($H25,英雄装备!$F:$F,0),MATCH(O$2,英雄装备!$1:$1,0)-4),装备属性!$A:$C,3,0),VLOOKUP(INDEX(英雄装备!$F:$BZ,MATCH($H25,英雄装备!$F:$F,0),MATCH(O$2,英雄装备!$1:$1,0)-3),装备属性!$A:$C,3,0),VLOOKUP(INDEX(英雄装备!$F:$BZ,MATCH($H25,英雄装备!$F:$F,0),MATCH(O$2,英雄装备!$1:$1,0)-2),装备属性!$A:$C,3,0),VLOOKUP(INDEX(英雄装备!$F:$BZ,MATCH($H25,英雄装备!$F:$F,0),MATCH(O$2,英雄装备!$1:$1,0)-1),装备属性!$A:$C,3,0),VLOOKUP(INDEX(英雄装备!$F:$BZ,MATCH($H25,英雄装备!$F:$F,0),MATCH(O$2,英雄装备!$1:$1,0)),装备属性!$A:$C,3,0))</f>
        <v>64</v>
      </c>
      <c r="P25" s="51">
        <f>MAX(VLOOKUP(INDEX(英雄装备!$F:$BZ,MATCH($H25,英雄装备!$F:$F,0),MATCH(P$2,英雄装备!$1:$1,0)-5),装备属性!$A:$C,3,0),VLOOKUP(INDEX(英雄装备!$F:$BZ,MATCH($H25,英雄装备!$F:$F,0),MATCH(P$2,英雄装备!$1:$1,0)-4),装备属性!$A:$C,3,0),VLOOKUP(INDEX(英雄装备!$F:$BZ,MATCH($H25,英雄装备!$F:$F,0),MATCH(P$2,英雄装备!$1:$1,0)-3),装备属性!$A:$C,3,0),VLOOKUP(INDEX(英雄装备!$F:$BZ,MATCH($H25,英雄装备!$F:$F,0),MATCH(P$2,英雄装备!$1:$1,0)-2),装备属性!$A:$C,3,0),VLOOKUP(INDEX(英雄装备!$F:$BZ,MATCH($H25,英雄装备!$F:$F,0),MATCH(P$2,英雄装备!$1:$1,0)-1),装备属性!$A:$C,3,0),VLOOKUP(INDEX(英雄装备!$F:$BZ,MATCH($H25,英雄装备!$F:$F,0),MATCH(P$2,英雄装备!$1:$1,0)),装备属性!$A:$C,3,0))</f>
        <v>73</v>
      </c>
      <c r="Q25" s="51">
        <f>MAX(VLOOKUP(INDEX(英雄装备!$F:$BZ,MATCH($H25,英雄装备!$F:$F,0),MATCH(Q$2,英雄装备!$1:$1,0)-5),装备属性!$A:$C,3,0),VLOOKUP(INDEX(英雄装备!$F:$BZ,MATCH($H25,英雄装备!$F:$F,0),MATCH(Q$2,英雄装备!$1:$1,0)-4),装备属性!$A:$C,3,0),VLOOKUP(INDEX(英雄装备!$F:$BZ,MATCH($H25,英雄装备!$F:$F,0),MATCH(Q$2,英雄装备!$1:$1,0)-3),装备属性!$A:$C,3,0),VLOOKUP(INDEX(英雄装备!$F:$BZ,MATCH($H25,英雄装备!$F:$F,0),MATCH(Q$2,英雄装备!$1:$1,0)-2),装备属性!$A:$C,3,0),VLOOKUP(INDEX(英雄装备!$F:$BZ,MATCH($H25,英雄装备!$F:$F,0),MATCH(Q$2,英雄装备!$1:$1,0)-1),装备属性!$A:$C,3,0),VLOOKUP(INDEX(英雄装备!$F:$BZ,MATCH($H25,英雄装备!$F:$F,0),MATCH(Q$2,英雄装备!$1:$1,0)),装备属性!$A:$C,3,0))</f>
        <v>80</v>
      </c>
      <c r="R25" s="51">
        <f>MAX(VLOOKUP(INDEX(英雄装备!$F:$BZ,MATCH($H25,英雄装备!$F:$F,0),MATCH(R$2,英雄装备!$1:$1,0)-5),装备属性!$A:$C,3,0),VLOOKUP(INDEX(英雄装备!$F:$BZ,MATCH($H25,英雄装备!$F:$F,0),MATCH(R$2,英雄装备!$1:$1,0)-4),装备属性!$A:$C,3,0),VLOOKUP(INDEX(英雄装备!$F:$BZ,MATCH($H25,英雄装备!$F:$F,0),MATCH(R$2,英雄装备!$1:$1,0)-3),装备属性!$A:$C,3,0),VLOOKUP(INDEX(英雄装备!$F:$BZ,MATCH($H25,英雄装备!$F:$F,0),MATCH(R$2,英雄装备!$1:$1,0)-2),装备属性!$A:$C,3,0),VLOOKUP(INDEX(英雄装备!$F:$BZ,MATCH($H25,英雄装备!$F:$F,0),MATCH(R$2,英雄装备!$1:$1,0)-1),装备属性!$A:$C,3,0),VLOOKUP(INDEX(英雄装备!$F:$BZ,MATCH($H25,英雄装备!$F:$F,0),MATCH(R$2,英雄装备!$1:$1,0)),装备属性!$A:$C,3,0))</f>
        <v>79</v>
      </c>
      <c r="S25" s="51">
        <f>MAX(VLOOKUP(INDEX(英雄装备!$F:$BZ,MATCH($H25,英雄装备!$F:$F,0),MATCH(S$2,英雄装备!$1:$1,0)-5),装备属性!$A:$C,3,0),VLOOKUP(INDEX(英雄装备!$F:$BZ,MATCH($H25,英雄装备!$F:$F,0),MATCH(S$2,英雄装备!$1:$1,0)-4),装备属性!$A:$C,3,0),VLOOKUP(INDEX(英雄装备!$F:$BZ,MATCH($H25,英雄装备!$F:$F,0),MATCH(S$2,英雄装备!$1:$1,0)-3),装备属性!$A:$C,3,0),VLOOKUP(INDEX(英雄装备!$F:$BZ,MATCH($H25,英雄装备!$F:$F,0),MATCH(S$2,英雄装备!$1:$1,0)-2),装备属性!$A:$C,3,0),VLOOKUP(INDEX(英雄装备!$F:$BZ,MATCH($H25,英雄装备!$F:$F,0),MATCH(S$2,英雄装备!$1:$1,0)-1),装备属性!$A:$C,3,0),VLOOKUP(INDEX(英雄装备!$F:$BZ,MATCH($H25,英雄装备!$F:$F,0),MATCH(S$2,英雄装备!$1:$1,0)),装备属性!$A:$C,3,0))</f>
        <v>85</v>
      </c>
      <c r="T25" s="51">
        <f>MAX(VLOOKUP(INDEX(英雄装备!$F:$BZ,MATCH($H25,英雄装备!$F:$F,0),MATCH(T$2,英雄装备!$1:$1,0)-5),装备属性!$A:$C,3,0),VLOOKUP(INDEX(英雄装备!$F:$BZ,MATCH($H25,英雄装备!$F:$F,0),MATCH(T$2,英雄装备!$1:$1,0)-4),装备属性!$A:$C,3,0),VLOOKUP(INDEX(英雄装备!$F:$BZ,MATCH($H25,英雄装备!$F:$F,0),MATCH(T$2,英雄装备!$1:$1,0)-3),装备属性!$A:$C,3,0),VLOOKUP(INDEX(英雄装备!$F:$BZ,MATCH($H25,英雄装备!$F:$F,0),MATCH(T$2,英雄装备!$1:$1,0)-2),装备属性!$A:$C,3,0),VLOOKUP(INDEX(英雄装备!$F:$BZ,MATCH($H25,英雄装备!$F:$F,0),MATCH(T$2,英雄装备!$1:$1,0)-1),装备属性!$A:$C,3,0))</f>
        <v>89</v>
      </c>
      <c r="W25" s="108">
        <f t="shared" si="3"/>
        <v>1</v>
      </c>
      <c r="X25" s="151">
        <f>IF(X12="暂无","暂无",IF(VLOOKUP(X12,装备属性!$A:$C,3,0)&gt;英雄对比!$G$4,0,1))</f>
        <v>0</v>
      </c>
      <c r="Y25" s="151">
        <f>IF(Y12="暂无","暂无",IF(VLOOKUP(Y12,装备属性!$A:$C,3,0)&gt;英雄对比!$G$4,0,1))</f>
        <v>1</v>
      </c>
      <c r="Z25" s="151">
        <f>IF(Z12="暂无","暂无",IF(VLOOKUP(Z12,装备属性!$A:$C,3,0)&gt;英雄对比!$G$4,0,1))</f>
        <v>1</v>
      </c>
      <c r="AA25" s="151">
        <f>IF(AA12="暂无","暂无",IF(VLOOKUP(AA12,装备属性!$A:$C,3,0)&gt;英雄对比!$G$4,0,1))</f>
        <v>1</v>
      </c>
      <c r="AB25" s="151">
        <f>IF(AB12="暂无","暂无",IF(VLOOKUP(AB12,装备属性!$A:$C,3,0)&gt;英雄对比!$G$4,0,1))</f>
        <v>1</v>
      </c>
      <c r="AC25" s="141" t="s">
        <v>2102</v>
      </c>
      <c r="AF25" s="151">
        <v>1</v>
      </c>
      <c r="AG25" s="151" t="str">
        <f>Z1</f>
        <v>敏捷丝袜</v>
      </c>
      <c r="AH25" s="151">
        <f>VLOOKUP($AG25,装备属性!$A:$Y,5,0)</f>
        <v>0</v>
      </c>
      <c r="AI25" s="151">
        <f>VLOOKUP($AG25,装备属性!$A:$Y,6,0)</f>
        <v>3</v>
      </c>
      <c r="AJ25" s="151">
        <f>VLOOKUP($AG25,装备属性!$A:$Y,7,0)</f>
        <v>0</v>
      </c>
      <c r="AK25" s="151">
        <f>VLOOKUP($AG25,装备属性!$A:$Y,8,0)</f>
        <v>0</v>
      </c>
      <c r="AL25" s="151">
        <f>VLOOKUP($AG25,装备属性!$A:$Y,9,0)</f>
        <v>0</v>
      </c>
      <c r="AM25" s="151">
        <f>VLOOKUP($AG25,装备属性!$A:$Y,10,0)</f>
        <v>0</v>
      </c>
      <c r="AN25" s="151">
        <f>VLOOKUP($AG25,装备属性!$A:$Y,11,0)</f>
        <v>0</v>
      </c>
      <c r="AO25" s="151">
        <f>VLOOKUP($AG25,装备属性!$A:$Y,12,0)</f>
        <v>0</v>
      </c>
      <c r="AP25" s="151">
        <f>VLOOKUP($AG25,装备属性!$A:$Y,13,0)</f>
        <v>0</v>
      </c>
      <c r="AQ25" s="151">
        <f>VLOOKUP($AG25,装备属性!$A:$Y,14,0)</f>
        <v>0</v>
      </c>
      <c r="AR25" s="151">
        <f>VLOOKUP($AG25,装备属性!$A:$Y,15,0)</f>
        <v>0</v>
      </c>
      <c r="AS25" s="151">
        <f>VLOOKUP($AG25,装备属性!$A:$Y,16,0)</f>
        <v>0</v>
      </c>
      <c r="AT25" s="151">
        <f>VLOOKUP($AG25,装备属性!$A:$Y,17,0)</f>
        <v>0</v>
      </c>
      <c r="AU25" s="151">
        <f>VLOOKUP($AG25,装备属性!$A:$Y,18,0)</f>
        <v>0</v>
      </c>
      <c r="AV25" s="151">
        <f>VLOOKUP($AG25,装备属性!$A:$Y,19,0)</f>
        <v>0</v>
      </c>
      <c r="AW25" s="151">
        <f>VLOOKUP($AG25,装备属性!$A:$Y,20,0)</f>
        <v>0</v>
      </c>
      <c r="AX25" s="151">
        <f>VLOOKUP($AG25,装备属性!$A:$Y,21,0)</f>
        <v>0</v>
      </c>
      <c r="AY25" s="151">
        <f>VLOOKUP($AG25,装备属性!$A:$Y,22,0)</f>
        <v>0</v>
      </c>
      <c r="AZ25" s="151">
        <f>VLOOKUP($AG25,装备属性!$A:$Y,23,0)</f>
        <v>0</v>
      </c>
      <c r="BA25" s="151">
        <f>VLOOKUP($AG25,装备属性!$A:$Y,24,0)</f>
        <v>0</v>
      </c>
      <c r="BB25" s="151">
        <f>VLOOKUP($AG25,装备属性!$A:$Y,25,0)</f>
        <v>0</v>
      </c>
    </row>
    <row r="26" spans="2:54">
      <c r="B26" s="151" t="str">
        <f>英雄初始!A27</f>
        <v>影魔</v>
      </c>
      <c r="D26" s="151">
        <f>INDEX(英雄成长!$A:$Q,MATCH(英雄对比!$G$2,英雄成长!$A:$A,0),MATCH(英雄对比!$G$3,英雄成长!$1:$1,0)+1)</f>
        <v>8.4</v>
      </c>
      <c r="E26" s="233"/>
      <c r="H26" s="54" t="s">
        <v>179</v>
      </c>
      <c r="I26" s="51">
        <f>MAX(VLOOKUP(INDEX(英雄装备!$F:$BZ,MATCH($H26,英雄装备!$F:$F,0),MATCH(I$2,英雄装备!$1:$1,0)-5),装备属性!$A:$C,3,0),VLOOKUP(INDEX(英雄装备!$F:$BZ,MATCH($H26,英雄装备!$F:$F,0),MATCH(I$2,英雄装备!$1:$1,0)-4),装备属性!$A:$C,3,0),VLOOKUP(INDEX(英雄装备!$F:$BZ,MATCH($H26,英雄装备!$F:$F,0),MATCH(I$2,英雄装备!$1:$1,0)-3),装备属性!$A:$C,3,0),VLOOKUP(INDEX(英雄装备!$F:$BZ,MATCH($H26,英雄装备!$F:$F,0),MATCH(I$2,英雄装备!$1:$1,0)-2),装备属性!$A:$C,3,0),VLOOKUP(INDEX(英雄装备!$F:$BZ,MATCH($H26,英雄装备!$F:$F,0),MATCH(I$2,英雄装备!$1:$1,0)-1),装备属性!$A:$C,3,0),VLOOKUP(INDEX(英雄装备!$F:$BZ,MATCH($H26,英雄装备!$F:$F,0),MATCH(I$2,英雄装备!$1:$1,0)),装备属性!$A:$C,3,0))</f>
        <v>2</v>
      </c>
      <c r="J26" s="51">
        <f>MAX(VLOOKUP(INDEX(英雄装备!$F:$BZ,MATCH($H26,英雄装备!$F:$F,0),MATCH(J$2,英雄装备!$1:$1,0)-5),装备属性!$A:$C,3,0),VLOOKUP(INDEX(英雄装备!$F:$BZ,MATCH($H26,英雄装备!$F:$F,0),MATCH(J$2,英雄装备!$1:$1,0)-4),装备属性!$A:$C,3,0),VLOOKUP(INDEX(英雄装备!$F:$BZ,MATCH($H26,英雄装备!$F:$F,0),MATCH(J$2,英雄装备!$1:$1,0)-3),装备属性!$A:$C,3,0),VLOOKUP(INDEX(英雄装备!$F:$BZ,MATCH($H26,英雄装备!$F:$F,0),MATCH(J$2,英雄装备!$1:$1,0)-2),装备属性!$A:$C,3,0),VLOOKUP(INDEX(英雄装备!$F:$BZ,MATCH($H26,英雄装备!$F:$F,0),MATCH(J$2,英雄装备!$1:$1,0)-1),装备属性!$A:$C,3,0),VLOOKUP(INDEX(英雄装备!$F:$BZ,MATCH($H26,英雄装备!$F:$F,0),MATCH(J$2,英雄装备!$1:$1,0)),装备属性!$A:$C,3,0))</f>
        <v>11</v>
      </c>
      <c r="K26" s="51">
        <f>MAX(VLOOKUP(INDEX(英雄装备!$F:$BZ,MATCH($H26,英雄装备!$F:$F,0),MATCH(K$2,英雄装备!$1:$1,0)-5),装备属性!$A:$C,3,0),VLOOKUP(INDEX(英雄装备!$F:$BZ,MATCH($H26,英雄装备!$F:$F,0),MATCH(K$2,英雄装备!$1:$1,0)-4),装备属性!$A:$C,3,0),VLOOKUP(INDEX(英雄装备!$F:$BZ,MATCH($H26,英雄装备!$F:$F,0),MATCH(K$2,英雄装备!$1:$1,0)-3),装备属性!$A:$C,3,0),VLOOKUP(INDEX(英雄装备!$F:$BZ,MATCH($H26,英雄装备!$F:$F,0),MATCH(K$2,英雄装备!$1:$1,0)-2),装备属性!$A:$C,3,0),VLOOKUP(INDEX(英雄装备!$F:$BZ,MATCH($H26,英雄装备!$F:$F,0),MATCH(K$2,英雄装备!$1:$1,0)-1),装备属性!$A:$C,3,0),VLOOKUP(INDEX(英雄装备!$F:$BZ,MATCH($H26,英雄装备!$F:$F,0),MATCH(K$2,英雄装备!$1:$1,0)),装备属性!$A:$C,3,0))</f>
        <v>26</v>
      </c>
      <c r="L26" s="51">
        <f>MAX(VLOOKUP(INDEX(英雄装备!$F:$BZ,MATCH($H26,英雄装备!$F:$F,0),MATCH(L$2,英雄装备!$1:$1,0)-5),装备属性!$A:$C,3,0),VLOOKUP(INDEX(英雄装备!$F:$BZ,MATCH($H26,英雄装备!$F:$F,0),MATCH(L$2,英雄装备!$1:$1,0)-4),装备属性!$A:$C,3,0),VLOOKUP(INDEX(英雄装备!$F:$BZ,MATCH($H26,英雄装备!$F:$F,0),MATCH(L$2,英雄装备!$1:$1,0)-3),装备属性!$A:$C,3,0),VLOOKUP(INDEX(英雄装备!$F:$BZ,MATCH($H26,英雄装备!$F:$F,0),MATCH(L$2,英雄装备!$1:$1,0)-2),装备属性!$A:$C,3,0),VLOOKUP(INDEX(英雄装备!$F:$BZ,MATCH($H26,英雄装备!$F:$F,0),MATCH(L$2,英雄装备!$1:$1,0)-1),装备属性!$A:$C,3,0),VLOOKUP(INDEX(英雄装备!$F:$BZ,MATCH($H26,英雄装备!$F:$F,0),MATCH(L$2,英雄装备!$1:$1,0)),装备属性!$A:$C,3,0))</f>
        <v>35</v>
      </c>
      <c r="M26" s="51">
        <f>MAX(VLOOKUP(INDEX(英雄装备!$F:$BZ,MATCH($H26,英雄装备!$F:$F,0),MATCH(M$2,英雄装备!$1:$1,0)-5),装备属性!$A:$C,3,0),VLOOKUP(INDEX(英雄装备!$F:$BZ,MATCH($H26,英雄装备!$F:$F,0),MATCH(M$2,英雄装备!$1:$1,0)-4),装备属性!$A:$C,3,0),VLOOKUP(INDEX(英雄装备!$F:$BZ,MATCH($H26,英雄装备!$F:$F,0),MATCH(M$2,英雄装备!$1:$1,0)-3),装备属性!$A:$C,3,0),VLOOKUP(INDEX(英雄装备!$F:$BZ,MATCH($H26,英雄装备!$F:$F,0),MATCH(M$2,英雄装备!$1:$1,0)-2),装备属性!$A:$C,3,0),VLOOKUP(INDEX(英雄装备!$F:$BZ,MATCH($H26,英雄装备!$F:$F,0),MATCH(M$2,英雄装备!$1:$1,0)-1),装备属性!$A:$C,3,0),VLOOKUP(INDEX(英雄装备!$F:$BZ,MATCH($H26,英雄装备!$F:$F,0),MATCH(M$2,英雄装备!$1:$1,0)),装备属性!$A:$C,3,0))</f>
        <v>44</v>
      </c>
      <c r="N26" s="51">
        <f>MAX(VLOOKUP(INDEX(英雄装备!$F:$BZ,MATCH($H26,英雄装备!$F:$F,0),MATCH(N$2,英雄装备!$1:$1,0)-5),装备属性!$A:$C,3,0),VLOOKUP(INDEX(英雄装备!$F:$BZ,MATCH($H26,英雄装备!$F:$F,0),MATCH(N$2,英雄装备!$1:$1,0)-4),装备属性!$A:$C,3,0),VLOOKUP(INDEX(英雄装备!$F:$BZ,MATCH($H26,英雄装备!$F:$F,0),MATCH(N$2,英雄装备!$1:$1,0)-3),装备属性!$A:$C,3,0),VLOOKUP(INDEX(英雄装备!$F:$BZ,MATCH($H26,英雄装备!$F:$F,0),MATCH(N$2,英雄装备!$1:$1,0)-2),装备属性!$A:$C,3,0),VLOOKUP(INDEX(英雄装备!$F:$BZ,MATCH($H26,英雄装备!$F:$F,0),MATCH(N$2,英雄装备!$1:$1,0)-1),装备属性!$A:$C,3,0),VLOOKUP(INDEX(英雄装备!$F:$BZ,MATCH($H26,英雄装备!$F:$F,0),MATCH(N$2,英雄装备!$1:$1,0)),装备属性!$A:$C,3,0))</f>
        <v>53</v>
      </c>
      <c r="O26" s="51">
        <f>MAX(VLOOKUP(INDEX(英雄装备!$F:$BZ,MATCH($H26,英雄装备!$F:$F,0),MATCH(O$2,英雄装备!$1:$1,0)-5),装备属性!$A:$C,3,0),VLOOKUP(INDEX(英雄装备!$F:$BZ,MATCH($H26,英雄装备!$F:$F,0),MATCH(O$2,英雄装备!$1:$1,0)-4),装备属性!$A:$C,3,0),VLOOKUP(INDEX(英雄装备!$F:$BZ,MATCH($H26,英雄装备!$F:$F,0),MATCH(O$2,英雄装备!$1:$1,0)-3),装备属性!$A:$C,3,0),VLOOKUP(INDEX(英雄装备!$F:$BZ,MATCH($H26,英雄装备!$F:$F,0),MATCH(O$2,英雄装备!$1:$1,0)-2),装备属性!$A:$C,3,0),VLOOKUP(INDEX(英雄装备!$F:$BZ,MATCH($H26,英雄装备!$F:$F,0),MATCH(O$2,英雄装备!$1:$1,0)-1),装备属性!$A:$C,3,0),VLOOKUP(INDEX(英雄装备!$F:$BZ,MATCH($H26,英雄装备!$F:$F,0),MATCH(O$2,英雄装备!$1:$1,0)),装备属性!$A:$C,3,0))</f>
        <v>64</v>
      </c>
      <c r="P26" s="51">
        <f>MAX(VLOOKUP(INDEX(英雄装备!$F:$BZ,MATCH($H26,英雄装备!$F:$F,0),MATCH(P$2,英雄装备!$1:$1,0)-5),装备属性!$A:$C,3,0),VLOOKUP(INDEX(英雄装备!$F:$BZ,MATCH($H26,英雄装备!$F:$F,0),MATCH(P$2,英雄装备!$1:$1,0)-4),装备属性!$A:$C,3,0),VLOOKUP(INDEX(英雄装备!$F:$BZ,MATCH($H26,英雄装备!$F:$F,0),MATCH(P$2,英雄装备!$1:$1,0)-3),装备属性!$A:$C,3,0),VLOOKUP(INDEX(英雄装备!$F:$BZ,MATCH($H26,英雄装备!$F:$F,0),MATCH(P$2,英雄装备!$1:$1,0)-2),装备属性!$A:$C,3,0),VLOOKUP(INDEX(英雄装备!$F:$BZ,MATCH($H26,英雄装备!$F:$F,0),MATCH(P$2,英雄装备!$1:$1,0)-1),装备属性!$A:$C,3,0),VLOOKUP(INDEX(英雄装备!$F:$BZ,MATCH($H26,英雄装备!$F:$F,0),MATCH(P$2,英雄装备!$1:$1,0)),装备属性!$A:$C,3,0))</f>
        <v>73</v>
      </c>
      <c r="Q26" s="51">
        <f>MAX(VLOOKUP(INDEX(英雄装备!$F:$BZ,MATCH($H26,英雄装备!$F:$F,0),MATCH(Q$2,英雄装备!$1:$1,0)-5),装备属性!$A:$C,3,0),VLOOKUP(INDEX(英雄装备!$F:$BZ,MATCH($H26,英雄装备!$F:$F,0),MATCH(Q$2,英雄装备!$1:$1,0)-4),装备属性!$A:$C,3,0),VLOOKUP(INDEX(英雄装备!$F:$BZ,MATCH($H26,英雄装备!$F:$F,0),MATCH(Q$2,英雄装备!$1:$1,0)-3),装备属性!$A:$C,3,0),VLOOKUP(INDEX(英雄装备!$F:$BZ,MATCH($H26,英雄装备!$F:$F,0),MATCH(Q$2,英雄装备!$1:$1,0)-2),装备属性!$A:$C,3,0),VLOOKUP(INDEX(英雄装备!$F:$BZ,MATCH($H26,英雄装备!$F:$F,0),MATCH(Q$2,英雄装备!$1:$1,0)-1),装备属性!$A:$C,3,0),VLOOKUP(INDEX(英雄装备!$F:$BZ,MATCH($H26,英雄装备!$F:$F,0),MATCH(Q$2,英雄装备!$1:$1,0)),装备属性!$A:$C,3,0))</f>
        <v>79</v>
      </c>
      <c r="R26" s="51">
        <f>MAX(VLOOKUP(INDEX(英雄装备!$F:$BZ,MATCH($H26,英雄装备!$F:$F,0),MATCH(R$2,英雄装备!$1:$1,0)-5),装备属性!$A:$C,3,0),VLOOKUP(INDEX(英雄装备!$F:$BZ,MATCH($H26,英雄装备!$F:$F,0),MATCH(R$2,英雄装备!$1:$1,0)-4),装备属性!$A:$C,3,0),VLOOKUP(INDEX(英雄装备!$F:$BZ,MATCH($H26,英雄装备!$F:$F,0),MATCH(R$2,英雄装备!$1:$1,0)-3),装备属性!$A:$C,3,0),VLOOKUP(INDEX(英雄装备!$F:$BZ,MATCH($H26,英雄装备!$F:$F,0),MATCH(R$2,英雄装备!$1:$1,0)-2),装备属性!$A:$C,3,0),VLOOKUP(INDEX(英雄装备!$F:$BZ,MATCH($H26,英雄装备!$F:$F,0),MATCH(R$2,英雄装备!$1:$1,0)-1),装备属性!$A:$C,3,0),VLOOKUP(INDEX(英雄装备!$F:$BZ,MATCH($H26,英雄装备!$F:$F,0),MATCH(R$2,英雄装备!$1:$1,0)),装备属性!$A:$C,3,0))</f>
        <v>80</v>
      </c>
      <c r="S26" s="51">
        <f>MAX(VLOOKUP(INDEX(英雄装备!$F:$BZ,MATCH($H26,英雄装备!$F:$F,0),MATCH(S$2,英雄装备!$1:$1,0)-5),装备属性!$A:$C,3,0),VLOOKUP(INDEX(英雄装备!$F:$BZ,MATCH($H26,英雄装备!$F:$F,0),MATCH(S$2,英雄装备!$1:$1,0)-4),装备属性!$A:$C,3,0),VLOOKUP(INDEX(英雄装备!$F:$BZ,MATCH($H26,英雄装备!$F:$F,0),MATCH(S$2,英雄装备!$1:$1,0)-3),装备属性!$A:$C,3,0),VLOOKUP(INDEX(英雄装备!$F:$BZ,MATCH($H26,英雄装备!$F:$F,0),MATCH(S$2,英雄装备!$1:$1,0)-2),装备属性!$A:$C,3,0),VLOOKUP(INDEX(英雄装备!$F:$BZ,MATCH($H26,英雄装备!$F:$F,0),MATCH(S$2,英雄装备!$1:$1,0)-1),装备属性!$A:$C,3,0),VLOOKUP(INDEX(英雄装备!$F:$BZ,MATCH($H26,英雄装备!$F:$F,0),MATCH(S$2,英雄装备!$1:$1,0)),装备属性!$A:$C,3,0))</f>
        <v>85</v>
      </c>
      <c r="T26" s="51">
        <f>MAX(VLOOKUP(INDEX(英雄装备!$F:$BZ,MATCH($H26,英雄装备!$F:$F,0),MATCH(T$2,英雄装备!$1:$1,0)-5),装备属性!$A:$C,3,0),VLOOKUP(INDEX(英雄装备!$F:$BZ,MATCH($H26,英雄装备!$F:$F,0),MATCH(T$2,英雄装备!$1:$1,0)-4),装备属性!$A:$C,3,0),VLOOKUP(INDEX(英雄装备!$F:$BZ,MATCH($H26,英雄装备!$F:$F,0),MATCH(T$2,英雄装备!$1:$1,0)-3),装备属性!$A:$C,3,0),VLOOKUP(INDEX(英雄装备!$F:$BZ,MATCH($H26,英雄装备!$F:$F,0),MATCH(T$2,英雄装备!$1:$1,0)-2),装备属性!$A:$C,3,0),VLOOKUP(INDEX(英雄装备!$F:$BZ,MATCH($H26,英雄装备!$F:$F,0),MATCH(T$2,英雄装备!$1:$1,0)-1),装备属性!$A:$C,3,0))</f>
        <v>89</v>
      </c>
      <c r="AF26" s="151">
        <v>1</v>
      </c>
      <c r="AG26" s="151" t="str">
        <f>AA1</f>
        <v>敏捷丝袜</v>
      </c>
      <c r="AH26" s="151">
        <f>VLOOKUP($AG26,装备属性!$A:$Y,5,0)</f>
        <v>0</v>
      </c>
      <c r="AI26" s="151">
        <f>VLOOKUP($AG26,装备属性!$A:$Y,6,0)</f>
        <v>3</v>
      </c>
      <c r="AJ26" s="151">
        <f>VLOOKUP($AG26,装备属性!$A:$Y,7,0)</f>
        <v>0</v>
      </c>
      <c r="AK26" s="151">
        <f>VLOOKUP($AG26,装备属性!$A:$Y,8,0)</f>
        <v>0</v>
      </c>
      <c r="AL26" s="151">
        <f>VLOOKUP($AG26,装备属性!$A:$Y,9,0)</f>
        <v>0</v>
      </c>
      <c r="AM26" s="151">
        <f>VLOOKUP($AG26,装备属性!$A:$Y,10,0)</f>
        <v>0</v>
      </c>
      <c r="AN26" s="151">
        <f>VLOOKUP($AG26,装备属性!$A:$Y,11,0)</f>
        <v>0</v>
      </c>
      <c r="AO26" s="151">
        <f>VLOOKUP($AG26,装备属性!$A:$Y,12,0)</f>
        <v>0</v>
      </c>
      <c r="AP26" s="151">
        <f>VLOOKUP($AG26,装备属性!$A:$Y,13,0)</f>
        <v>0</v>
      </c>
      <c r="AQ26" s="151">
        <f>VLOOKUP($AG26,装备属性!$A:$Y,14,0)</f>
        <v>0</v>
      </c>
      <c r="AR26" s="151">
        <f>VLOOKUP($AG26,装备属性!$A:$Y,15,0)</f>
        <v>0</v>
      </c>
      <c r="AS26" s="151">
        <f>VLOOKUP($AG26,装备属性!$A:$Y,16,0)</f>
        <v>0</v>
      </c>
      <c r="AT26" s="151">
        <f>VLOOKUP($AG26,装备属性!$A:$Y,17,0)</f>
        <v>0</v>
      </c>
      <c r="AU26" s="151">
        <f>VLOOKUP($AG26,装备属性!$A:$Y,18,0)</f>
        <v>0</v>
      </c>
      <c r="AV26" s="151">
        <f>VLOOKUP($AG26,装备属性!$A:$Y,19,0)</f>
        <v>0</v>
      </c>
      <c r="AW26" s="151">
        <f>VLOOKUP($AG26,装备属性!$A:$Y,20,0)</f>
        <v>0</v>
      </c>
      <c r="AX26" s="151">
        <f>VLOOKUP($AG26,装备属性!$A:$Y,21,0)</f>
        <v>0</v>
      </c>
      <c r="AY26" s="151">
        <f>VLOOKUP($AG26,装备属性!$A:$Y,22,0)</f>
        <v>0</v>
      </c>
      <c r="AZ26" s="151">
        <f>VLOOKUP($AG26,装备属性!$A:$Y,23,0)</f>
        <v>0</v>
      </c>
      <c r="BA26" s="151">
        <f>VLOOKUP($AG26,装备属性!$A:$Y,24,0)</f>
        <v>0</v>
      </c>
      <c r="BB26" s="151">
        <f>VLOOKUP($AG26,装备属性!$A:$Y,25,0)</f>
        <v>0</v>
      </c>
    </row>
    <row r="27" spans="2:54">
      <c r="B27" s="151" t="str">
        <f>英雄初始!A28</f>
        <v>月骑</v>
      </c>
      <c r="D27" s="151">
        <f>INDEX(英雄成长!$A:$Q,MATCH(英雄对比!$G$2,英雄成长!$A:$A,0),MATCH(英雄对比!$G$3,英雄成长!$1:$1,0)+2)</f>
        <v>3</v>
      </c>
      <c r="E27" s="233"/>
      <c r="H27" s="54" t="s">
        <v>180</v>
      </c>
      <c r="I27" s="51">
        <f>MAX(VLOOKUP(INDEX(英雄装备!$F:$BZ,MATCH($H27,英雄装备!$F:$F,0),MATCH(I$2,英雄装备!$1:$1,0)-5),装备属性!$A:$C,3,0),VLOOKUP(INDEX(英雄装备!$F:$BZ,MATCH($H27,英雄装备!$F:$F,0),MATCH(I$2,英雄装备!$1:$1,0)-4),装备属性!$A:$C,3,0),VLOOKUP(INDEX(英雄装备!$F:$BZ,MATCH($H27,英雄装备!$F:$F,0),MATCH(I$2,英雄装备!$1:$1,0)-3),装备属性!$A:$C,3,0),VLOOKUP(INDEX(英雄装备!$F:$BZ,MATCH($H27,英雄装备!$F:$F,0),MATCH(I$2,英雄装备!$1:$1,0)-2),装备属性!$A:$C,3,0),VLOOKUP(INDEX(英雄装备!$F:$BZ,MATCH($H27,英雄装备!$F:$F,0),MATCH(I$2,英雄装备!$1:$1,0)-1),装备属性!$A:$C,3,0),VLOOKUP(INDEX(英雄装备!$F:$BZ,MATCH($H27,英雄装备!$F:$F,0),MATCH(I$2,英雄装备!$1:$1,0)),装备属性!$A:$C,3,0))</f>
        <v>2</v>
      </c>
      <c r="J27" s="51">
        <f>MAX(VLOOKUP(INDEX(英雄装备!$F:$BZ,MATCH($H27,英雄装备!$F:$F,0),MATCH(J$2,英雄装备!$1:$1,0)-5),装备属性!$A:$C,3,0),VLOOKUP(INDEX(英雄装备!$F:$BZ,MATCH($H27,英雄装备!$F:$F,0),MATCH(J$2,英雄装备!$1:$1,0)-4),装备属性!$A:$C,3,0),VLOOKUP(INDEX(英雄装备!$F:$BZ,MATCH($H27,英雄装备!$F:$F,0),MATCH(J$2,英雄装备!$1:$1,0)-3),装备属性!$A:$C,3,0),VLOOKUP(INDEX(英雄装备!$F:$BZ,MATCH($H27,英雄装备!$F:$F,0),MATCH(J$2,英雄装备!$1:$1,0)-2),装备属性!$A:$C,3,0),VLOOKUP(INDEX(英雄装备!$F:$BZ,MATCH($H27,英雄装备!$F:$F,0),MATCH(J$2,英雄装备!$1:$1,0)-1),装备属性!$A:$C,3,0),VLOOKUP(INDEX(英雄装备!$F:$BZ,MATCH($H27,英雄装备!$F:$F,0),MATCH(J$2,英雄装备!$1:$1,0)),装备属性!$A:$C,3,0))</f>
        <v>10</v>
      </c>
      <c r="K27" s="51">
        <f>MAX(VLOOKUP(INDEX(英雄装备!$F:$BZ,MATCH($H27,英雄装备!$F:$F,0),MATCH(K$2,英雄装备!$1:$1,0)-5),装备属性!$A:$C,3,0),VLOOKUP(INDEX(英雄装备!$F:$BZ,MATCH($H27,英雄装备!$F:$F,0),MATCH(K$2,英雄装备!$1:$1,0)-4),装备属性!$A:$C,3,0),VLOOKUP(INDEX(英雄装备!$F:$BZ,MATCH($H27,英雄装备!$F:$F,0),MATCH(K$2,英雄装备!$1:$1,0)-3),装备属性!$A:$C,3,0),VLOOKUP(INDEX(英雄装备!$F:$BZ,MATCH($H27,英雄装备!$F:$F,0),MATCH(K$2,英雄装备!$1:$1,0)-2),装备属性!$A:$C,3,0),VLOOKUP(INDEX(英雄装备!$F:$BZ,MATCH($H27,英雄装备!$F:$F,0),MATCH(K$2,英雄装备!$1:$1,0)-1),装备属性!$A:$C,3,0),VLOOKUP(INDEX(英雄装备!$F:$BZ,MATCH($H27,英雄装备!$F:$F,0),MATCH(K$2,英雄装备!$1:$1,0)),装备属性!$A:$C,3,0))</f>
        <v>20</v>
      </c>
      <c r="L27" s="51">
        <f>MAX(VLOOKUP(INDEX(英雄装备!$F:$BZ,MATCH($H27,英雄装备!$F:$F,0),MATCH(L$2,英雄装备!$1:$1,0)-5),装备属性!$A:$C,3,0),VLOOKUP(INDEX(英雄装备!$F:$BZ,MATCH($H27,英雄装备!$F:$F,0),MATCH(L$2,英雄装备!$1:$1,0)-4),装备属性!$A:$C,3,0),VLOOKUP(INDEX(英雄装备!$F:$BZ,MATCH($H27,英雄装备!$F:$F,0),MATCH(L$2,英雄装备!$1:$1,0)-3),装备属性!$A:$C,3,0),VLOOKUP(INDEX(英雄装备!$F:$BZ,MATCH($H27,英雄装备!$F:$F,0),MATCH(L$2,英雄装备!$1:$1,0)-2),装备属性!$A:$C,3,0),VLOOKUP(INDEX(英雄装备!$F:$BZ,MATCH($H27,英雄装备!$F:$F,0),MATCH(L$2,英雄装备!$1:$1,0)-1),装备属性!$A:$C,3,0),VLOOKUP(INDEX(英雄装备!$F:$BZ,MATCH($H27,英雄装备!$F:$F,0),MATCH(L$2,英雄装备!$1:$1,0)),装备属性!$A:$C,3,0))</f>
        <v>35</v>
      </c>
      <c r="M27" s="51">
        <f>MAX(VLOOKUP(INDEX(英雄装备!$F:$BZ,MATCH($H27,英雄装备!$F:$F,0),MATCH(M$2,英雄装备!$1:$1,0)-5),装备属性!$A:$C,3,0),VLOOKUP(INDEX(英雄装备!$F:$BZ,MATCH($H27,英雄装备!$F:$F,0),MATCH(M$2,英雄装备!$1:$1,0)-4),装备属性!$A:$C,3,0),VLOOKUP(INDEX(英雄装备!$F:$BZ,MATCH($H27,英雄装备!$F:$F,0),MATCH(M$2,英雄装备!$1:$1,0)-3),装备属性!$A:$C,3,0),VLOOKUP(INDEX(英雄装备!$F:$BZ,MATCH($H27,英雄装备!$F:$F,0),MATCH(M$2,英雄装备!$1:$1,0)-2),装备属性!$A:$C,3,0),VLOOKUP(INDEX(英雄装备!$F:$BZ,MATCH($H27,英雄装备!$F:$F,0),MATCH(M$2,英雄装备!$1:$1,0)-1),装备属性!$A:$C,3,0),VLOOKUP(INDEX(英雄装备!$F:$BZ,MATCH($H27,英雄装备!$F:$F,0),MATCH(M$2,英雄装备!$1:$1,0)),装备属性!$A:$C,3,0))</f>
        <v>44</v>
      </c>
      <c r="N27" s="51">
        <f>MAX(VLOOKUP(INDEX(英雄装备!$F:$BZ,MATCH($H27,英雄装备!$F:$F,0),MATCH(N$2,英雄装备!$1:$1,0)-5),装备属性!$A:$C,3,0),VLOOKUP(INDEX(英雄装备!$F:$BZ,MATCH($H27,英雄装备!$F:$F,0),MATCH(N$2,英雄装备!$1:$1,0)-4),装备属性!$A:$C,3,0),VLOOKUP(INDEX(英雄装备!$F:$BZ,MATCH($H27,英雄装备!$F:$F,0),MATCH(N$2,英雄装备!$1:$1,0)-3),装备属性!$A:$C,3,0),VLOOKUP(INDEX(英雄装备!$F:$BZ,MATCH($H27,英雄装备!$F:$F,0),MATCH(N$2,英雄装备!$1:$1,0)-2),装备属性!$A:$C,3,0),VLOOKUP(INDEX(英雄装备!$F:$BZ,MATCH($H27,英雄装备!$F:$F,0),MATCH(N$2,英雄装备!$1:$1,0)-1),装备属性!$A:$C,3,0),VLOOKUP(INDEX(英雄装备!$F:$BZ,MATCH($H27,英雄装备!$F:$F,0),MATCH(N$2,英雄装备!$1:$1,0)),装备属性!$A:$C,3,0))</f>
        <v>53</v>
      </c>
      <c r="O27" s="51">
        <f>MAX(VLOOKUP(INDEX(英雄装备!$F:$BZ,MATCH($H27,英雄装备!$F:$F,0),MATCH(O$2,英雄装备!$1:$1,0)-5),装备属性!$A:$C,3,0),VLOOKUP(INDEX(英雄装备!$F:$BZ,MATCH($H27,英雄装备!$F:$F,0),MATCH(O$2,英雄装备!$1:$1,0)-4),装备属性!$A:$C,3,0),VLOOKUP(INDEX(英雄装备!$F:$BZ,MATCH($H27,英雄装备!$F:$F,0),MATCH(O$2,英雄装备!$1:$1,0)-3),装备属性!$A:$C,3,0),VLOOKUP(INDEX(英雄装备!$F:$BZ,MATCH($H27,英雄装备!$F:$F,0),MATCH(O$2,英雄装备!$1:$1,0)-2),装备属性!$A:$C,3,0),VLOOKUP(INDEX(英雄装备!$F:$BZ,MATCH($H27,英雄装备!$F:$F,0),MATCH(O$2,英雄装备!$1:$1,0)-1),装备属性!$A:$C,3,0),VLOOKUP(INDEX(英雄装备!$F:$BZ,MATCH($H27,英雄装备!$F:$F,0),MATCH(O$2,英雄装备!$1:$1,0)),装备属性!$A:$C,3,0))</f>
        <v>64</v>
      </c>
      <c r="P27" s="51">
        <f>MAX(VLOOKUP(INDEX(英雄装备!$F:$BZ,MATCH($H27,英雄装备!$F:$F,0),MATCH(P$2,英雄装备!$1:$1,0)-5),装备属性!$A:$C,3,0),VLOOKUP(INDEX(英雄装备!$F:$BZ,MATCH($H27,英雄装备!$F:$F,0),MATCH(P$2,英雄装备!$1:$1,0)-4),装备属性!$A:$C,3,0),VLOOKUP(INDEX(英雄装备!$F:$BZ,MATCH($H27,英雄装备!$F:$F,0),MATCH(P$2,英雄装备!$1:$1,0)-3),装备属性!$A:$C,3,0),VLOOKUP(INDEX(英雄装备!$F:$BZ,MATCH($H27,英雄装备!$F:$F,0),MATCH(P$2,英雄装备!$1:$1,0)-2),装备属性!$A:$C,3,0),VLOOKUP(INDEX(英雄装备!$F:$BZ,MATCH($H27,英雄装备!$F:$F,0),MATCH(P$2,英雄装备!$1:$1,0)-1),装备属性!$A:$C,3,0),VLOOKUP(INDEX(英雄装备!$F:$BZ,MATCH($H27,英雄装备!$F:$F,0),MATCH(P$2,英雄装备!$1:$1,0)),装备属性!$A:$C,3,0))</f>
        <v>73</v>
      </c>
      <c r="Q27" s="51">
        <f>MAX(VLOOKUP(INDEX(英雄装备!$F:$BZ,MATCH($H27,英雄装备!$F:$F,0),MATCH(Q$2,英雄装备!$1:$1,0)-5),装备属性!$A:$C,3,0),VLOOKUP(INDEX(英雄装备!$F:$BZ,MATCH($H27,英雄装备!$F:$F,0),MATCH(Q$2,英雄装备!$1:$1,0)-4),装备属性!$A:$C,3,0),VLOOKUP(INDEX(英雄装备!$F:$BZ,MATCH($H27,英雄装备!$F:$F,0),MATCH(Q$2,英雄装备!$1:$1,0)-3),装备属性!$A:$C,3,0),VLOOKUP(INDEX(英雄装备!$F:$BZ,MATCH($H27,英雄装备!$F:$F,0),MATCH(Q$2,英雄装备!$1:$1,0)-2),装备属性!$A:$C,3,0),VLOOKUP(INDEX(英雄装备!$F:$BZ,MATCH($H27,英雄装备!$F:$F,0),MATCH(Q$2,英雄装备!$1:$1,0)-1),装备属性!$A:$C,3,0),VLOOKUP(INDEX(英雄装备!$F:$BZ,MATCH($H27,英雄装备!$F:$F,0),MATCH(Q$2,英雄装备!$1:$1,0)),装备属性!$A:$C,3,0))</f>
        <v>79</v>
      </c>
      <c r="R27" s="51">
        <f>MAX(VLOOKUP(INDEX(英雄装备!$F:$BZ,MATCH($H27,英雄装备!$F:$F,0),MATCH(R$2,英雄装备!$1:$1,0)-5),装备属性!$A:$C,3,0),VLOOKUP(INDEX(英雄装备!$F:$BZ,MATCH($H27,英雄装备!$F:$F,0),MATCH(R$2,英雄装备!$1:$1,0)-4),装备属性!$A:$C,3,0),VLOOKUP(INDEX(英雄装备!$F:$BZ,MATCH($H27,英雄装备!$F:$F,0),MATCH(R$2,英雄装备!$1:$1,0)-3),装备属性!$A:$C,3,0),VLOOKUP(INDEX(英雄装备!$F:$BZ,MATCH($H27,英雄装备!$F:$F,0),MATCH(R$2,英雄装备!$1:$1,0)-2),装备属性!$A:$C,3,0),VLOOKUP(INDEX(英雄装备!$F:$BZ,MATCH($H27,英雄装备!$F:$F,0),MATCH(R$2,英雄装备!$1:$1,0)-1),装备属性!$A:$C,3,0),VLOOKUP(INDEX(英雄装备!$F:$BZ,MATCH($H27,英雄装备!$F:$F,0),MATCH(R$2,英雄装备!$1:$1,0)),装备属性!$A:$C,3,0))</f>
        <v>80</v>
      </c>
      <c r="S27" s="51">
        <f>MAX(VLOOKUP(INDEX(英雄装备!$F:$BZ,MATCH($H27,英雄装备!$F:$F,0),MATCH(S$2,英雄装备!$1:$1,0)-5),装备属性!$A:$C,3,0),VLOOKUP(INDEX(英雄装备!$F:$BZ,MATCH($H27,英雄装备!$F:$F,0),MATCH(S$2,英雄装备!$1:$1,0)-4),装备属性!$A:$C,3,0),VLOOKUP(INDEX(英雄装备!$F:$BZ,MATCH($H27,英雄装备!$F:$F,0),MATCH(S$2,英雄装备!$1:$1,0)-3),装备属性!$A:$C,3,0),VLOOKUP(INDEX(英雄装备!$F:$BZ,MATCH($H27,英雄装备!$F:$F,0),MATCH(S$2,英雄装备!$1:$1,0)-2),装备属性!$A:$C,3,0),VLOOKUP(INDEX(英雄装备!$F:$BZ,MATCH($H27,英雄装备!$F:$F,0),MATCH(S$2,英雄装备!$1:$1,0)-1),装备属性!$A:$C,3,0),VLOOKUP(INDEX(英雄装备!$F:$BZ,MATCH($H27,英雄装备!$F:$F,0),MATCH(S$2,英雄装备!$1:$1,0)),装备属性!$A:$C,3,0))</f>
        <v>84</v>
      </c>
      <c r="T27" s="51">
        <f>MAX(VLOOKUP(INDEX(英雄装备!$F:$BZ,MATCH($H27,英雄装备!$F:$F,0),MATCH(T$2,英雄装备!$1:$1,0)-5),装备属性!$A:$C,3,0),VLOOKUP(INDEX(英雄装备!$F:$BZ,MATCH($H27,英雄装备!$F:$F,0),MATCH(T$2,英雄装备!$1:$1,0)-4),装备属性!$A:$C,3,0),VLOOKUP(INDEX(英雄装备!$F:$BZ,MATCH($H27,英雄装备!$F:$F,0),MATCH(T$2,英雄装备!$1:$1,0)-3),装备属性!$A:$C,3,0),VLOOKUP(INDEX(英雄装备!$F:$BZ,MATCH($H27,英雄装备!$F:$F,0),MATCH(T$2,英雄装备!$1:$1,0)-2),装备属性!$A:$C,3,0),VLOOKUP(INDEX(英雄装备!$F:$BZ,MATCH($H27,英雄装备!$F:$F,0),MATCH(T$2,英雄装备!$1:$1,0)-1),装备属性!$A:$C,3,0))</f>
        <v>89</v>
      </c>
      <c r="X27" s="151" t="b">
        <f t="shared" ref="X27:AC38" si="4">AND($W14,X14)</f>
        <v>1</v>
      </c>
      <c r="Y27" s="151" t="b">
        <f t="shared" si="4"/>
        <v>1</v>
      </c>
      <c r="Z27" s="151" t="b">
        <f t="shared" si="4"/>
        <v>1</v>
      </c>
      <c r="AA27" s="151" t="b">
        <f t="shared" si="4"/>
        <v>1</v>
      </c>
      <c r="AB27" s="151" t="b">
        <f t="shared" si="4"/>
        <v>1</v>
      </c>
      <c r="AC27" s="151" t="b">
        <f t="shared" si="4"/>
        <v>1</v>
      </c>
      <c r="AF27" s="151">
        <v>1</v>
      </c>
      <c r="AG27" s="151" t="str">
        <f>AB1</f>
        <v>防御指环</v>
      </c>
      <c r="AH27" s="151">
        <f>VLOOKUP($AG27,装备属性!$A:$Y,5,0)</f>
        <v>0</v>
      </c>
      <c r="AI27" s="151">
        <f>VLOOKUP($AG27,装备属性!$A:$Y,6,0)</f>
        <v>0</v>
      </c>
      <c r="AJ27" s="151">
        <f>VLOOKUP($AG27,装备属性!$A:$Y,7,0)</f>
        <v>0</v>
      </c>
      <c r="AK27" s="151">
        <f>VLOOKUP($AG27,装备属性!$A:$Y,8,0)</f>
        <v>0</v>
      </c>
      <c r="AL27" s="151">
        <f>VLOOKUP($AG27,装备属性!$A:$Y,9,0)</f>
        <v>0</v>
      </c>
      <c r="AM27" s="151">
        <f>VLOOKUP($AG27,装备属性!$A:$Y,10,0)</f>
        <v>0</v>
      </c>
      <c r="AN27" s="151">
        <f>VLOOKUP($AG27,装备属性!$A:$Y,11,0)</f>
        <v>2</v>
      </c>
      <c r="AO27" s="151">
        <f>VLOOKUP($AG27,装备属性!$A:$Y,12,0)</f>
        <v>0</v>
      </c>
      <c r="AP27" s="151">
        <f>VLOOKUP($AG27,装备属性!$A:$Y,13,0)</f>
        <v>0</v>
      </c>
      <c r="AQ27" s="151">
        <f>VLOOKUP($AG27,装备属性!$A:$Y,14,0)</f>
        <v>0</v>
      </c>
      <c r="AR27" s="151">
        <f>VLOOKUP($AG27,装备属性!$A:$Y,15,0)</f>
        <v>0</v>
      </c>
      <c r="AS27" s="151">
        <f>VLOOKUP($AG27,装备属性!$A:$Y,16,0)</f>
        <v>0</v>
      </c>
      <c r="AT27" s="151">
        <f>VLOOKUP($AG27,装备属性!$A:$Y,17,0)</f>
        <v>0</v>
      </c>
      <c r="AU27" s="151">
        <f>VLOOKUP($AG27,装备属性!$A:$Y,18,0)</f>
        <v>0</v>
      </c>
      <c r="AV27" s="151">
        <f>VLOOKUP($AG27,装备属性!$A:$Y,19,0)</f>
        <v>0</v>
      </c>
      <c r="AW27" s="151">
        <f>VLOOKUP($AG27,装备属性!$A:$Y,20,0)</f>
        <v>0</v>
      </c>
      <c r="AX27" s="151">
        <f>VLOOKUP($AG27,装备属性!$A:$Y,21,0)</f>
        <v>0</v>
      </c>
      <c r="AY27" s="151">
        <f>VLOOKUP($AG27,装备属性!$A:$Y,22,0)</f>
        <v>0</v>
      </c>
      <c r="AZ27" s="151">
        <f>VLOOKUP($AG27,装备属性!$A:$Y,23,0)</f>
        <v>0</v>
      </c>
      <c r="BA27" s="151">
        <f>VLOOKUP($AG27,装备属性!$A:$Y,24,0)</f>
        <v>0</v>
      </c>
      <c r="BB27" s="151">
        <f>VLOOKUP($AG27,装备属性!$A:$Y,25,0)</f>
        <v>0</v>
      </c>
    </row>
    <row r="28" spans="2:54">
      <c r="B28" s="151" t="str">
        <f>英雄初始!A29</f>
        <v>暗牧</v>
      </c>
      <c r="E28" s="233"/>
      <c r="H28" s="54" t="s">
        <v>181</v>
      </c>
      <c r="I28" s="51">
        <f>MAX(VLOOKUP(INDEX(英雄装备!$F:$BZ,MATCH($H28,英雄装备!$F:$F,0),MATCH(I$2,英雄装备!$1:$1,0)-5),装备属性!$A:$C,3,0),VLOOKUP(INDEX(英雄装备!$F:$BZ,MATCH($H28,英雄装备!$F:$F,0),MATCH(I$2,英雄装备!$1:$1,0)-4),装备属性!$A:$C,3,0),VLOOKUP(INDEX(英雄装备!$F:$BZ,MATCH($H28,英雄装备!$F:$F,0),MATCH(I$2,英雄装备!$1:$1,0)-3),装备属性!$A:$C,3,0),VLOOKUP(INDEX(英雄装备!$F:$BZ,MATCH($H28,英雄装备!$F:$F,0),MATCH(I$2,英雄装备!$1:$1,0)-2),装备属性!$A:$C,3,0),VLOOKUP(INDEX(英雄装备!$F:$BZ,MATCH($H28,英雄装备!$F:$F,0),MATCH(I$2,英雄装备!$1:$1,0)-1),装备属性!$A:$C,3,0),VLOOKUP(INDEX(英雄装备!$F:$BZ,MATCH($H28,英雄装备!$F:$F,0),MATCH(I$2,英雄装备!$1:$1,0)),装备属性!$A:$C,3,0))</f>
        <v>2</v>
      </c>
      <c r="J28" s="51">
        <f>MAX(VLOOKUP(INDEX(英雄装备!$F:$BZ,MATCH($H28,英雄装备!$F:$F,0),MATCH(J$2,英雄装备!$1:$1,0)-5),装备属性!$A:$C,3,0),VLOOKUP(INDEX(英雄装备!$F:$BZ,MATCH($H28,英雄装备!$F:$F,0),MATCH(J$2,英雄装备!$1:$1,0)-4),装备属性!$A:$C,3,0),VLOOKUP(INDEX(英雄装备!$F:$BZ,MATCH($H28,英雄装备!$F:$F,0),MATCH(J$2,英雄装备!$1:$1,0)-3),装备属性!$A:$C,3,0),VLOOKUP(INDEX(英雄装备!$F:$BZ,MATCH($H28,英雄装备!$F:$F,0),MATCH(J$2,英雄装备!$1:$1,0)-2),装备属性!$A:$C,3,0),VLOOKUP(INDEX(英雄装备!$F:$BZ,MATCH($H28,英雄装备!$F:$F,0),MATCH(J$2,英雄装备!$1:$1,0)-1),装备属性!$A:$C,3,0),VLOOKUP(INDEX(英雄装备!$F:$BZ,MATCH($H28,英雄装备!$F:$F,0),MATCH(J$2,英雄装备!$1:$1,0)),装备属性!$A:$C,3,0))</f>
        <v>10</v>
      </c>
      <c r="K28" s="51">
        <f>MAX(VLOOKUP(INDEX(英雄装备!$F:$BZ,MATCH($H28,英雄装备!$F:$F,0),MATCH(K$2,英雄装备!$1:$1,0)-5),装备属性!$A:$C,3,0),VLOOKUP(INDEX(英雄装备!$F:$BZ,MATCH($H28,英雄装备!$F:$F,0),MATCH(K$2,英雄装备!$1:$1,0)-4),装备属性!$A:$C,3,0),VLOOKUP(INDEX(英雄装备!$F:$BZ,MATCH($H28,英雄装备!$F:$F,0),MATCH(K$2,英雄装备!$1:$1,0)-3),装备属性!$A:$C,3,0),VLOOKUP(INDEX(英雄装备!$F:$BZ,MATCH($H28,英雄装备!$F:$F,0),MATCH(K$2,英雄装备!$1:$1,0)-2),装备属性!$A:$C,3,0),VLOOKUP(INDEX(英雄装备!$F:$BZ,MATCH($H28,英雄装备!$F:$F,0),MATCH(K$2,英雄装备!$1:$1,0)-1),装备属性!$A:$C,3,0),VLOOKUP(INDEX(英雄装备!$F:$BZ,MATCH($H28,英雄装备!$F:$F,0),MATCH(K$2,英雄装备!$1:$1,0)),装备属性!$A:$C,3,0))</f>
        <v>24</v>
      </c>
      <c r="L28" s="51">
        <f>MAX(VLOOKUP(INDEX(英雄装备!$F:$BZ,MATCH($H28,英雄装备!$F:$F,0),MATCH(L$2,英雄装备!$1:$1,0)-5),装备属性!$A:$C,3,0),VLOOKUP(INDEX(英雄装备!$F:$BZ,MATCH($H28,英雄装备!$F:$F,0),MATCH(L$2,英雄装备!$1:$1,0)-4),装备属性!$A:$C,3,0),VLOOKUP(INDEX(英雄装备!$F:$BZ,MATCH($H28,英雄装备!$F:$F,0),MATCH(L$2,英雄装备!$1:$1,0)-3),装备属性!$A:$C,3,0),VLOOKUP(INDEX(英雄装备!$F:$BZ,MATCH($H28,英雄装备!$F:$F,0),MATCH(L$2,英雄装备!$1:$1,0)-2),装备属性!$A:$C,3,0),VLOOKUP(INDEX(英雄装备!$F:$BZ,MATCH($H28,英雄装备!$F:$F,0),MATCH(L$2,英雄装备!$1:$1,0)-1),装备属性!$A:$C,3,0),VLOOKUP(INDEX(英雄装备!$F:$BZ,MATCH($H28,英雄装备!$F:$F,0),MATCH(L$2,英雄装备!$1:$1,0)),装备属性!$A:$C,3,0))</f>
        <v>34</v>
      </c>
      <c r="M28" s="51">
        <f>MAX(VLOOKUP(INDEX(英雄装备!$F:$BZ,MATCH($H28,英雄装备!$F:$F,0),MATCH(M$2,英雄装备!$1:$1,0)-5),装备属性!$A:$C,3,0),VLOOKUP(INDEX(英雄装备!$F:$BZ,MATCH($H28,英雄装备!$F:$F,0),MATCH(M$2,英雄装备!$1:$1,0)-4),装备属性!$A:$C,3,0),VLOOKUP(INDEX(英雄装备!$F:$BZ,MATCH($H28,英雄装备!$F:$F,0),MATCH(M$2,英雄装备!$1:$1,0)-3),装备属性!$A:$C,3,0),VLOOKUP(INDEX(英雄装备!$F:$BZ,MATCH($H28,英雄装备!$F:$F,0),MATCH(M$2,英雄装备!$1:$1,0)-2),装备属性!$A:$C,3,0),VLOOKUP(INDEX(英雄装备!$F:$BZ,MATCH($H28,英雄装备!$F:$F,0),MATCH(M$2,英雄装备!$1:$1,0)-1),装备属性!$A:$C,3,0),VLOOKUP(INDEX(英雄装备!$F:$BZ,MATCH($H28,英雄装备!$F:$F,0),MATCH(M$2,英雄装备!$1:$1,0)),装备属性!$A:$C,3,0))</f>
        <v>44</v>
      </c>
      <c r="N28" s="51">
        <f>MAX(VLOOKUP(INDEX(英雄装备!$F:$BZ,MATCH($H28,英雄装备!$F:$F,0),MATCH(N$2,英雄装备!$1:$1,0)-5),装备属性!$A:$C,3,0),VLOOKUP(INDEX(英雄装备!$F:$BZ,MATCH($H28,英雄装备!$F:$F,0),MATCH(N$2,英雄装备!$1:$1,0)-4),装备属性!$A:$C,3,0),VLOOKUP(INDEX(英雄装备!$F:$BZ,MATCH($H28,英雄装备!$F:$F,0),MATCH(N$2,英雄装备!$1:$1,0)-3),装备属性!$A:$C,3,0),VLOOKUP(INDEX(英雄装备!$F:$BZ,MATCH($H28,英雄装备!$F:$F,0),MATCH(N$2,英雄装备!$1:$1,0)-2),装备属性!$A:$C,3,0),VLOOKUP(INDEX(英雄装备!$F:$BZ,MATCH($H28,英雄装备!$F:$F,0),MATCH(N$2,英雄装备!$1:$1,0)-1),装备属性!$A:$C,3,0),VLOOKUP(INDEX(英雄装备!$F:$BZ,MATCH($H28,英雄装备!$F:$F,0),MATCH(N$2,英雄装备!$1:$1,0)),装备属性!$A:$C,3,0))</f>
        <v>53</v>
      </c>
      <c r="O28" s="51">
        <f>MAX(VLOOKUP(INDEX(英雄装备!$F:$BZ,MATCH($H28,英雄装备!$F:$F,0),MATCH(O$2,英雄装备!$1:$1,0)-5),装备属性!$A:$C,3,0),VLOOKUP(INDEX(英雄装备!$F:$BZ,MATCH($H28,英雄装备!$F:$F,0),MATCH(O$2,英雄装备!$1:$1,0)-4),装备属性!$A:$C,3,0),VLOOKUP(INDEX(英雄装备!$F:$BZ,MATCH($H28,英雄装备!$F:$F,0),MATCH(O$2,英雄装备!$1:$1,0)-3),装备属性!$A:$C,3,0),VLOOKUP(INDEX(英雄装备!$F:$BZ,MATCH($H28,英雄装备!$F:$F,0),MATCH(O$2,英雄装备!$1:$1,0)-2),装备属性!$A:$C,3,0),VLOOKUP(INDEX(英雄装备!$F:$BZ,MATCH($H28,英雄装备!$F:$F,0),MATCH(O$2,英雄装备!$1:$1,0)-1),装备属性!$A:$C,3,0),VLOOKUP(INDEX(英雄装备!$F:$BZ,MATCH($H28,英雄装备!$F:$F,0),MATCH(O$2,英雄装备!$1:$1,0)),装备属性!$A:$C,3,0))</f>
        <v>62</v>
      </c>
      <c r="P28" s="51">
        <f>MAX(VLOOKUP(INDEX(英雄装备!$F:$BZ,MATCH($H28,英雄装备!$F:$F,0),MATCH(P$2,英雄装备!$1:$1,0)-5),装备属性!$A:$C,3,0),VLOOKUP(INDEX(英雄装备!$F:$BZ,MATCH($H28,英雄装备!$F:$F,0),MATCH(P$2,英雄装备!$1:$1,0)-4),装备属性!$A:$C,3,0),VLOOKUP(INDEX(英雄装备!$F:$BZ,MATCH($H28,英雄装备!$F:$F,0),MATCH(P$2,英雄装备!$1:$1,0)-3),装备属性!$A:$C,3,0),VLOOKUP(INDEX(英雄装备!$F:$BZ,MATCH($H28,英雄装备!$F:$F,0),MATCH(P$2,英雄装备!$1:$1,0)-2),装备属性!$A:$C,3,0),VLOOKUP(INDEX(英雄装备!$F:$BZ,MATCH($H28,英雄装备!$F:$F,0),MATCH(P$2,英雄装备!$1:$1,0)-1),装备属性!$A:$C,3,0),VLOOKUP(INDEX(英雄装备!$F:$BZ,MATCH($H28,英雄装备!$F:$F,0),MATCH(P$2,英雄装备!$1:$1,0)),装备属性!$A:$C,3,0))</f>
        <v>73</v>
      </c>
      <c r="Q28" s="51">
        <f>MAX(VLOOKUP(INDEX(英雄装备!$F:$BZ,MATCH($H28,英雄装备!$F:$F,0),MATCH(Q$2,英雄装备!$1:$1,0)-5),装备属性!$A:$C,3,0),VLOOKUP(INDEX(英雄装备!$F:$BZ,MATCH($H28,英雄装备!$F:$F,0),MATCH(Q$2,英雄装备!$1:$1,0)-4),装备属性!$A:$C,3,0),VLOOKUP(INDEX(英雄装备!$F:$BZ,MATCH($H28,英雄装备!$F:$F,0),MATCH(Q$2,英雄装备!$1:$1,0)-3),装备属性!$A:$C,3,0),VLOOKUP(INDEX(英雄装备!$F:$BZ,MATCH($H28,英雄装备!$F:$F,0),MATCH(Q$2,英雄装备!$1:$1,0)-2),装备属性!$A:$C,3,0),VLOOKUP(INDEX(英雄装备!$F:$BZ,MATCH($H28,英雄装备!$F:$F,0),MATCH(Q$2,英雄装备!$1:$1,0)-1),装备属性!$A:$C,3,0),VLOOKUP(INDEX(英雄装备!$F:$BZ,MATCH($H28,英雄装备!$F:$F,0),MATCH(Q$2,英雄装备!$1:$1,0)),装备属性!$A:$C,3,0))</f>
        <v>80</v>
      </c>
      <c r="R28" s="51">
        <f>MAX(VLOOKUP(INDEX(英雄装备!$F:$BZ,MATCH($H28,英雄装备!$F:$F,0),MATCH(R$2,英雄装备!$1:$1,0)-5),装备属性!$A:$C,3,0),VLOOKUP(INDEX(英雄装备!$F:$BZ,MATCH($H28,英雄装备!$F:$F,0),MATCH(R$2,英雄装备!$1:$1,0)-4),装备属性!$A:$C,3,0),VLOOKUP(INDEX(英雄装备!$F:$BZ,MATCH($H28,英雄装备!$F:$F,0),MATCH(R$2,英雄装备!$1:$1,0)-3),装备属性!$A:$C,3,0),VLOOKUP(INDEX(英雄装备!$F:$BZ,MATCH($H28,英雄装备!$F:$F,0),MATCH(R$2,英雄装备!$1:$1,0)-2),装备属性!$A:$C,3,0),VLOOKUP(INDEX(英雄装备!$F:$BZ,MATCH($H28,英雄装备!$F:$F,0),MATCH(R$2,英雄装备!$1:$1,0)-1),装备属性!$A:$C,3,0),VLOOKUP(INDEX(英雄装备!$F:$BZ,MATCH($H28,英雄装备!$F:$F,0),MATCH(R$2,英雄装备!$1:$1,0)),装备属性!$A:$C,3,0))</f>
        <v>79</v>
      </c>
      <c r="S28" s="51">
        <f>MAX(VLOOKUP(INDEX(英雄装备!$F:$BZ,MATCH($H28,英雄装备!$F:$F,0),MATCH(S$2,英雄装备!$1:$1,0)-5),装备属性!$A:$C,3,0),VLOOKUP(INDEX(英雄装备!$F:$BZ,MATCH($H28,英雄装备!$F:$F,0),MATCH(S$2,英雄装备!$1:$1,0)-4),装备属性!$A:$C,3,0),VLOOKUP(INDEX(英雄装备!$F:$BZ,MATCH($H28,英雄装备!$F:$F,0),MATCH(S$2,英雄装备!$1:$1,0)-3),装备属性!$A:$C,3,0),VLOOKUP(INDEX(英雄装备!$F:$BZ,MATCH($H28,英雄装备!$F:$F,0),MATCH(S$2,英雄装备!$1:$1,0)-2),装备属性!$A:$C,3,0),VLOOKUP(INDEX(英雄装备!$F:$BZ,MATCH($H28,英雄装备!$F:$F,0),MATCH(S$2,英雄装备!$1:$1,0)-1),装备属性!$A:$C,3,0),VLOOKUP(INDEX(英雄装备!$F:$BZ,MATCH($H28,英雄装备!$F:$F,0),MATCH(S$2,英雄装备!$1:$1,0)),装备属性!$A:$C,3,0))</f>
        <v>84</v>
      </c>
      <c r="T28" s="51">
        <f>MAX(VLOOKUP(INDEX(英雄装备!$F:$BZ,MATCH($H28,英雄装备!$F:$F,0),MATCH(T$2,英雄装备!$1:$1,0)-5),装备属性!$A:$C,3,0),VLOOKUP(INDEX(英雄装备!$F:$BZ,MATCH($H28,英雄装备!$F:$F,0),MATCH(T$2,英雄装备!$1:$1,0)-4),装备属性!$A:$C,3,0),VLOOKUP(INDEX(英雄装备!$F:$BZ,MATCH($H28,英雄装备!$F:$F,0),MATCH(T$2,英雄装备!$1:$1,0)-3),装备属性!$A:$C,3,0),VLOOKUP(INDEX(英雄装备!$F:$BZ,MATCH($H28,英雄装备!$F:$F,0),MATCH(T$2,英雄装备!$1:$1,0)-2),装备属性!$A:$C,3,0),VLOOKUP(INDEX(英雄装备!$F:$BZ,MATCH($H28,英雄装备!$F:$F,0),MATCH(T$2,英雄装备!$1:$1,0)-1),装备属性!$A:$C,3,0))</f>
        <v>89</v>
      </c>
      <c r="X28" s="151" t="b">
        <f t="shared" si="4"/>
        <v>1</v>
      </c>
      <c r="Y28" s="151" t="b">
        <f t="shared" si="4"/>
        <v>1</v>
      </c>
      <c r="Z28" s="151" t="b">
        <f t="shared" si="4"/>
        <v>1</v>
      </c>
      <c r="AA28" s="151" t="b">
        <f t="shared" si="4"/>
        <v>1</v>
      </c>
      <c r="AB28" s="151" t="b">
        <f t="shared" si="4"/>
        <v>1</v>
      </c>
      <c r="AC28" s="151" t="b">
        <f t="shared" si="4"/>
        <v>1</v>
      </c>
      <c r="AF28" s="151">
        <v>1</v>
      </c>
      <c r="AG28" s="151" t="str">
        <f>AC1</f>
        <v>小圆盾</v>
      </c>
      <c r="AH28" s="151">
        <f>VLOOKUP($AG28,装备属性!$A:$Y,5,0)</f>
        <v>0</v>
      </c>
      <c r="AI28" s="151">
        <f>VLOOKUP($AG28,装备属性!$A:$Y,6,0)</f>
        <v>0</v>
      </c>
      <c r="AJ28" s="151">
        <f>VLOOKUP($AG28,装备属性!$A:$Y,7,0)</f>
        <v>0</v>
      </c>
      <c r="AK28" s="151">
        <f>VLOOKUP($AG28,装备属性!$A:$Y,8,0)</f>
        <v>0</v>
      </c>
      <c r="AL28" s="151">
        <f>VLOOKUP($AG28,装备属性!$A:$Y,9,0)</f>
        <v>0</v>
      </c>
      <c r="AM28" s="151">
        <f>VLOOKUP($AG28,装备属性!$A:$Y,10,0)</f>
        <v>0</v>
      </c>
      <c r="AN28" s="151">
        <f>VLOOKUP($AG28,装备属性!$A:$Y,11,0)</f>
        <v>2</v>
      </c>
      <c r="AO28" s="151">
        <f>VLOOKUP($AG28,装备属性!$A:$Y,12,0)</f>
        <v>0</v>
      </c>
      <c r="AP28" s="151">
        <f>VLOOKUP($AG28,装备属性!$A:$Y,13,0)</f>
        <v>0</v>
      </c>
      <c r="AQ28" s="151">
        <f>VLOOKUP($AG28,装备属性!$A:$Y,14,0)</f>
        <v>0</v>
      </c>
      <c r="AR28" s="151">
        <f>VLOOKUP($AG28,装备属性!$A:$Y,15,0)</f>
        <v>0</v>
      </c>
      <c r="AS28" s="151">
        <f>VLOOKUP($AG28,装备属性!$A:$Y,16,0)</f>
        <v>0</v>
      </c>
      <c r="AT28" s="151">
        <f>VLOOKUP($AG28,装备属性!$A:$Y,17,0)</f>
        <v>0</v>
      </c>
      <c r="AU28" s="151">
        <f>VLOOKUP($AG28,装备属性!$A:$Y,18,0)</f>
        <v>0</v>
      </c>
      <c r="AV28" s="151">
        <f>VLOOKUP($AG28,装备属性!$A:$Y,19,0)</f>
        <v>0</v>
      </c>
      <c r="AW28" s="151">
        <f>VLOOKUP($AG28,装备属性!$A:$Y,20,0)</f>
        <v>0</v>
      </c>
      <c r="AX28" s="151">
        <f>VLOOKUP($AG28,装备属性!$A:$Y,21,0)</f>
        <v>0</v>
      </c>
      <c r="AY28" s="151">
        <f>VLOOKUP($AG28,装备属性!$A:$Y,22,0)</f>
        <v>0</v>
      </c>
      <c r="AZ28" s="151">
        <f>VLOOKUP($AG28,装备属性!$A:$Y,23,0)</f>
        <v>0</v>
      </c>
      <c r="BA28" s="151">
        <f>VLOOKUP($AG28,装备属性!$A:$Y,24,0)</f>
        <v>0</v>
      </c>
      <c r="BB28" s="151">
        <f>VLOOKUP($AG28,装备属性!$A:$Y,25,0)</f>
        <v>0</v>
      </c>
    </row>
    <row r="29" spans="2:54">
      <c r="B29" s="151" t="str">
        <f>英雄初始!A30</f>
        <v>冰女</v>
      </c>
      <c r="E29" s="233"/>
      <c r="H29" s="54" t="s">
        <v>182</v>
      </c>
      <c r="I29" s="51">
        <f>MAX(VLOOKUP(INDEX(英雄装备!$F:$BZ,MATCH($H29,英雄装备!$F:$F,0),MATCH(I$2,英雄装备!$1:$1,0)-5),装备属性!$A:$C,3,0),VLOOKUP(INDEX(英雄装备!$F:$BZ,MATCH($H29,英雄装备!$F:$F,0),MATCH(I$2,英雄装备!$1:$1,0)-4),装备属性!$A:$C,3,0),VLOOKUP(INDEX(英雄装备!$F:$BZ,MATCH($H29,英雄装备!$F:$F,0),MATCH(I$2,英雄装备!$1:$1,0)-3),装备属性!$A:$C,3,0),VLOOKUP(INDEX(英雄装备!$F:$BZ,MATCH($H29,英雄装备!$F:$F,0),MATCH(I$2,英雄装备!$1:$1,0)-2),装备属性!$A:$C,3,0),VLOOKUP(INDEX(英雄装备!$F:$BZ,MATCH($H29,英雄装备!$F:$F,0),MATCH(I$2,英雄装备!$1:$1,0)-1),装备属性!$A:$C,3,0),VLOOKUP(INDEX(英雄装备!$F:$BZ,MATCH($H29,英雄装备!$F:$F,0),MATCH(I$2,英雄装备!$1:$1,0)),装备属性!$A:$C,3,0))</f>
        <v>2</v>
      </c>
      <c r="J29" s="51">
        <f>MAX(VLOOKUP(INDEX(英雄装备!$F:$BZ,MATCH($H29,英雄装备!$F:$F,0),MATCH(J$2,英雄装备!$1:$1,0)-5),装备属性!$A:$C,3,0),VLOOKUP(INDEX(英雄装备!$F:$BZ,MATCH($H29,英雄装备!$F:$F,0),MATCH(J$2,英雄装备!$1:$1,0)-4),装备属性!$A:$C,3,0),VLOOKUP(INDEX(英雄装备!$F:$BZ,MATCH($H29,英雄装备!$F:$F,0),MATCH(J$2,英雄装备!$1:$1,0)-3),装备属性!$A:$C,3,0),VLOOKUP(INDEX(英雄装备!$F:$BZ,MATCH($H29,英雄装备!$F:$F,0),MATCH(J$2,英雄装备!$1:$1,0)-2),装备属性!$A:$C,3,0),VLOOKUP(INDEX(英雄装备!$F:$BZ,MATCH($H29,英雄装备!$F:$F,0),MATCH(J$2,英雄装备!$1:$1,0)-1),装备属性!$A:$C,3,0),VLOOKUP(INDEX(英雄装备!$F:$BZ,MATCH($H29,英雄装备!$F:$F,0),MATCH(J$2,英雄装备!$1:$1,0)),装备属性!$A:$C,3,0))</f>
        <v>10</v>
      </c>
      <c r="K29" s="51">
        <f>MAX(VLOOKUP(INDEX(英雄装备!$F:$BZ,MATCH($H29,英雄装备!$F:$F,0),MATCH(K$2,英雄装备!$1:$1,0)-5),装备属性!$A:$C,3,0),VLOOKUP(INDEX(英雄装备!$F:$BZ,MATCH($H29,英雄装备!$F:$F,0),MATCH(K$2,英雄装备!$1:$1,0)-4),装备属性!$A:$C,3,0),VLOOKUP(INDEX(英雄装备!$F:$BZ,MATCH($H29,英雄装备!$F:$F,0),MATCH(K$2,英雄装备!$1:$1,0)-3),装备属性!$A:$C,3,0),VLOOKUP(INDEX(英雄装备!$F:$BZ,MATCH($H29,英雄装备!$F:$F,0),MATCH(K$2,英雄装备!$1:$1,0)-2),装备属性!$A:$C,3,0),VLOOKUP(INDEX(英雄装备!$F:$BZ,MATCH($H29,英雄装备!$F:$F,0),MATCH(K$2,英雄装备!$1:$1,0)-1),装备属性!$A:$C,3,0),VLOOKUP(INDEX(英雄装备!$F:$BZ,MATCH($H29,英雄装备!$F:$F,0),MATCH(K$2,英雄装备!$1:$1,0)),装备属性!$A:$C,3,0))</f>
        <v>24</v>
      </c>
      <c r="L29" s="51">
        <f>MAX(VLOOKUP(INDEX(英雄装备!$F:$BZ,MATCH($H29,英雄装备!$F:$F,0),MATCH(L$2,英雄装备!$1:$1,0)-5),装备属性!$A:$C,3,0),VLOOKUP(INDEX(英雄装备!$F:$BZ,MATCH($H29,英雄装备!$F:$F,0),MATCH(L$2,英雄装备!$1:$1,0)-4),装备属性!$A:$C,3,0),VLOOKUP(INDEX(英雄装备!$F:$BZ,MATCH($H29,英雄装备!$F:$F,0),MATCH(L$2,英雄装备!$1:$1,0)-3),装备属性!$A:$C,3,0),VLOOKUP(INDEX(英雄装备!$F:$BZ,MATCH($H29,英雄装备!$F:$F,0),MATCH(L$2,英雄装备!$1:$1,0)-2),装备属性!$A:$C,3,0),VLOOKUP(INDEX(英雄装备!$F:$BZ,MATCH($H29,英雄装备!$F:$F,0),MATCH(L$2,英雄装备!$1:$1,0)-1),装备属性!$A:$C,3,0),VLOOKUP(INDEX(英雄装备!$F:$BZ,MATCH($H29,英雄装备!$F:$F,0),MATCH(L$2,英雄装备!$1:$1,0)),装备属性!$A:$C,3,0))</f>
        <v>35</v>
      </c>
      <c r="M29" s="51">
        <f>MAX(VLOOKUP(INDEX(英雄装备!$F:$BZ,MATCH($H29,英雄装备!$F:$F,0),MATCH(M$2,英雄装备!$1:$1,0)-5),装备属性!$A:$C,3,0),VLOOKUP(INDEX(英雄装备!$F:$BZ,MATCH($H29,英雄装备!$F:$F,0),MATCH(M$2,英雄装备!$1:$1,0)-4),装备属性!$A:$C,3,0),VLOOKUP(INDEX(英雄装备!$F:$BZ,MATCH($H29,英雄装备!$F:$F,0),MATCH(M$2,英雄装备!$1:$1,0)-3),装备属性!$A:$C,3,0),VLOOKUP(INDEX(英雄装备!$F:$BZ,MATCH($H29,英雄装备!$F:$F,0),MATCH(M$2,英雄装备!$1:$1,0)-2),装备属性!$A:$C,3,0),VLOOKUP(INDEX(英雄装备!$F:$BZ,MATCH($H29,英雄装备!$F:$F,0),MATCH(M$2,英雄装备!$1:$1,0)-1),装备属性!$A:$C,3,0),VLOOKUP(INDEX(英雄装备!$F:$BZ,MATCH($H29,英雄装备!$F:$F,0),MATCH(M$2,英雄装备!$1:$1,0)),装备属性!$A:$C,3,0))</f>
        <v>42</v>
      </c>
      <c r="N29" s="51">
        <f>MAX(VLOOKUP(INDEX(英雄装备!$F:$BZ,MATCH($H29,英雄装备!$F:$F,0),MATCH(N$2,英雄装备!$1:$1,0)-5),装备属性!$A:$C,3,0),VLOOKUP(INDEX(英雄装备!$F:$BZ,MATCH($H29,英雄装备!$F:$F,0),MATCH(N$2,英雄装备!$1:$1,0)-4),装备属性!$A:$C,3,0),VLOOKUP(INDEX(英雄装备!$F:$BZ,MATCH($H29,英雄装备!$F:$F,0),MATCH(N$2,英雄装备!$1:$1,0)-3),装备属性!$A:$C,3,0),VLOOKUP(INDEX(英雄装备!$F:$BZ,MATCH($H29,英雄装备!$F:$F,0),MATCH(N$2,英雄装备!$1:$1,0)-2),装备属性!$A:$C,3,0),VLOOKUP(INDEX(英雄装备!$F:$BZ,MATCH($H29,英雄装备!$F:$F,0),MATCH(N$2,英雄装备!$1:$1,0)-1),装备属性!$A:$C,3,0),VLOOKUP(INDEX(英雄装备!$F:$BZ,MATCH($H29,英雄装备!$F:$F,0),MATCH(N$2,英雄装备!$1:$1,0)),装备属性!$A:$C,3,0))</f>
        <v>51</v>
      </c>
      <c r="O29" s="51">
        <f>MAX(VLOOKUP(INDEX(英雄装备!$F:$BZ,MATCH($H29,英雄装备!$F:$F,0),MATCH(O$2,英雄装备!$1:$1,0)-5),装备属性!$A:$C,3,0),VLOOKUP(INDEX(英雄装备!$F:$BZ,MATCH($H29,英雄装备!$F:$F,0),MATCH(O$2,英雄装备!$1:$1,0)-4),装备属性!$A:$C,3,0),VLOOKUP(INDEX(英雄装备!$F:$BZ,MATCH($H29,英雄装备!$F:$F,0),MATCH(O$2,英雄装备!$1:$1,0)-3),装备属性!$A:$C,3,0),VLOOKUP(INDEX(英雄装备!$F:$BZ,MATCH($H29,英雄装备!$F:$F,0),MATCH(O$2,英雄装备!$1:$1,0)-2),装备属性!$A:$C,3,0),VLOOKUP(INDEX(英雄装备!$F:$BZ,MATCH($H29,英雄装备!$F:$F,0),MATCH(O$2,英雄装备!$1:$1,0)-1),装备属性!$A:$C,3,0),VLOOKUP(INDEX(英雄装备!$F:$BZ,MATCH($H29,英雄装备!$F:$F,0),MATCH(O$2,英雄装备!$1:$1,0)),装备属性!$A:$C,3,0))</f>
        <v>64</v>
      </c>
      <c r="P29" s="51">
        <f>MAX(VLOOKUP(INDEX(英雄装备!$F:$BZ,MATCH($H29,英雄装备!$F:$F,0),MATCH(P$2,英雄装备!$1:$1,0)-5),装备属性!$A:$C,3,0),VLOOKUP(INDEX(英雄装备!$F:$BZ,MATCH($H29,英雄装备!$F:$F,0),MATCH(P$2,英雄装备!$1:$1,0)-4),装备属性!$A:$C,3,0),VLOOKUP(INDEX(英雄装备!$F:$BZ,MATCH($H29,英雄装备!$F:$F,0),MATCH(P$2,英雄装备!$1:$1,0)-3),装备属性!$A:$C,3,0),VLOOKUP(INDEX(英雄装备!$F:$BZ,MATCH($H29,英雄装备!$F:$F,0),MATCH(P$2,英雄装备!$1:$1,0)-2),装备属性!$A:$C,3,0),VLOOKUP(INDEX(英雄装备!$F:$BZ,MATCH($H29,英雄装备!$F:$F,0),MATCH(P$2,英雄装备!$1:$1,0)-1),装备属性!$A:$C,3,0),VLOOKUP(INDEX(英雄装备!$F:$BZ,MATCH($H29,英雄装备!$F:$F,0),MATCH(P$2,英雄装备!$1:$1,0)),装备属性!$A:$C,3,0))</f>
        <v>73</v>
      </c>
      <c r="Q29" s="51">
        <f>MAX(VLOOKUP(INDEX(英雄装备!$F:$BZ,MATCH($H29,英雄装备!$F:$F,0),MATCH(Q$2,英雄装备!$1:$1,0)-5),装备属性!$A:$C,3,0),VLOOKUP(INDEX(英雄装备!$F:$BZ,MATCH($H29,英雄装备!$F:$F,0),MATCH(Q$2,英雄装备!$1:$1,0)-4),装备属性!$A:$C,3,0),VLOOKUP(INDEX(英雄装备!$F:$BZ,MATCH($H29,英雄装备!$F:$F,0),MATCH(Q$2,英雄装备!$1:$1,0)-3),装备属性!$A:$C,3,0),VLOOKUP(INDEX(英雄装备!$F:$BZ,MATCH($H29,英雄装备!$F:$F,0),MATCH(Q$2,英雄装备!$1:$1,0)-2),装备属性!$A:$C,3,0),VLOOKUP(INDEX(英雄装备!$F:$BZ,MATCH($H29,英雄装备!$F:$F,0),MATCH(Q$2,英雄装备!$1:$1,0)-1),装备属性!$A:$C,3,0),VLOOKUP(INDEX(英雄装备!$F:$BZ,MATCH($H29,英雄装备!$F:$F,0),MATCH(Q$2,英雄装备!$1:$1,0)),装备属性!$A:$C,3,0))</f>
        <v>80</v>
      </c>
      <c r="R29" s="51">
        <f>MAX(VLOOKUP(INDEX(英雄装备!$F:$BZ,MATCH($H29,英雄装备!$F:$F,0),MATCH(R$2,英雄装备!$1:$1,0)-5),装备属性!$A:$C,3,0),VLOOKUP(INDEX(英雄装备!$F:$BZ,MATCH($H29,英雄装备!$F:$F,0),MATCH(R$2,英雄装备!$1:$1,0)-4),装备属性!$A:$C,3,0),VLOOKUP(INDEX(英雄装备!$F:$BZ,MATCH($H29,英雄装备!$F:$F,0),MATCH(R$2,英雄装备!$1:$1,0)-3),装备属性!$A:$C,3,0),VLOOKUP(INDEX(英雄装备!$F:$BZ,MATCH($H29,英雄装备!$F:$F,0),MATCH(R$2,英雄装备!$1:$1,0)-2),装备属性!$A:$C,3,0),VLOOKUP(INDEX(英雄装备!$F:$BZ,MATCH($H29,英雄装备!$F:$F,0),MATCH(R$2,英雄装备!$1:$1,0)-1),装备属性!$A:$C,3,0),VLOOKUP(INDEX(英雄装备!$F:$BZ,MATCH($H29,英雄装备!$F:$F,0),MATCH(R$2,英雄装备!$1:$1,0)),装备属性!$A:$C,3,0))</f>
        <v>80</v>
      </c>
      <c r="S29" s="51">
        <f>MAX(VLOOKUP(INDEX(英雄装备!$F:$BZ,MATCH($H29,英雄装备!$F:$F,0),MATCH(S$2,英雄装备!$1:$1,0)-5),装备属性!$A:$C,3,0),VLOOKUP(INDEX(英雄装备!$F:$BZ,MATCH($H29,英雄装备!$F:$F,0),MATCH(S$2,英雄装备!$1:$1,0)-4),装备属性!$A:$C,3,0),VLOOKUP(INDEX(英雄装备!$F:$BZ,MATCH($H29,英雄装备!$F:$F,0),MATCH(S$2,英雄装备!$1:$1,0)-3),装备属性!$A:$C,3,0),VLOOKUP(INDEX(英雄装备!$F:$BZ,MATCH($H29,英雄装备!$F:$F,0),MATCH(S$2,英雄装备!$1:$1,0)-2),装备属性!$A:$C,3,0),VLOOKUP(INDEX(英雄装备!$F:$BZ,MATCH($H29,英雄装备!$F:$F,0),MATCH(S$2,英雄装备!$1:$1,0)-1),装备属性!$A:$C,3,0),VLOOKUP(INDEX(英雄装备!$F:$BZ,MATCH($H29,英雄装备!$F:$F,0),MATCH(S$2,英雄装备!$1:$1,0)),装备属性!$A:$C,3,0))</f>
        <v>84</v>
      </c>
      <c r="T29" s="51">
        <f>MAX(VLOOKUP(INDEX(英雄装备!$F:$BZ,MATCH($H29,英雄装备!$F:$F,0),MATCH(T$2,英雄装备!$1:$1,0)-5),装备属性!$A:$C,3,0),VLOOKUP(INDEX(英雄装备!$F:$BZ,MATCH($H29,英雄装备!$F:$F,0),MATCH(T$2,英雄装备!$1:$1,0)-4),装备属性!$A:$C,3,0),VLOOKUP(INDEX(英雄装备!$F:$BZ,MATCH($H29,英雄装备!$F:$F,0),MATCH(T$2,英雄装备!$1:$1,0)-3),装备属性!$A:$C,3,0),VLOOKUP(INDEX(英雄装备!$F:$BZ,MATCH($H29,英雄装备!$F:$F,0),MATCH(T$2,英雄装备!$1:$1,0)-2),装备属性!$A:$C,3,0),VLOOKUP(INDEX(英雄装备!$F:$BZ,MATCH($H29,英雄装备!$F:$F,0),MATCH(T$2,英雄装备!$1:$1,0)-1),装备属性!$A:$C,3,0))</f>
        <v>89</v>
      </c>
      <c r="X29" s="151" t="b">
        <f t="shared" si="4"/>
        <v>1</v>
      </c>
      <c r="Y29" s="151" t="b">
        <f t="shared" si="4"/>
        <v>1</v>
      </c>
      <c r="Z29" s="151" t="b">
        <f t="shared" si="4"/>
        <v>1</v>
      </c>
      <c r="AA29" s="151" t="b">
        <f t="shared" si="4"/>
        <v>1</v>
      </c>
      <c r="AB29" s="151" t="b">
        <f t="shared" si="4"/>
        <v>1</v>
      </c>
      <c r="AC29" s="151" t="b">
        <f t="shared" si="4"/>
        <v>1</v>
      </c>
      <c r="AF29" s="151">
        <v>2</v>
      </c>
      <c r="AG29" s="151" t="str">
        <f>X2</f>
        <v>吸血面具</v>
      </c>
      <c r="AH29" s="151">
        <f>VLOOKUP($AG29,装备属性!$A:$Y,5,0)</f>
        <v>0</v>
      </c>
      <c r="AI29" s="151">
        <f>VLOOKUP($AG29,装备属性!$A:$Y,6,0)</f>
        <v>0</v>
      </c>
      <c r="AJ29" s="151">
        <f>VLOOKUP($AG29,装备属性!$A:$Y,7,0)</f>
        <v>0</v>
      </c>
      <c r="AK29" s="151">
        <f>VLOOKUP($AG29,装备属性!$A:$Y,8,0)</f>
        <v>0</v>
      </c>
      <c r="AL29" s="151">
        <f>VLOOKUP($AG29,装备属性!$A:$Y,9,0)</f>
        <v>0</v>
      </c>
      <c r="AM29" s="151">
        <f>VLOOKUP($AG29,装备属性!$A:$Y,10,0)</f>
        <v>0</v>
      </c>
      <c r="AN29" s="151">
        <f>VLOOKUP($AG29,装备属性!$A:$Y,11,0)</f>
        <v>0</v>
      </c>
      <c r="AO29" s="151">
        <f>VLOOKUP($AG29,装备属性!$A:$Y,12,0)</f>
        <v>0</v>
      </c>
      <c r="AP29" s="151">
        <f>VLOOKUP($AG29,装备属性!$A:$Y,13,0)</f>
        <v>0</v>
      </c>
      <c r="AQ29" s="151">
        <f>VLOOKUP($AG29,装备属性!$A:$Y,14,0)</f>
        <v>0</v>
      </c>
      <c r="AR29" s="151">
        <f>VLOOKUP($AG29,装备属性!$A:$Y,15,0)</f>
        <v>0</v>
      </c>
      <c r="AS29" s="151">
        <f>VLOOKUP($AG29,装备属性!$A:$Y,16,0)</f>
        <v>0</v>
      </c>
      <c r="AT29" s="151">
        <f>VLOOKUP($AG29,装备属性!$A:$Y,17,0)</f>
        <v>15</v>
      </c>
      <c r="AU29" s="151">
        <f>VLOOKUP($AG29,装备属性!$A:$Y,18,0)</f>
        <v>0</v>
      </c>
      <c r="AV29" s="151">
        <f>VLOOKUP($AG29,装备属性!$A:$Y,19,0)</f>
        <v>0</v>
      </c>
      <c r="AW29" s="151">
        <f>VLOOKUP($AG29,装备属性!$A:$Y,20,0)</f>
        <v>0</v>
      </c>
      <c r="AX29" s="151">
        <f>VLOOKUP($AG29,装备属性!$A:$Y,21,0)</f>
        <v>0</v>
      </c>
      <c r="AY29" s="151">
        <f>VLOOKUP($AG29,装备属性!$A:$Y,22,0)</f>
        <v>0</v>
      </c>
      <c r="AZ29" s="151">
        <f>VLOOKUP($AG29,装备属性!$A:$Y,23,0)</f>
        <v>0</v>
      </c>
      <c r="BA29" s="151">
        <f>VLOOKUP($AG29,装备属性!$A:$Y,24,0)</f>
        <v>0</v>
      </c>
      <c r="BB29" s="151">
        <f>VLOOKUP($AG29,装备属性!$A:$Y,25,0)</f>
        <v>0</v>
      </c>
    </row>
    <row r="30" spans="2:54">
      <c r="B30" s="151" t="str">
        <f>英雄初始!A31</f>
        <v>沉默</v>
      </c>
      <c r="H30" s="54" t="s">
        <v>183</v>
      </c>
      <c r="I30" s="51">
        <f>MAX(VLOOKUP(INDEX(英雄装备!$F:$BZ,MATCH($H30,英雄装备!$F:$F,0),MATCH(I$2,英雄装备!$1:$1,0)-5),装备属性!$A:$C,3,0),VLOOKUP(INDEX(英雄装备!$F:$BZ,MATCH($H30,英雄装备!$F:$F,0),MATCH(I$2,英雄装备!$1:$1,0)-4),装备属性!$A:$C,3,0),VLOOKUP(INDEX(英雄装备!$F:$BZ,MATCH($H30,英雄装备!$F:$F,0),MATCH(I$2,英雄装备!$1:$1,0)-3),装备属性!$A:$C,3,0),VLOOKUP(INDEX(英雄装备!$F:$BZ,MATCH($H30,英雄装备!$F:$F,0),MATCH(I$2,英雄装备!$1:$1,0)-2),装备属性!$A:$C,3,0),VLOOKUP(INDEX(英雄装备!$F:$BZ,MATCH($H30,英雄装备!$F:$F,0),MATCH(I$2,英雄装备!$1:$1,0)-1),装备属性!$A:$C,3,0),VLOOKUP(INDEX(英雄装备!$F:$BZ,MATCH($H30,英雄装备!$F:$F,0),MATCH(I$2,英雄装备!$1:$1,0)),装备属性!$A:$C,3,0))</f>
        <v>2</v>
      </c>
      <c r="J30" s="51">
        <f>MAX(VLOOKUP(INDEX(英雄装备!$F:$BZ,MATCH($H30,英雄装备!$F:$F,0),MATCH(J$2,英雄装备!$1:$1,0)-5),装备属性!$A:$C,3,0),VLOOKUP(INDEX(英雄装备!$F:$BZ,MATCH($H30,英雄装备!$F:$F,0),MATCH(J$2,英雄装备!$1:$1,0)-4),装备属性!$A:$C,3,0),VLOOKUP(INDEX(英雄装备!$F:$BZ,MATCH($H30,英雄装备!$F:$F,0),MATCH(J$2,英雄装备!$1:$1,0)-3),装备属性!$A:$C,3,0),VLOOKUP(INDEX(英雄装备!$F:$BZ,MATCH($H30,英雄装备!$F:$F,0),MATCH(J$2,英雄装备!$1:$1,0)-2),装备属性!$A:$C,3,0),VLOOKUP(INDEX(英雄装备!$F:$BZ,MATCH($H30,英雄装备!$F:$F,0),MATCH(J$2,英雄装备!$1:$1,0)-1),装备属性!$A:$C,3,0),VLOOKUP(INDEX(英雄装备!$F:$BZ,MATCH($H30,英雄装备!$F:$F,0),MATCH(J$2,英雄装备!$1:$1,0)),装备属性!$A:$C,3,0))</f>
        <v>11</v>
      </c>
      <c r="K30" s="51">
        <f>MAX(VLOOKUP(INDEX(英雄装备!$F:$BZ,MATCH($H30,英雄装备!$F:$F,0),MATCH(K$2,英雄装备!$1:$1,0)-5),装备属性!$A:$C,3,0),VLOOKUP(INDEX(英雄装备!$F:$BZ,MATCH($H30,英雄装备!$F:$F,0),MATCH(K$2,英雄装备!$1:$1,0)-4),装备属性!$A:$C,3,0),VLOOKUP(INDEX(英雄装备!$F:$BZ,MATCH($H30,英雄装备!$F:$F,0),MATCH(K$2,英雄装备!$1:$1,0)-3),装备属性!$A:$C,3,0),VLOOKUP(INDEX(英雄装备!$F:$BZ,MATCH($H30,英雄装备!$F:$F,0),MATCH(K$2,英雄装备!$1:$1,0)-2),装备属性!$A:$C,3,0),VLOOKUP(INDEX(英雄装备!$F:$BZ,MATCH($H30,英雄装备!$F:$F,0),MATCH(K$2,英雄装备!$1:$1,0)-1),装备属性!$A:$C,3,0),VLOOKUP(INDEX(英雄装备!$F:$BZ,MATCH($H30,英雄装备!$F:$F,0),MATCH(K$2,英雄装备!$1:$1,0)),装备属性!$A:$C,3,0))</f>
        <v>21</v>
      </c>
      <c r="L30" s="51">
        <f>MAX(VLOOKUP(INDEX(英雄装备!$F:$BZ,MATCH($H30,英雄装备!$F:$F,0),MATCH(L$2,英雄装备!$1:$1,0)-5),装备属性!$A:$C,3,0),VLOOKUP(INDEX(英雄装备!$F:$BZ,MATCH($H30,英雄装备!$F:$F,0),MATCH(L$2,英雄装备!$1:$1,0)-4),装备属性!$A:$C,3,0),VLOOKUP(INDEX(英雄装备!$F:$BZ,MATCH($H30,英雄装备!$F:$F,0),MATCH(L$2,英雄装备!$1:$1,0)-3),装备属性!$A:$C,3,0),VLOOKUP(INDEX(英雄装备!$F:$BZ,MATCH($H30,英雄装备!$F:$F,0),MATCH(L$2,英雄装备!$1:$1,0)-2),装备属性!$A:$C,3,0),VLOOKUP(INDEX(英雄装备!$F:$BZ,MATCH($H30,英雄装备!$F:$F,0),MATCH(L$2,英雄装备!$1:$1,0)-1),装备属性!$A:$C,3,0),VLOOKUP(INDEX(英雄装备!$F:$BZ,MATCH($H30,英雄装备!$F:$F,0),MATCH(L$2,英雄装备!$1:$1,0)),装备属性!$A:$C,3,0))</f>
        <v>34</v>
      </c>
      <c r="M30" s="51">
        <f>MAX(VLOOKUP(INDEX(英雄装备!$F:$BZ,MATCH($H30,英雄装备!$F:$F,0),MATCH(M$2,英雄装备!$1:$1,0)-5),装备属性!$A:$C,3,0),VLOOKUP(INDEX(英雄装备!$F:$BZ,MATCH($H30,英雄装备!$F:$F,0),MATCH(M$2,英雄装备!$1:$1,0)-4),装备属性!$A:$C,3,0),VLOOKUP(INDEX(英雄装备!$F:$BZ,MATCH($H30,英雄装备!$F:$F,0),MATCH(M$2,英雄装备!$1:$1,0)-3),装备属性!$A:$C,3,0),VLOOKUP(INDEX(英雄装备!$F:$BZ,MATCH($H30,英雄装备!$F:$F,0),MATCH(M$2,英雄装备!$1:$1,0)-2),装备属性!$A:$C,3,0),VLOOKUP(INDEX(英雄装备!$F:$BZ,MATCH($H30,英雄装备!$F:$F,0),MATCH(M$2,英雄装备!$1:$1,0)-1),装备属性!$A:$C,3,0),VLOOKUP(INDEX(英雄装备!$F:$BZ,MATCH($H30,英雄装备!$F:$F,0),MATCH(M$2,英雄装备!$1:$1,0)),装备属性!$A:$C,3,0))</f>
        <v>41</v>
      </c>
      <c r="N30" s="51">
        <f>MAX(VLOOKUP(INDEX(英雄装备!$F:$BZ,MATCH($H30,英雄装备!$F:$F,0),MATCH(N$2,英雄装备!$1:$1,0)-5),装备属性!$A:$C,3,0),VLOOKUP(INDEX(英雄装备!$F:$BZ,MATCH($H30,英雄装备!$F:$F,0),MATCH(N$2,英雄装备!$1:$1,0)-4),装备属性!$A:$C,3,0),VLOOKUP(INDEX(英雄装备!$F:$BZ,MATCH($H30,英雄装备!$F:$F,0),MATCH(N$2,英雄装备!$1:$1,0)-3),装备属性!$A:$C,3,0),VLOOKUP(INDEX(英雄装备!$F:$BZ,MATCH($H30,英雄装备!$F:$F,0),MATCH(N$2,英雄装备!$1:$1,0)-2),装备属性!$A:$C,3,0),VLOOKUP(INDEX(英雄装备!$F:$BZ,MATCH($H30,英雄装备!$F:$F,0),MATCH(N$2,英雄装备!$1:$1,0)-1),装备属性!$A:$C,3,0),VLOOKUP(INDEX(英雄装备!$F:$BZ,MATCH($H30,英雄装备!$F:$F,0),MATCH(N$2,英雄装备!$1:$1,0)),装备属性!$A:$C,3,0))</f>
        <v>53</v>
      </c>
      <c r="O30" s="51">
        <f>MAX(VLOOKUP(INDEX(英雄装备!$F:$BZ,MATCH($H30,英雄装备!$F:$F,0),MATCH(O$2,英雄装备!$1:$1,0)-5),装备属性!$A:$C,3,0),VLOOKUP(INDEX(英雄装备!$F:$BZ,MATCH($H30,英雄装备!$F:$F,0),MATCH(O$2,英雄装备!$1:$1,0)-4),装备属性!$A:$C,3,0),VLOOKUP(INDEX(英雄装备!$F:$BZ,MATCH($H30,英雄装备!$F:$F,0),MATCH(O$2,英雄装备!$1:$1,0)-3),装备属性!$A:$C,3,0),VLOOKUP(INDEX(英雄装备!$F:$BZ,MATCH($H30,英雄装备!$F:$F,0),MATCH(O$2,英雄装备!$1:$1,0)-2),装备属性!$A:$C,3,0),VLOOKUP(INDEX(英雄装备!$F:$BZ,MATCH($H30,英雄装备!$F:$F,0),MATCH(O$2,英雄装备!$1:$1,0)-1),装备属性!$A:$C,3,0),VLOOKUP(INDEX(英雄装备!$F:$BZ,MATCH($H30,英雄装备!$F:$F,0),MATCH(O$2,英雄装备!$1:$1,0)),装备属性!$A:$C,3,0))</f>
        <v>63</v>
      </c>
      <c r="P30" s="51">
        <f>MAX(VLOOKUP(INDEX(英雄装备!$F:$BZ,MATCH($H30,英雄装备!$F:$F,0),MATCH(P$2,英雄装备!$1:$1,0)-5),装备属性!$A:$C,3,0),VLOOKUP(INDEX(英雄装备!$F:$BZ,MATCH($H30,英雄装备!$F:$F,0),MATCH(P$2,英雄装备!$1:$1,0)-4),装备属性!$A:$C,3,0),VLOOKUP(INDEX(英雄装备!$F:$BZ,MATCH($H30,英雄装备!$F:$F,0),MATCH(P$2,英雄装备!$1:$1,0)-3),装备属性!$A:$C,3,0),VLOOKUP(INDEX(英雄装备!$F:$BZ,MATCH($H30,英雄装备!$F:$F,0),MATCH(P$2,英雄装备!$1:$1,0)-2),装备属性!$A:$C,3,0),VLOOKUP(INDEX(英雄装备!$F:$BZ,MATCH($H30,英雄装备!$F:$F,0),MATCH(P$2,英雄装备!$1:$1,0)-1),装备属性!$A:$C,3,0),VLOOKUP(INDEX(英雄装备!$F:$BZ,MATCH($H30,英雄装备!$F:$F,0),MATCH(P$2,英雄装备!$1:$1,0)),装备属性!$A:$C,3,0))</f>
        <v>70</v>
      </c>
      <c r="Q30" s="51">
        <f>MAX(VLOOKUP(INDEX(英雄装备!$F:$BZ,MATCH($H30,英雄装备!$F:$F,0),MATCH(Q$2,英雄装备!$1:$1,0)-5),装备属性!$A:$C,3,0),VLOOKUP(INDEX(英雄装备!$F:$BZ,MATCH($H30,英雄装备!$F:$F,0),MATCH(Q$2,英雄装备!$1:$1,0)-4),装备属性!$A:$C,3,0),VLOOKUP(INDEX(英雄装备!$F:$BZ,MATCH($H30,英雄装备!$F:$F,0),MATCH(Q$2,英雄装备!$1:$1,0)-3),装备属性!$A:$C,3,0),VLOOKUP(INDEX(英雄装备!$F:$BZ,MATCH($H30,英雄装备!$F:$F,0),MATCH(Q$2,英雄装备!$1:$1,0)-2),装备属性!$A:$C,3,0),VLOOKUP(INDEX(英雄装备!$F:$BZ,MATCH($H30,英雄装备!$F:$F,0),MATCH(Q$2,英雄装备!$1:$1,0)-1),装备属性!$A:$C,3,0),VLOOKUP(INDEX(英雄装备!$F:$BZ,MATCH($H30,英雄装备!$F:$F,0),MATCH(Q$2,英雄装备!$1:$1,0)),装备属性!$A:$C,3,0))</f>
        <v>80</v>
      </c>
      <c r="R30" s="51">
        <f>MAX(VLOOKUP(INDEX(英雄装备!$F:$BZ,MATCH($H30,英雄装备!$F:$F,0),MATCH(R$2,英雄装备!$1:$1,0)-5),装备属性!$A:$C,3,0),VLOOKUP(INDEX(英雄装备!$F:$BZ,MATCH($H30,英雄装备!$F:$F,0),MATCH(R$2,英雄装备!$1:$1,0)-4),装备属性!$A:$C,3,0),VLOOKUP(INDEX(英雄装备!$F:$BZ,MATCH($H30,英雄装备!$F:$F,0),MATCH(R$2,英雄装备!$1:$1,0)-3),装备属性!$A:$C,3,0),VLOOKUP(INDEX(英雄装备!$F:$BZ,MATCH($H30,英雄装备!$F:$F,0),MATCH(R$2,英雄装备!$1:$1,0)-2),装备属性!$A:$C,3,0),VLOOKUP(INDEX(英雄装备!$F:$BZ,MATCH($H30,英雄装备!$F:$F,0),MATCH(R$2,英雄装备!$1:$1,0)-1),装备属性!$A:$C,3,0),VLOOKUP(INDEX(英雄装备!$F:$BZ,MATCH($H30,英雄装备!$F:$F,0),MATCH(R$2,英雄装备!$1:$1,0)),装备属性!$A:$C,3,0))</f>
        <v>77</v>
      </c>
      <c r="S30" s="51">
        <f>MAX(VLOOKUP(INDEX(英雄装备!$F:$BZ,MATCH($H30,英雄装备!$F:$F,0),MATCH(S$2,英雄装备!$1:$1,0)-5),装备属性!$A:$C,3,0),VLOOKUP(INDEX(英雄装备!$F:$BZ,MATCH($H30,英雄装备!$F:$F,0),MATCH(S$2,英雄装备!$1:$1,0)-4),装备属性!$A:$C,3,0),VLOOKUP(INDEX(英雄装备!$F:$BZ,MATCH($H30,英雄装备!$F:$F,0),MATCH(S$2,英雄装备!$1:$1,0)-3),装备属性!$A:$C,3,0),VLOOKUP(INDEX(英雄装备!$F:$BZ,MATCH($H30,英雄装备!$F:$F,0),MATCH(S$2,英雄装备!$1:$1,0)-2),装备属性!$A:$C,3,0),VLOOKUP(INDEX(英雄装备!$F:$BZ,MATCH($H30,英雄装备!$F:$F,0),MATCH(S$2,英雄装备!$1:$1,0)-1),装备属性!$A:$C,3,0),VLOOKUP(INDEX(英雄装备!$F:$BZ,MATCH($H30,英雄装备!$F:$F,0),MATCH(S$2,英雄装备!$1:$1,0)),装备属性!$A:$C,3,0))</f>
        <v>84</v>
      </c>
      <c r="T30" s="51">
        <f>MAX(VLOOKUP(INDEX(英雄装备!$F:$BZ,MATCH($H30,英雄装备!$F:$F,0),MATCH(T$2,英雄装备!$1:$1,0)-5),装备属性!$A:$C,3,0),VLOOKUP(INDEX(英雄装备!$F:$BZ,MATCH($H30,英雄装备!$F:$F,0),MATCH(T$2,英雄装备!$1:$1,0)-4),装备属性!$A:$C,3,0),VLOOKUP(INDEX(英雄装备!$F:$BZ,MATCH($H30,英雄装备!$F:$F,0),MATCH(T$2,英雄装备!$1:$1,0)-3),装备属性!$A:$C,3,0),VLOOKUP(INDEX(英雄装备!$F:$BZ,MATCH($H30,英雄装备!$F:$F,0),MATCH(T$2,英雄装备!$1:$1,0)-2),装备属性!$A:$C,3,0),VLOOKUP(INDEX(英雄装备!$F:$BZ,MATCH($H30,英雄装备!$F:$F,0),MATCH(T$2,英雄装备!$1:$1,0)-1),装备属性!$A:$C,3,0))</f>
        <v>88</v>
      </c>
      <c r="X30" s="151" t="b">
        <f t="shared" si="4"/>
        <v>1</v>
      </c>
      <c r="Y30" s="151" t="b">
        <f t="shared" si="4"/>
        <v>1</v>
      </c>
      <c r="Z30" s="151" t="b">
        <f t="shared" si="4"/>
        <v>1</v>
      </c>
      <c r="AA30" s="151" t="b">
        <f t="shared" si="4"/>
        <v>1</v>
      </c>
      <c r="AB30" s="151" t="b">
        <f t="shared" si="4"/>
        <v>1</v>
      </c>
      <c r="AC30" s="151" t="b">
        <f t="shared" si="4"/>
        <v>1</v>
      </c>
      <c r="AF30" s="151">
        <v>2</v>
      </c>
      <c r="AG30" s="151" t="str">
        <f>Y2</f>
        <v>圣殿指环</v>
      </c>
      <c r="AH30" s="151">
        <f>VLOOKUP($AG30,装备属性!$A:$Y,5,0)</f>
        <v>0</v>
      </c>
      <c r="AI30" s="151">
        <f>VLOOKUP($AG30,装备属性!$A:$Y,6,0)</f>
        <v>0</v>
      </c>
      <c r="AJ30" s="151">
        <f>VLOOKUP($AG30,装备属性!$A:$Y,7,0)</f>
        <v>0</v>
      </c>
      <c r="AK30" s="151">
        <f>VLOOKUP($AG30,装备属性!$A:$Y,8,0)</f>
        <v>0</v>
      </c>
      <c r="AL30" s="151">
        <f>VLOOKUP($AG30,装备属性!$A:$Y,9,0)</f>
        <v>0</v>
      </c>
      <c r="AM30" s="151">
        <f>VLOOKUP($AG30,装备属性!$A:$Y,10,0)</f>
        <v>0</v>
      </c>
      <c r="AN30" s="151">
        <f>VLOOKUP($AG30,装备属性!$A:$Y,11,0)</f>
        <v>2</v>
      </c>
      <c r="AO30" s="151">
        <f>VLOOKUP($AG30,装备属性!$A:$Y,12,0)</f>
        <v>0</v>
      </c>
      <c r="AP30" s="151">
        <f>VLOOKUP($AG30,装备属性!$A:$Y,13,0)</f>
        <v>0</v>
      </c>
      <c r="AQ30" s="151">
        <f>VLOOKUP($AG30,装备属性!$A:$Y,14,0)</f>
        <v>0</v>
      </c>
      <c r="AR30" s="151">
        <f>VLOOKUP($AG30,装备属性!$A:$Y,15,0)</f>
        <v>0</v>
      </c>
      <c r="AS30" s="151">
        <f>VLOOKUP($AG30,装备属性!$A:$Y,16,0)</f>
        <v>0</v>
      </c>
      <c r="AT30" s="151">
        <f>VLOOKUP($AG30,装备属性!$A:$Y,17,0)</f>
        <v>0</v>
      </c>
      <c r="AU30" s="151">
        <f>VLOOKUP($AG30,装备属性!$A:$Y,18,0)</f>
        <v>0</v>
      </c>
      <c r="AV30" s="151">
        <f>VLOOKUP($AG30,装备属性!$A:$Y,19,0)</f>
        <v>0</v>
      </c>
      <c r="AW30" s="151">
        <f>VLOOKUP($AG30,装备属性!$A:$Y,20,0)</f>
        <v>0</v>
      </c>
      <c r="AX30" s="151">
        <f>VLOOKUP($AG30,装备属性!$A:$Y,21,0)</f>
        <v>30</v>
      </c>
      <c r="AY30" s="151">
        <f>VLOOKUP($AG30,装备属性!$A:$Y,22,0)</f>
        <v>0</v>
      </c>
      <c r="AZ30" s="151">
        <f>VLOOKUP($AG30,装备属性!$A:$Y,23,0)</f>
        <v>0</v>
      </c>
      <c r="BA30" s="151">
        <f>VLOOKUP($AG30,装备属性!$A:$Y,24,0)</f>
        <v>0</v>
      </c>
      <c r="BB30" s="151">
        <f>VLOOKUP($AG30,装备属性!$A:$Y,25,0)</f>
        <v>0</v>
      </c>
    </row>
    <row r="31" spans="2:54">
      <c r="B31" s="151" t="str">
        <f>英雄初始!A32</f>
        <v>恶魔巫师</v>
      </c>
      <c r="H31" s="54" t="s">
        <v>184</v>
      </c>
      <c r="I31" s="51">
        <f>MAX(VLOOKUP(INDEX(英雄装备!$F:$BZ,MATCH($H31,英雄装备!$F:$F,0),MATCH(I$2,英雄装备!$1:$1,0)-5),装备属性!$A:$C,3,0),VLOOKUP(INDEX(英雄装备!$F:$BZ,MATCH($H31,英雄装备!$F:$F,0),MATCH(I$2,英雄装备!$1:$1,0)-4),装备属性!$A:$C,3,0),VLOOKUP(INDEX(英雄装备!$F:$BZ,MATCH($H31,英雄装备!$F:$F,0),MATCH(I$2,英雄装备!$1:$1,0)-3),装备属性!$A:$C,3,0),VLOOKUP(INDEX(英雄装备!$F:$BZ,MATCH($H31,英雄装备!$F:$F,0),MATCH(I$2,英雄装备!$1:$1,0)-2),装备属性!$A:$C,3,0),VLOOKUP(INDEX(英雄装备!$F:$BZ,MATCH($H31,英雄装备!$F:$F,0),MATCH(I$2,英雄装备!$1:$1,0)-1),装备属性!$A:$C,3,0),VLOOKUP(INDEX(英雄装备!$F:$BZ,MATCH($H31,英雄装备!$F:$F,0),MATCH(I$2,英雄装备!$1:$1,0)),装备属性!$A:$C,3,0))</f>
        <v>2</v>
      </c>
      <c r="J31" s="51">
        <f>MAX(VLOOKUP(INDEX(英雄装备!$F:$BZ,MATCH($H31,英雄装备!$F:$F,0),MATCH(J$2,英雄装备!$1:$1,0)-5),装备属性!$A:$C,3,0),VLOOKUP(INDEX(英雄装备!$F:$BZ,MATCH($H31,英雄装备!$F:$F,0),MATCH(J$2,英雄装备!$1:$1,0)-4),装备属性!$A:$C,3,0),VLOOKUP(INDEX(英雄装备!$F:$BZ,MATCH($H31,英雄装备!$F:$F,0),MATCH(J$2,英雄装备!$1:$1,0)-3),装备属性!$A:$C,3,0),VLOOKUP(INDEX(英雄装备!$F:$BZ,MATCH($H31,英雄装备!$F:$F,0),MATCH(J$2,英雄装备!$1:$1,0)-2),装备属性!$A:$C,3,0),VLOOKUP(INDEX(英雄装备!$F:$BZ,MATCH($H31,英雄装备!$F:$F,0),MATCH(J$2,英雄装备!$1:$1,0)-1),装备属性!$A:$C,3,0),VLOOKUP(INDEX(英雄装备!$F:$BZ,MATCH($H31,英雄装备!$F:$F,0),MATCH(J$2,英雄装备!$1:$1,0)),装备属性!$A:$C,3,0))</f>
        <v>10</v>
      </c>
      <c r="K31" s="51">
        <f>MAX(VLOOKUP(INDEX(英雄装备!$F:$BZ,MATCH($H31,英雄装备!$F:$F,0),MATCH(K$2,英雄装备!$1:$1,0)-5),装备属性!$A:$C,3,0),VLOOKUP(INDEX(英雄装备!$F:$BZ,MATCH($H31,英雄装备!$F:$F,0),MATCH(K$2,英雄装备!$1:$1,0)-4),装备属性!$A:$C,3,0),VLOOKUP(INDEX(英雄装备!$F:$BZ,MATCH($H31,英雄装备!$F:$F,0),MATCH(K$2,英雄装备!$1:$1,0)-3),装备属性!$A:$C,3,0),VLOOKUP(INDEX(英雄装备!$F:$BZ,MATCH($H31,英雄装备!$F:$F,0),MATCH(K$2,英雄装备!$1:$1,0)-2),装备属性!$A:$C,3,0),VLOOKUP(INDEX(英雄装备!$F:$BZ,MATCH($H31,英雄装备!$F:$F,0),MATCH(K$2,英雄装备!$1:$1,0)-1),装备属性!$A:$C,3,0),VLOOKUP(INDEX(英雄装备!$F:$BZ,MATCH($H31,英雄装备!$F:$F,0),MATCH(K$2,英雄装备!$1:$1,0)),装备属性!$A:$C,3,0))</f>
        <v>20</v>
      </c>
      <c r="L31" s="51">
        <f>MAX(VLOOKUP(INDEX(英雄装备!$F:$BZ,MATCH($H31,英雄装备!$F:$F,0),MATCH(L$2,英雄装备!$1:$1,0)-5),装备属性!$A:$C,3,0),VLOOKUP(INDEX(英雄装备!$F:$BZ,MATCH($H31,英雄装备!$F:$F,0),MATCH(L$2,英雄装备!$1:$1,0)-4),装备属性!$A:$C,3,0),VLOOKUP(INDEX(英雄装备!$F:$BZ,MATCH($H31,英雄装备!$F:$F,0),MATCH(L$2,英雄装备!$1:$1,0)-3),装备属性!$A:$C,3,0),VLOOKUP(INDEX(英雄装备!$F:$BZ,MATCH($H31,英雄装备!$F:$F,0),MATCH(L$2,英雄装备!$1:$1,0)-2),装备属性!$A:$C,3,0),VLOOKUP(INDEX(英雄装备!$F:$BZ,MATCH($H31,英雄装备!$F:$F,0),MATCH(L$2,英雄装备!$1:$1,0)-1),装备属性!$A:$C,3,0),VLOOKUP(INDEX(英雄装备!$F:$BZ,MATCH($H31,英雄装备!$F:$F,0),MATCH(L$2,英雄装备!$1:$1,0)),装备属性!$A:$C,3,0))</f>
        <v>35</v>
      </c>
      <c r="M31" s="51">
        <f>MAX(VLOOKUP(INDEX(英雄装备!$F:$BZ,MATCH($H31,英雄装备!$F:$F,0),MATCH(M$2,英雄装备!$1:$1,0)-5),装备属性!$A:$C,3,0),VLOOKUP(INDEX(英雄装备!$F:$BZ,MATCH($H31,英雄装备!$F:$F,0),MATCH(M$2,英雄装备!$1:$1,0)-4),装备属性!$A:$C,3,0),VLOOKUP(INDEX(英雄装备!$F:$BZ,MATCH($H31,英雄装备!$F:$F,0),MATCH(M$2,英雄装备!$1:$1,0)-3),装备属性!$A:$C,3,0),VLOOKUP(INDEX(英雄装备!$F:$BZ,MATCH($H31,英雄装备!$F:$F,0),MATCH(M$2,英雄装备!$1:$1,0)-2),装备属性!$A:$C,3,0),VLOOKUP(INDEX(英雄装备!$F:$BZ,MATCH($H31,英雄装备!$F:$F,0),MATCH(M$2,英雄装备!$1:$1,0)-1),装备属性!$A:$C,3,0),VLOOKUP(INDEX(英雄装备!$F:$BZ,MATCH($H31,英雄装备!$F:$F,0),MATCH(M$2,英雄装备!$1:$1,0)),装备属性!$A:$C,3,0))</f>
        <v>43</v>
      </c>
      <c r="N31" s="51">
        <f>MAX(VLOOKUP(INDEX(英雄装备!$F:$BZ,MATCH($H31,英雄装备!$F:$F,0),MATCH(N$2,英雄装备!$1:$1,0)-5),装备属性!$A:$C,3,0),VLOOKUP(INDEX(英雄装备!$F:$BZ,MATCH($H31,英雄装备!$F:$F,0),MATCH(N$2,英雄装备!$1:$1,0)-4),装备属性!$A:$C,3,0),VLOOKUP(INDEX(英雄装备!$F:$BZ,MATCH($H31,英雄装备!$F:$F,0),MATCH(N$2,英雄装备!$1:$1,0)-3),装备属性!$A:$C,3,0),VLOOKUP(INDEX(英雄装备!$F:$BZ,MATCH($H31,英雄装备!$F:$F,0),MATCH(N$2,英雄装备!$1:$1,0)-2),装备属性!$A:$C,3,0),VLOOKUP(INDEX(英雄装备!$F:$BZ,MATCH($H31,英雄装备!$F:$F,0),MATCH(N$2,英雄装备!$1:$1,0)-1),装备属性!$A:$C,3,0),VLOOKUP(INDEX(英雄装备!$F:$BZ,MATCH($H31,英雄装备!$F:$F,0),MATCH(N$2,英雄装备!$1:$1,0)),装备属性!$A:$C,3,0))</f>
        <v>53</v>
      </c>
      <c r="O31" s="51">
        <f>MAX(VLOOKUP(INDEX(英雄装备!$F:$BZ,MATCH($H31,英雄装备!$F:$F,0),MATCH(O$2,英雄装备!$1:$1,0)-5),装备属性!$A:$C,3,0),VLOOKUP(INDEX(英雄装备!$F:$BZ,MATCH($H31,英雄装备!$F:$F,0),MATCH(O$2,英雄装备!$1:$1,0)-4),装备属性!$A:$C,3,0),VLOOKUP(INDEX(英雄装备!$F:$BZ,MATCH($H31,英雄装备!$F:$F,0),MATCH(O$2,英雄装备!$1:$1,0)-3),装备属性!$A:$C,3,0),VLOOKUP(INDEX(英雄装备!$F:$BZ,MATCH($H31,英雄装备!$F:$F,0),MATCH(O$2,英雄装备!$1:$1,0)-2),装备属性!$A:$C,3,0),VLOOKUP(INDEX(英雄装备!$F:$BZ,MATCH($H31,英雄装备!$F:$F,0),MATCH(O$2,英雄装备!$1:$1,0)-1),装备属性!$A:$C,3,0),VLOOKUP(INDEX(英雄装备!$F:$BZ,MATCH($H31,英雄装备!$F:$F,0),MATCH(O$2,英雄装备!$1:$1,0)),装备属性!$A:$C,3,0))</f>
        <v>59</v>
      </c>
      <c r="P31" s="51">
        <f>MAX(VLOOKUP(INDEX(英雄装备!$F:$BZ,MATCH($H31,英雄装备!$F:$F,0),MATCH(P$2,英雄装备!$1:$1,0)-5),装备属性!$A:$C,3,0),VLOOKUP(INDEX(英雄装备!$F:$BZ,MATCH($H31,英雄装备!$F:$F,0),MATCH(P$2,英雄装备!$1:$1,0)-4),装备属性!$A:$C,3,0),VLOOKUP(INDEX(英雄装备!$F:$BZ,MATCH($H31,英雄装备!$F:$F,0),MATCH(P$2,英雄装备!$1:$1,0)-3),装备属性!$A:$C,3,0),VLOOKUP(INDEX(英雄装备!$F:$BZ,MATCH($H31,英雄装备!$F:$F,0),MATCH(P$2,英雄装备!$1:$1,0)-2),装备属性!$A:$C,3,0),VLOOKUP(INDEX(英雄装备!$F:$BZ,MATCH($H31,英雄装备!$F:$F,0),MATCH(P$2,英雄装备!$1:$1,0)-1),装备属性!$A:$C,3,0),VLOOKUP(INDEX(英雄装备!$F:$BZ,MATCH($H31,英雄装备!$F:$F,0),MATCH(P$2,英雄装备!$1:$1,0)),装备属性!$A:$C,3,0))</f>
        <v>70</v>
      </c>
      <c r="Q31" s="51">
        <f>MAX(VLOOKUP(INDEX(英雄装备!$F:$BZ,MATCH($H31,英雄装备!$F:$F,0),MATCH(Q$2,英雄装备!$1:$1,0)-5),装备属性!$A:$C,3,0),VLOOKUP(INDEX(英雄装备!$F:$BZ,MATCH($H31,英雄装备!$F:$F,0),MATCH(Q$2,英雄装备!$1:$1,0)-4),装备属性!$A:$C,3,0),VLOOKUP(INDEX(英雄装备!$F:$BZ,MATCH($H31,英雄装备!$F:$F,0),MATCH(Q$2,英雄装备!$1:$1,0)-3),装备属性!$A:$C,3,0),VLOOKUP(INDEX(英雄装备!$F:$BZ,MATCH($H31,英雄装备!$F:$F,0),MATCH(Q$2,英雄装备!$1:$1,0)-2),装备属性!$A:$C,3,0),VLOOKUP(INDEX(英雄装备!$F:$BZ,MATCH($H31,英雄装备!$F:$F,0),MATCH(Q$2,英雄装备!$1:$1,0)-1),装备属性!$A:$C,3,0),VLOOKUP(INDEX(英雄装备!$F:$BZ,MATCH($H31,英雄装备!$F:$F,0),MATCH(Q$2,英雄装备!$1:$1,0)),装备属性!$A:$C,3,0))</f>
        <v>78</v>
      </c>
      <c r="R31" s="51">
        <f>MAX(VLOOKUP(INDEX(英雄装备!$F:$BZ,MATCH($H31,英雄装备!$F:$F,0),MATCH(R$2,英雄装备!$1:$1,0)-5),装备属性!$A:$C,3,0),VLOOKUP(INDEX(英雄装备!$F:$BZ,MATCH($H31,英雄装备!$F:$F,0),MATCH(R$2,英雄装备!$1:$1,0)-4),装备属性!$A:$C,3,0),VLOOKUP(INDEX(英雄装备!$F:$BZ,MATCH($H31,英雄装备!$F:$F,0),MATCH(R$2,英雄装备!$1:$1,0)-3),装备属性!$A:$C,3,0),VLOOKUP(INDEX(英雄装备!$F:$BZ,MATCH($H31,英雄装备!$F:$F,0),MATCH(R$2,英雄装备!$1:$1,0)-2),装备属性!$A:$C,3,0),VLOOKUP(INDEX(英雄装备!$F:$BZ,MATCH($H31,英雄装备!$F:$F,0),MATCH(R$2,英雄装备!$1:$1,0)-1),装备属性!$A:$C,3,0),VLOOKUP(INDEX(英雄装备!$F:$BZ,MATCH($H31,英雄装备!$F:$F,0),MATCH(R$2,英雄装备!$1:$1,0)),装备属性!$A:$C,3,0))</f>
        <v>80</v>
      </c>
      <c r="S31" s="51">
        <f>MAX(VLOOKUP(INDEX(英雄装备!$F:$BZ,MATCH($H31,英雄装备!$F:$F,0),MATCH(S$2,英雄装备!$1:$1,0)-5),装备属性!$A:$C,3,0),VLOOKUP(INDEX(英雄装备!$F:$BZ,MATCH($H31,英雄装备!$F:$F,0),MATCH(S$2,英雄装备!$1:$1,0)-4),装备属性!$A:$C,3,0),VLOOKUP(INDEX(英雄装备!$F:$BZ,MATCH($H31,英雄装备!$F:$F,0),MATCH(S$2,英雄装备!$1:$1,0)-3),装备属性!$A:$C,3,0),VLOOKUP(INDEX(英雄装备!$F:$BZ,MATCH($H31,英雄装备!$F:$F,0),MATCH(S$2,英雄装备!$1:$1,0)-2),装备属性!$A:$C,3,0),VLOOKUP(INDEX(英雄装备!$F:$BZ,MATCH($H31,英雄装备!$F:$F,0),MATCH(S$2,英雄装备!$1:$1,0)-1),装备属性!$A:$C,3,0),VLOOKUP(INDEX(英雄装备!$F:$BZ,MATCH($H31,英雄装备!$F:$F,0),MATCH(S$2,英雄装备!$1:$1,0)),装备属性!$A:$C,3,0))</f>
        <v>85</v>
      </c>
      <c r="T31" s="51">
        <f>MAX(VLOOKUP(INDEX(英雄装备!$F:$BZ,MATCH($H31,英雄装备!$F:$F,0),MATCH(T$2,英雄装备!$1:$1,0)-5),装备属性!$A:$C,3,0),VLOOKUP(INDEX(英雄装备!$F:$BZ,MATCH($H31,英雄装备!$F:$F,0),MATCH(T$2,英雄装备!$1:$1,0)-4),装备属性!$A:$C,3,0),VLOOKUP(INDEX(英雄装备!$F:$BZ,MATCH($H31,英雄装备!$F:$F,0),MATCH(T$2,英雄装备!$1:$1,0)-3),装备属性!$A:$C,3,0),VLOOKUP(INDEX(英雄装备!$F:$BZ,MATCH($H31,英雄装备!$F:$F,0),MATCH(T$2,英雄装备!$1:$1,0)-2),装备属性!$A:$C,3,0),VLOOKUP(INDEX(英雄装备!$F:$BZ,MATCH($H31,英雄装备!$F:$F,0),MATCH(T$2,英雄装备!$1:$1,0)-1),装备属性!$A:$C,3,0))</f>
        <v>87</v>
      </c>
      <c r="X31" s="151" t="b">
        <f t="shared" si="4"/>
        <v>1</v>
      </c>
      <c r="Y31" s="151" t="b">
        <f t="shared" si="4"/>
        <v>1</v>
      </c>
      <c r="Z31" s="151" t="b">
        <f t="shared" si="4"/>
        <v>1</v>
      </c>
      <c r="AA31" s="151" t="b">
        <f t="shared" si="4"/>
        <v>1</v>
      </c>
      <c r="AB31" s="151" t="b">
        <f t="shared" si="4"/>
        <v>1</v>
      </c>
      <c r="AC31" s="151" t="b">
        <f t="shared" si="4"/>
        <v>1</v>
      </c>
      <c r="AF31" s="151">
        <v>2</v>
      </c>
      <c r="AG31" s="151" t="str">
        <f>Z2</f>
        <v>敏捷系带</v>
      </c>
      <c r="AH31" s="151">
        <f>VLOOKUP($AG31,装备属性!$A:$Y,5,0)</f>
        <v>3</v>
      </c>
      <c r="AI31" s="151">
        <f>VLOOKUP($AG31,装备属性!$A:$Y,6,0)</f>
        <v>6</v>
      </c>
      <c r="AJ31" s="151">
        <f>VLOOKUP($AG31,装备属性!$A:$Y,7,0)</f>
        <v>3</v>
      </c>
      <c r="AK31" s="151">
        <f>VLOOKUP($AG31,装备属性!$A:$Y,8,0)</f>
        <v>0</v>
      </c>
      <c r="AL31" s="151">
        <f>VLOOKUP($AG31,装备属性!$A:$Y,9,0)</f>
        <v>3</v>
      </c>
      <c r="AM31" s="151">
        <f>VLOOKUP($AG31,装备属性!$A:$Y,10,0)</f>
        <v>0</v>
      </c>
      <c r="AN31" s="151">
        <f>VLOOKUP($AG31,装备属性!$A:$Y,11,0)</f>
        <v>0</v>
      </c>
      <c r="AO31" s="151">
        <f>VLOOKUP($AG31,装备属性!$A:$Y,12,0)</f>
        <v>0</v>
      </c>
      <c r="AP31" s="151">
        <f>VLOOKUP($AG31,装备属性!$A:$Y,13,0)</f>
        <v>0</v>
      </c>
      <c r="AQ31" s="151">
        <f>VLOOKUP($AG31,装备属性!$A:$Y,14,0)</f>
        <v>0</v>
      </c>
      <c r="AR31" s="151">
        <f>VLOOKUP($AG31,装备属性!$A:$Y,15,0)</f>
        <v>0</v>
      </c>
      <c r="AS31" s="151">
        <f>VLOOKUP($AG31,装备属性!$A:$Y,16,0)</f>
        <v>0</v>
      </c>
      <c r="AT31" s="151">
        <f>VLOOKUP($AG31,装备属性!$A:$Y,17,0)</f>
        <v>0</v>
      </c>
      <c r="AU31" s="151">
        <f>VLOOKUP($AG31,装备属性!$A:$Y,18,0)</f>
        <v>0</v>
      </c>
      <c r="AV31" s="151">
        <f>VLOOKUP($AG31,装备属性!$A:$Y,19,0)</f>
        <v>0</v>
      </c>
      <c r="AW31" s="151">
        <f>VLOOKUP($AG31,装备属性!$A:$Y,20,0)</f>
        <v>0</v>
      </c>
      <c r="AX31" s="151">
        <f>VLOOKUP($AG31,装备属性!$A:$Y,21,0)</f>
        <v>0</v>
      </c>
      <c r="AY31" s="151">
        <f>VLOOKUP($AG31,装备属性!$A:$Y,22,0)</f>
        <v>0</v>
      </c>
      <c r="AZ31" s="151">
        <f>VLOOKUP($AG31,装备属性!$A:$Y,23,0)</f>
        <v>0</v>
      </c>
      <c r="BA31" s="151">
        <f>VLOOKUP($AG31,装备属性!$A:$Y,24,0)</f>
        <v>0</v>
      </c>
      <c r="BB31" s="151">
        <f>VLOOKUP($AG31,装备属性!$A:$Y,25,0)</f>
        <v>0</v>
      </c>
    </row>
    <row r="32" spans="2:54">
      <c r="B32" s="151" t="str">
        <f>英雄初始!A33</f>
        <v>风行</v>
      </c>
      <c r="H32" s="54" t="s">
        <v>185</v>
      </c>
      <c r="I32" s="51">
        <f>MAX(VLOOKUP(INDEX(英雄装备!$F:$BZ,MATCH($H32,英雄装备!$F:$F,0),MATCH(I$2,英雄装备!$1:$1,0)-5),装备属性!$A:$C,3,0),VLOOKUP(INDEX(英雄装备!$F:$BZ,MATCH($H32,英雄装备!$F:$F,0),MATCH(I$2,英雄装备!$1:$1,0)-4),装备属性!$A:$C,3,0),VLOOKUP(INDEX(英雄装备!$F:$BZ,MATCH($H32,英雄装备!$F:$F,0),MATCH(I$2,英雄装备!$1:$1,0)-3),装备属性!$A:$C,3,0),VLOOKUP(INDEX(英雄装备!$F:$BZ,MATCH($H32,英雄装备!$F:$F,0),MATCH(I$2,英雄装备!$1:$1,0)-2),装备属性!$A:$C,3,0),VLOOKUP(INDEX(英雄装备!$F:$BZ,MATCH($H32,英雄装备!$F:$F,0),MATCH(I$2,英雄装备!$1:$1,0)-1),装备属性!$A:$C,3,0),VLOOKUP(INDEX(英雄装备!$F:$BZ,MATCH($H32,英雄装备!$F:$F,0),MATCH(I$2,英雄装备!$1:$1,0)),装备属性!$A:$C,3,0))</f>
        <v>2</v>
      </c>
      <c r="J32" s="51">
        <f>MAX(VLOOKUP(INDEX(英雄装备!$F:$BZ,MATCH($H32,英雄装备!$F:$F,0),MATCH(J$2,英雄装备!$1:$1,0)-5),装备属性!$A:$C,3,0),VLOOKUP(INDEX(英雄装备!$F:$BZ,MATCH($H32,英雄装备!$F:$F,0),MATCH(J$2,英雄装备!$1:$1,0)-4),装备属性!$A:$C,3,0),VLOOKUP(INDEX(英雄装备!$F:$BZ,MATCH($H32,英雄装备!$F:$F,0),MATCH(J$2,英雄装备!$1:$1,0)-3),装备属性!$A:$C,3,0),VLOOKUP(INDEX(英雄装备!$F:$BZ,MATCH($H32,英雄装备!$F:$F,0),MATCH(J$2,英雄装备!$1:$1,0)-2),装备属性!$A:$C,3,0),VLOOKUP(INDEX(英雄装备!$F:$BZ,MATCH($H32,英雄装备!$F:$F,0),MATCH(J$2,英雄装备!$1:$1,0)-1),装备属性!$A:$C,3,0),VLOOKUP(INDEX(英雄装备!$F:$BZ,MATCH($H32,英雄装备!$F:$F,0),MATCH(J$2,英雄装备!$1:$1,0)),装备属性!$A:$C,3,0))</f>
        <v>10</v>
      </c>
      <c r="K32" s="51">
        <f>MAX(VLOOKUP(INDEX(英雄装备!$F:$BZ,MATCH($H32,英雄装备!$F:$F,0),MATCH(K$2,英雄装备!$1:$1,0)-5),装备属性!$A:$C,3,0),VLOOKUP(INDEX(英雄装备!$F:$BZ,MATCH($H32,英雄装备!$F:$F,0),MATCH(K$2,英雄装备!$1:$1,0)-4),装备属性!$A:$C,3,0),VLOOKUP(INDEX(英雄装备!$F:$BZ,MATCH($H32,英雄装备!$F:$F,0),MATCH(K$2,英雄装备!$1:$1,0)-3),装备属性!$A:$C,3,0),VLOOKUP(INDEX(英雄装备!$F:$BZ,MATCH($H32,英雄装备!$F:$F,0),MATCH(K$2,英雄装备!$1:$1,0)-2),装备属性!$A:$C,3,0),VLOOKUP(INDEX(英雄装备!$F:$BZ,MATCH($H32,英雄装备!$F:$F,0),MATCH(K$2,英雄装备!$1:$1,0)-1),装备属性!$A:$C,3,0),VLOOKUP(INDEX(英雄装备!$F:$BZ,MATCH($H32,英雄装备!$F:$F,0),MATCH(K$2,英雄装备!$1:$1,0)),装备属性!$A:$C,3,0))</f>
        <v>20</v>
      </c>
      <c r="L32" s="51">
        <f>MAX(VLOOKUP(INDEX(英雄装备!$F:$BZ,MATCH($H32,英雄装备!$F:$F,0),MATCH(L$2,英雄装备!$1:$1,0)-5),装备属性!$A:$C,3,0),VLOOKUP(INDEX(英雄装备!$F:$BZ,MATCH($H32,英雄装备!$F:$F,0),MATCH(L$2,英雄装备!$1:$1,0)-4),装备属性!$A:$C,3,0),VLOOKUP(INDEX(英雄装备!$F:$BZ,MATCH($H32,英雄装备!$F:$F,0),MATCH(L$2,英雄装备!$1:$1,0)-3),装备属性!$A:$C,3,0),VLOOKUP(INDEX(英雄装备!$F:$BZ,MATCH($H32,英雄装备!$F:$F,0),MATCH(L$2,英雄装备!$1:$1,0)-2),装备属性!$A:$C,3,0),VLOOKUP(INDEX(英雄装备!$F:$BZ,MATCH($H32,英雄装备!$F:$F,0),MATCH(L$2,英雄装备!$1:$1,0)-1),装备属性!$A:$C,3,0),VLOOKUP(INDEX(英雄装备!$F:$BZ,MATCH($H32,英雄装备!$F:$F,0),MATCH(L$2,英雄装备!$1:$1,0)),装备属性!$A:$C,3,0))</f>
        <v>33</v>
      </c>
      <c r="M32" s="51">
        <f>MAX(VLOOKUP(INDEX(英雄装备!$F:$BZ,MATCH($H32,英雄装备!$F:$F,0),MATCH(M$2,英雄装备!$1:$1,0)-5),装备属性!$A:$C,3,0),VLOOKUP(INDEX(英雄装备!$F:$BZ,MATCH($H32,英雄装备!$F:$F,0),MATCH(M$2,英雄装备!$1:$1,0)-4),装备属性!$A:$C,3,0),VLOOKUP(INDEX(英雄装备!$F:$BZ,MATCH($H32,英雄装备!$F:$F,0),MATCH(M$2,英雄装备!$1:$1,0)-3),装备属性!$A:$C,3,0),VLOOKUP(INDEX(英雄装备!$F:$BZ,MATCH($H32,英雄装备!$F:$F,0),MATCH(M$2,英雄装备!$1:$1,0)-2),装备属性!$A:$C,3,0),VLOOKUP(INDEX(英雄装备!$F:$BZ,MATCH($H32,英雄装备!$F:$F,0),MATCH(M$2,英雄装备!$1:$1,0)-1),装备属性!$A:$C,3,0),VLOOKUP(INDEX(英雄装备!$F:$BZ,MATCH($H32,英雄装备!$F:$F,0),MATCH(M$2,英雄装备!$1:$1,0)),装备属性!$A:$C,3,0))</f>
        <v>42</v>
      </c>
      <c r="N32" s="51">
        <f>MAX(VLOOKUP(INDEX(英雄装备!$F:$BZ,MATCH($H32,英雄装备!$F:$F,0),MATCH(N$2,英雄装备!$1:$1,0)-5),装备属性!$A:$C,3,0),VLOOKUP(INDEX(英雄装备!$F:$BZ,MATCH($H32,英雄装备!$F:$F,0),MATCH(N$2,英雄装备!$1:$1,0)-4),装备属性!$A:$C,3,0),VLOOKUP(INDEX(英雄装备!$F:$BZ,MATCH($H32,英雄装备!$F:$F,0),MATCH(N$2,英雄装备!$1:$1,0)-3),装备属性!$A:$C,3,0),VLOOKUP(INDEX(英雄装备!$F:$BZ,MATCH($H32,英雄装备!$F:$F,0),MATCH(N$2,英雄装备!$1:$1,0)-2),装备属性!$A:$C,3,0),VLOOKUP(INDEX(英雄装备!$F:$BZ,MATCH($H32,英雄装备!$F:$F,0),MATCH(N$2,英雄装备!$1:$1,0)-1),装备属性!$A:$C,3,0),VLOOKUP(INDEX(英雄装备!$F:$BZ,MATCH($H32,英雄装备!$F:$F,0),MATCH(N$2,英雄装备!$1:$1,0)),装备属性!$A:$C,3,0))</f>
        <v>51</v>
      </c>
      <c r="O32" s="51">
        <f>MAX(VLOOKUP(INDEX(英雄装备!$F:$BZ,MATCH($H32,英雄装备!$F:$F,0),MATCH(O$2,英雄装备!$1:$1,0)-5),装备属性!$A:$C,3,0),VLOOKUP(INDEX(英雄装备!$F:$BZ,MATCH($H32,英雄装备!$F:$F,0),MATCH(O$2,英雄装备!$1:$1,0)-4),装备属性!$A:$C,3,0),VLOOKUP(INDEX(英雄装备!$F:$BZ,MATCH($H32,英雄装备!$F:$F,0),MATCH(O$2,英雄装备!$1:$1,0)-3),装备属性!$A:$C,3,0),VLOOKUP(INDEX(英雄装备!$F:$BZ,MATCH($H32,英雄装备!$F:$F,0),MATCH(O$2,英雄装备!$1:$1,0)-2),装备属性!$A:$C,3,0),VLOOKUP(INDEX(英雄装备!$F:$BZ,MATCH($H32,英雄装备!$F:$F,0),MATCH(O$2,英雄装备!$1:$1,0)-1),装备属性!$A:$C,3,0),VLOOKUP(INDEX(英雄装备!$F:$BZ,MATCH($H32,英雄装备!$F:$F,0),MATCH(O$2,英雄装备!$1:$1,0)),装备属性!$A:$C,3,0))</f>
        <v>60</v>
      </c>
      <c r="P32" s="51">
        <f>MAX(VLOOKUP(INDEX(英雄装备!$F:$BZ,MATCH($H32,英雄装备!$F:$F,0),MATCH(P$2,英雄装备!$1:$1,0)-5),装备属性!$A:$C,3,0),VLOOKUP(INDEX(英雄装备!$F:$BZ,MATCH($H32,英雄装备!$F:$F,0),MATCH(P$2,英雄装备!$1:$1,0)-4),装备属性!$A:$C,3,0),VLOOKUP(INDEX(英雄装备!$F:$BZ,MATCH($H32,英雄装备!$F:$F,0),MATCH(P$2,英雄装备!$1:$1,0)-3),装备属性!$A:$C,3,0),VLOOKUP(INDEX(英雄装备!$F:$BZ,MATCH($H32,英雄装备!$F:$F,0),MATCH(P$2,英雄装备!$1:$1,0)-2),装备属性!$A:$C,3,0),VLOOKUP(INDEX(英雄装备!$F:$BZ,MATCH($H32,英雄装备!$F:$F,0),MATCH(P$2,英雄装备!$1:$1,0)-1),装备属性!$A:$C,3,0),VLOOKUP(INDEX(英雄装备!$F:$BZ,MATCH($H32,英雄装备!$F:$F,0),MATCH(P$2,英雄装备!$1:$1,0)),装备属性!$A:$C,3,0))</f>
        <v>70</v>
      </c>
      <c r="Q32" s="51">
        <f>MAX(VLOOKUP(INDEX(英雄装备!$F:$BZ,MATCH($H32,英雄装备!$F:$F,0),MATCH(Q$2,英雄装备!$1:$1,0)-5),装备属性!$A:$C,3,0),VLOOKUP(INDEX(英雄装备!$F:$BZ,MATCH($H32,英雄装备!$F:$F,0),MATCH(Q$2,英雄装备!$1:$1,0)-4),装备属性!$A:$C,3,0),VLOOKUP(INDEX(英雄装备!$F:$BZ,MATCH($H32,英雄装备!$F:$F,0),MATCH(Q$2,英雄装备!$1:$1,0)-3),装备属性!$A:$C,3,0),VLOOKUP(INDEX(英雄装备!$F:$BZ,MATCH($H32,英雄装备!$F:$F,0),MATCH(Q$2,英雄装备!$1:$1,0)-2),装备属性!$A:$C,3,0),VLOOKUP(INDEX(英雄装备!$F:$BZ,MATCH($H32,英雄装备!$F:$F,0),MATCH(Q$2,英雄装备!$1:$1,0)-1),装备属性!$A:$C,3,0),VLOOKUP(INDEX(英雄装备!$F:$BZ,MATCH($H32,英雄装备!$F:$F,0),MATCH(Q$2,英雄装备!$1:$1,0)),装备属性!$A:$C,3,0))</f>
        <v>78</v>
      </c>
      <c r="R32" s="51">
        <f>MAX(VLOOKUP(INDEX(英雄装备!$F:$BZ,MATCH($H32,英雄装备!$F:$F,0),MATCH(R$2,英雄装备!$1:$1,0)-5),装备属性!$A:$C,3,0),VLOOKUP(INDEX(英雄装备!$F:$BZ,MATCH($H32,英雄装备!$F:$F,0),MATCH(R$2,英雄装备!$1:$1,0)-4),装备属性!$A:$C,3,0),VLOOKUP(INDEX(英雄装备!$F:$BZ,MATCH($H32,英雄装备!$F:$F,0),MATCH(R$2,英雄装备!$1:$1,0)-3),装备属性!$A:$C,3,0),VLOOKUP(INDEX(英雄装备!$F:$BZ,MATCH($H32,英雄装备!$F:$F,0),MATCH(R$2,英雄装备!$1:$1,0)-2),装备属性!$A:$C,3,0),VLOOKUP(INDEX(英雄装备!$F:$BZ,MATCH($H32,英雄装备!$F:$F,0),MATCH(R$2,英雄装备!$1:$1,0)-1),装备属性!$A:$C,3,0),VLOOKUP(INDEX(英雄装备!$F:$BZ,MATCH($H32,英雄装备!$F:$F,0),MATCH(R$2,英雄装备!$1:$1,0)),装备属性!$A:$C,3,0))</f>
        <v>80</v>
      </c>
      <c r="S32" s="51">
        <f>MAX(VLOOKUP(INDEX(英雄装备!$F:$BZ,MATCH($H32,英雄装备!$F:$F,0),MATCH(S$2,英雄装备!$1:$1,0)-5),装备属性!$A:$C,3,0),VLOOKUP(INDEX(英雄装备!$F:$BZ,MATCH($H32,英雄装备!$F:$F,0),MATCH(S$2,英雄装备!$1:$1,0)-4),装备属性!$A:$C,3,0),VLOOKUP(INDEX(英雄装备!$F:$BZ,MATCH($H32,英雄装备!$F:$F,0),MATCH(S$2,英雄装备!$1:$1,0)-3),装备属性!$A:$C,3,0),VLOOKUP(INDEX(英雄装备!$F:$BZ,MATCH($H32,英雄装备!$F:$F,0),MATCH(S$2,英雄装备!$1:$1,0)-2),装备属性!$A:$C,3,0),VLOOKUP(INDEX(英雄装备!$F:$BZ,MATCH($H32,英雄装备!$F:$F,0),MATCH(S$2,英雄装备!$1:$1,0)-1),装备属性!$A:$C,3,0),VLOOKUP(INDEX(英雄装备!$F:$BZ,MATCH($H32,英雄装备!$F:$F,0),MATCH(S$2,英雄装备!$1:$1,0)),装备属性!$A:$C,3,0))</f>
        <v>85</v>
      </c>
      <c r="T32" s="51">
        <f>MAX(VLOOKUP(INDEX(英雄装备!$F:$BZ,MATCH($H32,英雄装备!$F:$F,0),MATCH(T$2,英雄装备!$1:$1,0)-5),装备属性!$A:$C,3,0),VLOOKUP(INDEX(英雄装备!$F:$BZ,MATCH($H32,英雄装备!$F:$F,0),MATCH(T$2,英雄装备!$1:$1,0)-4),装备属性!$A:$C,3,0),VLOOKUP(INDEX(英雄装备!$F:$BZ,MATCH($H32,英雄装备!$F:$F,0),MATCH(T$2,英雄装备!$1:$1,0)-3),装备属性!$A:$C,3,0),VLOOKUP(INDEX(英雄装备!$F:$BZ,MATCH($H32,英雄装备!$F:$F,0),MATCH(T$2,英雄装备!$1:$1,0)-2),装备属性!$A:$C,3,0),VLOOKUP(INDEX(英雄装备!$F:$BZ,MATCH($H32,英雄装备!$F:$F,0),MATCH(T$2,英雄装备!$1:$1,0)-1),装备属性!$A:$C,3,0))</f>
        <v>88</v>
      </c>
      <c r="X32" s="151" t="b">
        <f t="shared" si="4"/>
        <v>1</v>
      </c>
      <c r="Y32" s="151" t="b">
        <f t="shared" si="4"/>
        <v>1</v>
      </c>
      <c r="Z32" s="151" t="b">
        <f t="shared" si="4"/>
        <v>1</v>
      </c>
      <c r="AA32" s="151" t="b">
        <f t="shared" si="4"/>
        <v>1</v>
      </c>
      <c r="AB32" s="151" t="b">
        <f t="shared" si="4"/>
        <v>1</v>
      </c>
      <c r="AC32" s="151" t="b">
        <f t="shared" si="4"/>
        <v>1</v>
      </c>
      <c r="AF32" s="151">
        <v>2</v>
      </c>
      <c r="AG32" s="151" t="str">
        <f>AA2</f>
        <v>敏捷系带</v>
      </c>
      <c r="AH32" s="151">
        <f>VLOOKUP($AG32,装备属性!$A:$Y,5,0)</f>
        <v>3</v>
      </c>
      <c r="AI32" s="151">
        <f>VLOOKUP($AG32,装备属性!$A:$Y,6,0)</f>
        <v>6</v>
      </c>
      <c r="AJ32" s="151">
        <f>VLOOKUP($AG32,装备属性!$A:$Y,7,0)</f>
        <v>3</v>
      </c>
      <c r="AK32" s="151">
        <f>VLOOKUP($AG32,装备属性!$A:$Y,8,0)</f>
        <v>0</v>
      </c>
      <c r="AL32" s="151">
        <f>VLOOKUP($AG32,装备属性!$A:$Y,9,0)</f>
        <v>3</v>
      </c>
      <c r="AM32" s="151">
        <f>VLOOKUP($AG32,装备属性!$A:$Y,10,0)</f>
        <v>0</v>
      </c>
      <c r="AN32" s="151">
        <f>VLOOKUP($AG32,装备属性!$A:$Y,11,0)</f>
        <v>0</v>
      </c>
      <c r="AO32" s="151">
        <f>VLOOKUP($AG32,装备属性!$A:$Y,12,0)</f>
        <v>0</v>
      </c>
      <c r="AP32" s="151">
        <f>VLOOKUP($AG32,装备属性!$A:$Y,13,0)</f>
        <v>0</v>
      </c>
      <c r="AQ32" s="151">
        <f>VLOOKUP($AG32,装备属性!$A:$Y,14,0)</f>
        <v>0</v>
      </c>
      <c r="AR32" s="151">
        <f>VLOOKUP($AG32,装备属性!$A:$Y,15,0)</f>
        <v>0</v>
      </c>
      <c r="AS32" s="151">
        <f>VLOOKUP($AG32,装备属性!$A:$Y,16,0)</f>
        <v>0</v>
      </c>
      <c r="AT32" s="151">
        <f>VLOOKUP($AG32,装备属性!$A:$Y,17,0)</f>
        <v>0</v>
      </c>
      <c r="AU32" s="151">
        <f>VLOOKUP($AG32,装备属性!$A:$Y,18,0)</f>
        <v>0</v>
      </c>
      <c r="AV32" s="151">
        <f>VLOOKUP($AG32,装备属性!$A:$Y,19,0)</f>
        <v>0</v>
      </c>
      <c r="AW32" s="151">
        <f>VLOOKUP($AG32,装备属性!$A:$Y,20,0)</f>
        <v>0</v>
      </c>
      <c r="AX32" s="151">
        <f>VLOOKUP($AG32,装备属性!$A:$Y,21,0)</f>
        <v>0</v>
      </c>
      <c r="AY32" s="151">
        <f>VLOOKUP($AG32,装备属性!$A:$Y,22,0)</f>
        <v>0</v>
      </c>
      <c r="AZ32" s="151">
        <f>VLOOKUP($AG32,装备属性!$A:$Y,23,0)</f>
        <v>0</v>
      </c>
      <c r="BA32" s="151">
        <f>VLOOKUP($AG32,装备属性!$A:$Y,24,0)</f>
        <v>0</v>
      </c>
      <c r="BB32" s="151">
        <f>VLOOKUP($AG32,装备属性!$A:$Y,25,0)</f>
        <v>0</v>
      </c>
    </row>
    <row r="33" spans="2:54">
      <c r="B33" s="151" t="str">
        <f>英雄初始!A34</f>
        <v>骨法</v>
      </c>
      <c r="H33" s="54" t="s">
        <v>186</v>
      </c>
      <c r="I33" s="51">
        <f>MAX(VLOOKUP(INDEX(英雄装备!$F:$BZ,MATCH($H33,英雄装备!$F:$F,0),MATCH(I$2,英雄装备!$1:$1,0)-5),装备属性!$A:$C,3,0),VLOOKUP(INDEX(英雄装备!$F:$BZ,MATCH($H33,英雄装备!$F:$F,0),MATCH(I$2,英雄装备!$1:$1,0)-4),装备属性!$A:$C,3,0),VLOOKUP(INDEX(英雄装备!$F:$BZ,MATCH($H33,英雄装备!$F:$F,0),MATCH(I$2,英雄装备!$1:$1,0)-3),装备属性!$A:$C,3,0),VLOOKUP(INDEX(英雄装备!$F:$BZ,MATCH($H33,英雄装备!$F:$F,0),MATCH(I$2,英雄装备!$1:$1,0)-2),装备属性!$A:$C,3,0),VLOOKUP(INDEX(英雄装备!$F:$BZ,MATCH($H33,英雄装备!$F:$F,0),MATCH(I$2,英雄装备!$1:$1,0)-1),装备属性!$A:$C,3,0),VLOOKUP(INDEX(英雄装备!$F:$BZ,MATCH($H33,英雄装备!$F:$F,0),MATCH(I$2,英雄装备!$1:$1,0)),装备属性!$A:$C,3,0))</f>
        <v>2</v>
      </c>
      <c r="J33" s="51">
        <f>MAX(VLOOKUP(INDEX(英雄装备!$F:$BZ,MATCH($H33,英雄装备!$F:$F,0),MATCH(J$2,英雄装备!$1:$1,0)-5),装备属性!$A:$C,3,0),VLOOKUP(INDEX(英雄装备!$F:$BZ,MATCH($H33,英雄装备!$F:$F,0),MATCH(J$2,英雄装备!$1:$1,0)-4),装备属性!$A:$C,3,0),VLOOKUP(INDEX(英雄装备!$F:$BZ,MATCH($H33,英雄装备!$F:$F,0),MATCH(J$2,英雄装备!$1:$1,0)-3),装备属性!$A:$C,3,0),VLOOKUP(INDEX(英雄装备!$F:$BZ,MATCH($H33,英雄装备!$F:$F,0),MATCH(J$2,英雄装备!$1:$1,0)-2),装备属性!$A:$C,3,0),VLOOKUP(INDEX(英雄装备!$F:$BZ,MATCH($H33,英雄装备!$F:$F,0),MATCH(J$2,英雄装备!$1:$1,0)-1),装备属性!$A:$C,3,0),VLOOKUP(INDEX(英雄装备!$F:$BZ,MATCH($H33,英雄装备!$F:$F,0),MATCH(J$2,英雄装备!$1:$1,0)),装备属性!$A:$C,3,0))</f>
        <v>10</v>
      </c>
      <c r="K33" s="51">
        <f>MAX(VLOOKUP(INDEX(英雄装备!$F:$BZ,MATCH($H33,英雄装备!$F:$F,0),MATCH(K$2,英雄装备!$1:$1,0)-5),装备属性!$A:$C,3,0),VLOOKUP(INDEX(英雄装备!$F:$BZ,MATCH($H33,英雄装备!$F:$F,0),MATCH(K$2,英雄装备!$1:$1,0)-4),装备属性!$A:$C,3,0),VLOOKUP(INDEX(英雄装备!$F:$BZ,MATCH($H33,英雄装备!$F:$F,0),MATCH(K$2,英雄装备!$1:$1,0)-3),装备属性!$A:$C,3,0),VLOOKUP(INDEX(英雄装备!$F:$BZ,MATCH($H33,英雄装备!$F:$F,0),MATCH(K$2,英雄装备!$1:$1,0)-2),装备属性!$A:$C,3,0),VLOOKUP(INDEX(英雄装备!$F:$BZ,MATCH($H33,英雄装备!$F:$F,0),MATCH(K$2,英雄装备!$1:$1,0)-1),装备属性!$A:$C,3,0),VLOOKUP(INDEX(英雄装备!$F:$BZ,MATCH($H33,英雄装备!$F:$F,0),MATCH(K$2,英雄装备!$1:$1,0)),装备属性!$A:$C,3,0))</f>
        <v>20</v>
      </c>
      <c r="L33" s="51">
        <f>MAX(VLOOKUP(INDEX(英雄装备!$F:$BZ,MATCH($H33,英雄装备!$F:$F,0),MATCH(L$2,英雄装备!$1:$1,0)-5),装备属性!$A:$C,3,0),VLOOKUP(INDEX(英雄装备!$F:$BZ,MATCH($H33,英雄装备!$F:$F,0),MATCH(L$2,英雄装备!$1:$1,0)-4),装备属性!$A:$C,3,0),VLOOKUP(INDEX(英雄装备!$F:$BZ,MATCH($H33,英雄装备!$F:$F,0),MATCH(L$2,英雄装备!$1:$1,0)-3),装备属性!$A:$C,3,0),VLOOKUP(INDEX(英雄装备!$F:$BZ,MATCH($H33,英雄装备!$F:$F,0),MATCH(L$2,英雄装备!$1:$1,0)-2),装备属性!$A:$C,3,0),VLOOKUP(INDEX(英雄装备!$F:$BZ,MATCH($H33,英雄装备!$F:$F,0),MATCH(L$2,英雄装备!$1:$1,0)-1),装备属性!$A:$C,3,0),VLOOKUP(INDEX(英雄装备!$F:$BZ,MATCH($H33,英雄装备!$F:$F,0),MATCH(L$2,英雄装备!$1:$1,0)),装备属性!$A:$C,3,0))</f>
        <v>33</v>
      </c>
      <c r="M33" s="51">
        <f>MAX(VLOOKUP(INDEX(英雄装备!$F:$BZ,MATCH($H33,英雄装备!$F:$F,0),MATCH(M$2,英雄装备!$1:$1,0)-5),装备属性!$A:$C,3,0),VLOOKUP(INDEX(英雄装备!$F:$BZ,MATCH($H33,英雄装备!$F:$F,0),MATCH(M$2,英雄装备!$1:$1,0)-4),装备属性!$A:$C,3,0),VLOOKUP(INDEX(英雄装备!$F:$BZ,MATCH($H33,英雄装备!$F:$F,0),MATCH(M$2,英雄装备!$1:$1,0)-3),装备属性!$A:$C,3,0),VLOOKUP(INDEX(英雄装备!$F:$BZ,MATCH($H33,英雄装备!$F:$F,0),MATCH(M$2,英雄装备!$1:$1,0)-2),装备属性!$A:$C,3,0),VLOOKUP(INDEX(英雄装备!$F:$BZ,MATCH($H33,英雄装备!$F:$F,0),MATCH(M$2,英雄装备!$1:$1,0)-1),装备属性!$A:$C,3,0),VLOOKUP(INDEX(英雄装备!$F:$BZ,MATCH($H33,英雄装备!$F:$F,0),MATCH(M$2,英雄装备!$1:$1,0)),装备属性!$A:$C,3,0))</f>
        <v>42</v>
      </c>
      <c r="N33" s="51">
        <f>MAX(VLOOKUP(INDEX(英雄装备!$F:$BZ,MATCH($H33,英雄装备!$F:$F,0),MATCH(N$2,英雄装备!$1:$1,0)-5),装备属性!$A:$C,3,0),VLOOKUP(INDEX(英雄装备!$F:$BZ,MATCH($H33,英雄装备!$F:$F,0),MATCH(N$2,英雄装备!$1:$1,0)-4),装备属性!$A:$C,3,0),VLOOKUP(INDEX(英雄装备!$F:$BZ,MATCH($H33,英雄装备!$F:$F,0),MATCH(N$2,英雄装备!$1:$1,0)-3),装备属性!$A:$C,3,0),VLOOKUP(INDEX(英雄装备!$F:$BZ,MATCH($H33,英雄装备!$F:$F,0),MATCH(N$2,英雄装备!$1:$1,0)-2),装备属性!$A:$C,3,0),VLOOKUP(INDEX(英雄装备!$F:$BZ,MATCH($H33,英雄装备!$F:$F,0),MATCH(N$2,英雄装备!$1:$1,0)-1),装备属性!$A:$C,3,0),VLOOKUP(INDEX(英雄装备!$F:$BZ,MATCH($H33,英雄装备!$F:$F,0),MATCH(N$2,英雄装备!$1:$1,0)),装备属性!$A:$C,3,0))</f>
        <v>51</v>
      </c>
      <c r="O33" s="51">
        <f>MAX(VLOOKUP(INDEX(英雄装备!$F:$BZ,MATCH($H33,英雄装备!$F:$F,0),MATCH(O$2,英雄装备!$1:$1,0)-5),装备属性!$A:$C,3,0),VLOOKUP(INDEX(英雄装备!$F:$BZ,MATCH($H33,英雄装备!$F:$F,0),MATCH(O$2,英雄装备!$1:$1,0)-4),装备属性!$A:$C,3,0),VLOOKUP(INDEX(英雄装备!$F:$BZ,MATCH($H33,英雄装备!$F:$F,0),MATCH(O$2,英雄装备!$1:$1,0)-3),装备属性!$A:$C,3,0),VLOOKUP(INDEX(英雄装备!$F:$BZ,MATCH($H33,英雄装备!$F:$F,0),MATCH(O$2,英雄装备!$1:$1,0)-2),装备属性!$A:$C,3,0),VLOOKUP(INDEX(英雄装备!$F:$BZ,MATCH($H33,英雄装备!$F:$F,0),MATCH(O$2,英雄装备!$1:$1,0)-1),装备属性!$A:$C,3,0),VLOOKUP(INDEX(英雄装备!$F:$BZ,MATCH($H33,英雄装备!$F:$F,0),MATCH(O$2,英雄装备!$1:$1,0)),装备属性!$A:$C,3,0))</f>
        <v>63</v>
      </c>
      <c r="P33" s="51">
        <f>MAX(VLOOKUP(INDEX(英雄装备!$F:$BZ,MATCH($H33,英雄装备!$F:$F,0),MATCH(P$2,英雄装备!$1:$1,0)-5),装备属性!$A:$C,3,0),VLOOKUP(INDEX(英雄装备!$F:$BZ,MATCH($H33,英雄装备!$F:$F,0),MATCH(P$2,英雄装备!$1:$1,0)-4),装备属性!$A:$C,3,0),VLOOKUP(INDEX(英雄装备!$F:$BZ,MATCH($H33,英雄装备!$F:$F,0),MATCH(P$2,英雄装备!$1:$1,0)-3),装备属性!$A:$C,3,0),VLOOKUP(INDEX(英雄装备!$F:$BZ,MATCH($H33,英雄装备!$F:$F,0),MATCH(P$2,英雄装备!$1:$1,0)-2),装备属性!$A:$C,3,0),VLOOKUP(INDEX(英雄装备!$F:$BZ,MATCH($H33,英雄装备!$F:$F,0),MATCH(P$2,英雄装备!$1:$1,0)-1),装备属性!$A:$C,3,0),VLOOKUP(INDEX(英雄装备!$F:$BZ,MATCH($H33,英雄装备!$F:$F,0),MATCH(P$2,英雄装备!$1:$1,0)),装备属性!$A:$C,3,0))</f>
        <v>70</v>
      </c>
      <c r="Q33" s="51">
        <f>MAX(VLOOKUP(INDEX(英雄装备!$F:$BZ,MATCH($H33,英雄装备!$F:$F,0),MATCH(Q$2,英雄装备!$1:$1,0)-5),装备属性!$A:$C,3,0),VLOOKUP(INDEX(英雄装备!$F:$BZ,MATCH($H33,英雄装备!$F:$F,0),MATCH(Q$2,英雄装备!$1:$1,0)-4),装备属性!$A:$C,3,0),VLOOKUP(INDEX(英雄装备!$F:$BZ,MATCH($H33,英雄装备!$F:$F,0),MATCH(Q$2,英雄装备!$1:$1,0)-3),装备属性!$A:$C,3,0),VLOOKUP(INDEX(英雄装备!$F:$BZ,MATCH($H33,英雄装备!$F:$F,0),MATCH(Q$2,英雄装备!$1:$1,0)-2),装备属性!$A:$C,3,0),VLOOKUP(INDEX(英雄装备!$F:$BZ,MATCH($H33,英雄装备!$F:$F,0),MATCH(Q$2,英雄装备!$1:$1,0)-1),装备属性!$A:$C,3,0),VLOOKUP(INDEX(英雄装备!$F:$BZ,MATCH($H33,英雄装备!$F:$F,0),MATCH(Q$2,英雄装备!$1:$1,0)),装备属性!$A:$C,3,0))</f>
        <v>80</v>
      </c>
      <c r="R33" s="51">
        <f>MAX(VLOOKUP(INDEX(英雄装备!$F:$BZ,MATCH($H33,英雄装备!$F:$F,0),MATCH(R$2,英雄装备!$1:$1,0)-5),装备属性!$A:$C,3,0),VLOOKUP(INDEX(英雄装备!$F:$BZ,MATCH($H33,英雄装备!$F:$F,0),MATCH(R$2,英雄装备!$1:$1,0)-4),装备属性!$A:$C,3,0),VLOOKUP(INDEX(英雄装备!$F:$BZ,MATCH($H33,英雄装备!$F:$F,0),MATCH(R$2,英雄装备!$1:$1,0)-3),装备属性!$A:$C,3,0),VLOOKUP(INDEX(英雄装备!$F:$BZ,MATCH($H33,英雄装备!$F:$F,0),MATCH(R$2,英雄装备!$1:$1,0)-2),装备属性!$A:$C,3,0),VLOOKUP(INDEX(英雄装备!$F:$BZ,MATCH($H33,英雄装备!$F:$F,0),MATCH(R$2,英雄装备!$1:$1,0)-1),装备属性!$A:$C,3,0),VLOOKUP(INDEX(英雄装备!$F:$BZ,MATCH($H33,英雄装备!$F:$F,0),MATCH(R$2,英雄装备!$1:$1,0)),装备属性!$A:$C,3,0))</f>
        <v>80</v>
      </c>
      <c r="S33" s="51">
        <f>MAX(VLOOKUP(INDEX(英雄装备!$F:$BZ,MATCH($H33,英雄装备!$F:$F,0),MATCH(S$2,英雄装备!$1:$1,0)-5),装备属性!$A:$C,3,0),VLOOKUP(INDEX(英雄装备!$F:$BZ,MATCH($H33,英雄装备!$F:$F,0),MATCH(S$2,英雄装备!$1:$1,0)-4),装备属性!$A:$C,3,0),VLOOKUP(INDEX(英雄装备!$F:$BZ,MATCH($H33,英雄装备!$F:$F,0),MATCH(S$2,英雄装备!$1:$1,0)-3),装备属性!$A:$C,3,0),VLOOKUP(INDEX(英雄装备!$F:$BZ,MATCH($H33,英雄装备!$F:$F,0),MATCH(S$2,英雄装备!$1:$1,0)-2),装备属性!$A:$C,3,0),VLOOKUP(INDEX(英雄装备!$F:$BZ,MATCH($H33,英雄装备!$F:$F,0),MATCH(S$2,英雄装备!$1:$1,0)-1),装备属性!$A:$C,3,0),VLOOKUP(INDEX(英雄装备!$F:$BZ,MATCH($H33,英雄装备!$F:$F,0),MATCH(S$2,英雄装备!$1:$1,0)),装备属性!$A:$C,3,0))</f>
        <v>85</v>
      </c>
      <c r="T33" s="51">
        <f>MAX(VLOOKUP(INDEX(英雄装备!$F:$BZ,MATCH($H33,英雄装备!$F:$F,0),MATCH(T$2,英雄装备!$1:$1,0)-5),装备属性!$A:$C,3,0),VLOOKUP(INDEX(英雄装备!$F:$BZ,MATCH($H33,英雄装备!$F:$F,0),MATCH(T$2,英雄装备!$1:$1,0)-4),装备属性!$A:$C,3,0),VLOOKUP(INDEX(英雄装备!$F:$BZ,MATCH($H33,英雄装备!$F:$F,0),MATCH(T$2,英雄装备!$1:$1,0)-3),装备属性!$A:$C,3,0),VLOOKUP(INDEX(英雄装备!$F:$BZ,MATCH($H33,英雄装备!$F:$F,0),MATCH(T$2,英雄装备!$1:$1,0)-2),装备属性!$A:$C,3,0),VLOOKUP(INDEX(英雄装备!$F:$BZ,MATCH($H33,英雄装备!$F:$F,0),MATCH(T$2,英雄装备!$1:$1,0)-1),装备属性!$A:$C,3,0))</f>
        <v>87</v>
      </c>
      <c r="X33" s="151" t="b">
        <f t="shared" si="4"/>
        <v>1</v>
      </c>
      <c r="Y33" s="151" t="b">
        <f t="shared" si="4"/>
        <v>1</v>
      </c>
      <c r="Z33" s="151" t="b">
        <f t="shared" si="4"/>
        <v>1</v>
      </c>
      <c r="AA33" s="151" t="b">
        <f t="shared" si="4"/>
        <v>1</v>
      </c>
      <c r="AB33" s="151" t="b">
        <f t="shared" si="4"/>
        <v>1</v>
      </c>
      <c r="AC33" s="151" t="b">
        <f t="shared" si="4"/>
        <v>1</v>
      </c>
      <c r="AF33" s="151">
        <v>2</v>
      </c>
      <c r="AG33" s="151" t="str">
        <f>AB2</f>
        <v>补刀斧</v>
      </c>
      <c r="AH33" s="151">
        <f>VLOOKUP($AG33,装备属性!$A:$Y,5,0)</f>
        <v>0</v>
      </c>
      <c r="AI33" s="151">
        <f>VLOOKUP($AG33,装备属性!$A:$Y,6,0)</f>
        <v>0</v>
      </c>
      <c r="AJ33" s="151">
        <f>VLOOKUP($AG33,装备属性!$A:$Y,7,0)</f>
        <v>0</v>
      </c>
      <c r="AK33" s="151">
        <f>VLOOKUP($AG33,装备属性!$A:$Y,8,0)</f>
        <v>0</v>
      </c>
      <c r="AL33" s="151">
        <f>VLOOKUP($AG33,装备属性!$A:$Y,9,0)</f>
        <v>6</v>
      </c>
      <c r="AM33" s="151">
        <f>VLOOKUP($AG33,装备属性!$A:$Y,10,0)</f>
        <v>0</v>
      </c>
      <c r="AN33" s="151">
        <f>VLOOKUP($AG33,装备属性!$A:$Y,11,0)</f>
        <v>0</v>
      </c>
      <c r="AO33" s="151">
        <f>VLOOKUP($AG33,装备属性!$A:$Y,12,0)</f>
        <v>0</v>
      </c>
      <c r="AP33" s="151">
        <f>VLOOKUP($AG33,装备属性!$A:$Y,13,0)</f>
        <v>0</v>
      </c>
      <c r="AQ33" s="151">
        <f>VLOOKUP($AG33,装备属性!$A:$Y,14,0)</f>
        <v>0</v>
      </c>
      <c r="AR33" s="151">
        <f>VLOOKUP($AG33,装备属性!$A:$Y,15,0)</f>
        <v>0</v>
      </c>
      <c r="AS33" s="151">
        <f>VLOOKUP($AG33,装备属性!$A:$Y,16,0)</f>
        <v>0</v>
      </c>
      <c r="AT33" s="151">
        <f>VLOOKUP($AG33,装备属性!$A:$Y,17,0)</f>
        <v>0</v>
      </c>
      <c r="AU33" s="151">
        <f>VLOOKUP($AG33,装备属性!$A:$Y,18,0)</f>
        <v>0</v>
      </c>
      <c r="AV33" s="151">
        <f>VLOOKUP($AG33,装备属性!$A:$Y,19,0)</f>
        <v>0</v>
      </c>
      <c r="AW33" s="151">
        <f>VLOOKUP($AG33,装备属性!$A:$Y,20,0)</f>
        <v>0</v>
      </c>
      <c r="AX33" s="151">
        <f>VLOOKUP($AG33,装备属性!$A:$Y,21,0)</f>
        <v>0</v>
      </c>
      <c r="AY33" s="151">
        <f>VLOOKUP($AG33,装备属性!$A:$Y,22,0)</f>
        <v>0</v>
      </c>
      <c r="AZ33" s="151">
        <f>VLOOKUP($AG33,装备属性!$A:$Y,23,0)</f>
        <v>0</v>
      </c>
      <c r="BA33" s="151">
        <f>VLOOKUP($AG33,装备属性!$A:$Y,24,0)</f>
        <v>0</v>
      </c>
      <c r="BB33" s="151">
        <f>VLOOKUP($AG33,装备属性!$A:$Y,25,0)</f>
        <v>0</v>
      </c>
    </row>
    <row r="34" spans="2:54">
      <c r="B34" s="151" t="str">
        <f>英雄初始!A35</f>
        <v>光法</v>
      </c>
      <c r="H34" s="54" t="s">
        <v>187</v>
      </c>
      <c r="I34" s="51">
        <f>MAX(VLOOKUP(INDEX(英雄装备!$F:$BZ,MATCH($H34,英雄装备!$F:$F,0),MATCH(I$2,英雄装备!$1:$1,0)-5),装备属性!$A:$C,3,0),VLOOKUP(INDEX(英雄装备!$F:$BZ,MATCH($H34,英雄装备!$F:$F,0),MATCH(I$2,英雄装备!$1:$1,0)-4),装备属性!$A:$C,3,0),VLOOKUP(INDEX(英雄装备!$F:$BZ,MATCH($H34,英雄装备!$F:$F,0),MATCH(I$2,英雄装备!$1:$1,0)-3),装备属性!$A:$C,3,0),VLOOKUP(INDEX(英雄装备!$F:$BZ,MATCH($H34,英雄装备!$F:$F,0),MATCH(I$2,英雄装备!$1:$1,0)-2),装备属性!$A:$C,3,0),VLOOKUP(INDEX(英雄装备!$F:$BZ,MATCH($H34,英雄装备!$F:$F,0),MATCH(I$2,英雄装备!$1:$1,0)-1),装备属性!$A:$C,3,0),VLOOKUP(INDEX(英雄装备!$F:$BZ,MATCH($H34,英雄装备!$F:$F,0),MATCH(I$2,英雄装备!$1:$1,0)),装备属性!$A:$C,3,0))</f>
        <v>2</v>
      </c>
      <c r="J34" s="51">
        <f>MAX(VLOOKUP(INDEX(英雄装备!$F:$BZ,MATCH($H34,英雄装备!$F:$F,0),MATCH(J$2,英雄装备!$1:$1,0)-5),装备属性!$A:$C,3,0),VLOOKUP(INDEX(英雄装备!$F:$BZ,MATCH($H34,英雄装备!$F:$F,0),MATCH(J$2,英雄装备!$1:$1,0)-4),装备属性!$A:$C,3,0),VLOOKUP(INDEX(英雄装备!$F:$BZ,MATCH($H34,英雄装备!$F:$F,0),MATCH(J$2,英雄装备!$1:$1,0)-3),装备属性!$A:$C,3,0),VLOOKUP(INDEX(英雄装备!$F:$BZ,MATCH($H34,英雄装备!$F:$F,0),MATCH(J$2,英雄装备!$1:$1,0)-2),装备属性!$A:$C,3,0),VLOOKUP(INDEX(英雄装备!$F:$BZ,MATCH($H34,英雄装备!$F:$F,0),MATCH(J$2,英雄装备!$1:$1,0)-1),装备属性!$A:$C,3,0),VLOOKUP(INDEX(英雄装备!$F:$BZ,MATCH($H34,英雄装备!$F:$F,0),MATCH(J$2,英雄装备!$1:$1,0)),装备属性!$A:$C,3,0))</f>
        <v>10</v>
      </c>
      <c r="K34" s="51">
        <f>MAX(VLOOKUP(INDEX(英雄装备!$F:$BZ,MATCH($H34,英雄装备!$F:$F,0),MATCH(K$2,英雄装备!$1:$1,0)-5),装备属性!$A:$C,3,0),VLOOKUP(INDEX(英雄装备!$F:$BZ,MATCH($H34,英雄装备!$F:$F,0),MATCH(K$2,英雄装备!$1:$1,0)-4),装备属性!$A:$C,3,0),VLOOKUP(INDEX(英雄装备!$F:$BZ,MATCH($H34,英雄装备!$F:$F,0),MATCH(K$2,英雄装备!$1:$1,0)-3),装备属性!$A:$C,3,0),VLOOKUP(INDEX(英雄装备!$F:$BZ,MATCH($H34,英雄装备!$F:$F,0),MATCH(K$2,英雄装备!$1:$1,0)-2),装备属性!$A:$C,3,0),VLOOKUP(INDEX(英雄装备!$F:$BZ,MATCH($H34,英雄装备!$F:$F,0),MATCH(K$2,英雄装备!$1:$1,0)-1),装备属性!$A:$C,3,0),VLOOKUP(INDEX(英雄装备!$F:$BZ,MATCH($H34,英雄装备!$F:$F,0),MATCH(K$2,英雄装备!$1:$1,0)),装备属性!$A:$C,3,0))</f>
        <v>24</v>
      </c>
      <c r="L34" s="51">
        <f>MAX(VLOOKUP(INDEX(英雄装备!$F:$BZ,MATCH($H34,英雄装备!$F:$F,0),MATCH(L$2,英雄装备!$1:$1,0)-5),装备属性!$A:$C,3,0),VLOOKUP(INDEX(英雄装备!$F:$BZ,MATCH($H34,英雄装备!$F:$F,0),MATCH(L$2,英雄装备!$1:$1,0)-4),装备属性!$A:$C,3,0),VLOOKUP(INDEX(英雄装备!$F:$BZ,MATCH($H34,英雄装备!$F:$F,0),MATCH(L$2,英雄装备!$1:$1,0)-3),装备属性!$A:$C,3,0),VLOOKUP(INDEX(英雄装备!$F:$BZ,MATCH($H34,英雄装备!$F:$F,0),MATCH(L$2,英雄装备!$1:$1,0)-2),装备属性!$A:$C,3,0),VLOOKUP(INDEX(英雄装备!$F:$BZ,MATCH($H34,英雄装备!$F:$F,0),MATCH(L$2,英雄装备!$1:$1,0)-1),装备属性!$A:$C,3,0),VLOOKUP(INDEX(英雄装备!$F:$BZ,MATCH($H34,英雄装备!$F:$F,0),MATCH(L$2,英雄装备!$1:$1,0)),装备属性!$A:$C,3,0))</f>
        <v>24</v>
      </c>
      <c r="M34" s="51">
        <f>MAX(VLOOKUP(INDEX(英雄装备!$F:$BZ,MATCH($H34,英雄装备!$F:$F,0),MATCH(M$2,英雄装备!$1:$1,0)-5),装备属性!$A:$C,3,0),VLOOKUP(INDEX(英雄装备!$F:$BZ,MATCH($H34,英雄装备!$F:$F,0),MATCH(M$2,英雄装备!$1:$1,0)-4),装备属性!$A:$C,3,0),VLOOKUP(INDEX(英雄装备!$F:$BZ,MATCH($H34,英雄装备!$F:$F,0),MATCH(M$2,英雄装备!$1:$1,0)-3),装备属性!$A:$C,3,0),VLOOKUP(INDEX(英雄装备!$F:$BZ,MATCH($H34,英雄装备!$F:$F,0),MATCH(M$2,英雄装备!$1:$1,0)-2),装备属性!$A:$C,3,0),VLOOKUP(INDEX(英雄装备!$F:$BZ,MATCH($H34,英雄装备!$F:$F,0),MATCH(M$2,英雄装备!$1:$1,0)-1),装备属性!$A:$C,3,0),VLOOKUP(INDEX(英雄装备!$F:$BZ,MATCH($H34,英雄装备!$F:$F,0),MATCH(M$2,英雄装备!$1:$1,0)),装备属性!$A:$C,3,0))</f>
        <v>42</v>
      </c>
      <c r="N34" s="51">
        <f>MAX(VLOOKUP(INDEX(英雄装备!$F:$BZ,MATCH($H34,英雄装备!$F:$F,0),MATCH(N$2,英雄装备!$1:$1,0)-5),装备属性!$A:$C,3,0),VLOOKUP(INDEX(英雄装备!$F:$BZ,MATCH($H34,英雄装备!$F:$F,0),MATCH(N$2,英雄装备!$1:$1,0)-4),装备属性!$A:$C,3,0),VLOOKUP(INDEX(英雄装备!$F:$BZ,MATCH($H34,英雄装备!$F:$F,0),MATCH(N$2,英雄装备!$1:$1,0)-3),装备属性!$A:$C,3,0),VLOOKUP(INDEX(英雄装备!$F:$BZ,MATCH($H34,英雄装备!$F:$F,0),MATCH(N$2,英雄装备!$1:$1,0)-2),装备属性!$A:$C,3,0),VLOOKUP(INDEX(英雄装备!$F:$BZ,MATCH($H34,英雄装备!$F:$F,0),MATCH(N$2,英雄装备!$1:$1,0)-1),装备属性!$A:$C,3,0),VLOOKUP(INDEX(英雄装备!$F:$BZ,MATCH($H34,英雄装备!$F:$F,0),MATCH(N$2,英雄装备!$1:$1,0)),装备属性!$A:$C,3,0))</f>
        <v>51</v>
      </c>
      <c r="O34" s="51">
        <f>MAX(VLOOKUP(INDEX(英雄装备!$F:$BZ,MATCH($H34,英雄装备!$F:$F,0),MATCH(O$2,英雄装备!$1:$1,0)-5),装备属性!$A:$C,3,0),VLOOKUP(INDEX(英雄装备!$F:$BZ,MATCH($H34,英雄装备!$F:$F,0),MATCH(O$2,英雄装备!$1:$1,0)-4),装备属性!$A:$C,3,0),VLOOKUP(INDEX(英雄装备!$F:$BZ,MATCH($H34,英雄装备!$F:$F,0),MATCH(O$2,英雄装备!$1:$1,0)-3),装备属性!$A:$C,3,0),VLOOKUP(INDEX(英雄装备!$F:$BZ,MATCH($H34,英雄装备!$F:$F,0),MATCH(O$2,英雄装备!$1:$1,0)-2),装备属性!$A:$C,3,0),VLOOKUP(INDEX(英雄装备!$F:$BZ,MATCH($H34,英雄装备!$F:$F,0),MATCH(O$2,英雄装备!$1:$1,0)-1),装备属性!$A:$C,3,0),VLOOKUP(INDEX(英雄装备!$F:$BZ,MATCH($H34,英雄装备!$F:$F,0),MATCH(O$2,英雄装备!$1:$1,0)),装备属性!$A:$C,3,0))</f>
        <v>59</v>
      </c>
      <c r="P34" s="51">
        <f>MAX(VLOOKUP(INDEX(英雄装备!$F:$BZ,MATCH($H34,英雄装备!$F:$F,0),MATCH(P$2,英雄装备!$1:$1,0)-5),装备属性!$A:$C,3,0),VLOOKUP(INDEX(英雄装备!$F:$BZ,MATCH($H34,英雄装备!$F:$F,0),MATCH(P$2,英雄装备!$1:$1,0)-4),装备属性!$A:$C,3,0),VLOOKUP(INDEX(英雄装备!$F:$BZ,MATCH($H34,英雄装备!$F:$F,0),MATCH(P$2,英雄装备!$1:$1,0)-3),装备属性!$A:$C,3,0),VLOOKUP(INDEX(英雄装备!$F:$BZ,MATCH($H34,英雄装备!$F:$F,0),MATCH(P$2,英雄装备!$1:$1,0)-2),装备属性!$A:$C,3,0),VLOOKUP(INDEX(英雄装备!$F:$BZ,MATCH($H34,英雄装备!$F:$F,0),MATCH(P$2,英雄装备!$1:$1,0)-1),装备属性!$A:$C,3,0),VLOOKUP(INDEX(英雄装备!$F:$BZ,MATCH($H34,英雄装备!$F:$F,0),MATCH(P$2,英雄装备!$1:$1,0)),装备属性!$A:$C,3,0))</f>
        <v>70</v>
      </c>
      <c r="Q34" s="51">
        <f>MAX(VLOOKUP(INDEX(英雄装备!$F:$BZ,MATCH($H34,英雄装备!$F:$F,0),MATCH(Q$2,英雄装备!$1:$1,0)-5),装备属性!$A:$C,3,0),VLOOKUP(INDEX(英雄装备!$F:$BZ,MATCH($H34,英雄装备!$F:$F,0),MATCH(Q$2,英雄装备!$1:$1,0)-4),装备属性!$A:$C,3,0),VLOOKUP(INDEX(英雄装备!$F:$BZ,MATCH($H34,英雄装备!$F:$F,0),MATCH(Q$2,英雄装备!$1:$1,0)-3),装备属性!$A:$C,3,0),VLOOKUP(INDEX(英雄装备!$F:$BZ,MATCH($H34,英雄装备!$F:$F,0),MATCH(Q$2,英雄装备!$1:$1,0)-2),装备属性!$A:$C,3,0),VLOOKUP(INDEX(英雄装备!$F:$BZ,MATCH($H34,英雄装备!$F:$F,0),MATCH(Q$2,英雄装备!$1:$1,0)-1),装备属性!$A:$C,3,0),VLOOKUP(INDEX(英雄装备!$F:$BZ,MATCH($H34,英雄装备!$F:$F,0),MATCH(Q$2,英雄装备!$1:$1,0)),装备属性!$A:$C,3,0))</f>
        <v>78</v>
      </c>
      <c r="R34" s="51">
        <f>MAX(VLOOKUP(INDEX(英雄装备!$F:$BZ,MATCH($H34,英雄装备!$F:$F,0),MATCH(R$2,英雄装备!$1:$1,0)-5),装备属性!$A:$C,3,0),VLOOKUP(INDEX(英雄装备!$F:$BZ,MATCH($H34,英雄装备!$F:$F,0),MATCH(R$2,英雄装备!$1:$1,0)-4),装备属性!$A:$C,3,0),VLOOKUP(INDEX(英雄装备!$F:$BZ,MATCH($H34,英雄装备!$F:$F,0),MATCH(R$2,英雄装备!$1:$1,0)-3),装备属性!$A:$C,3,0),VLOOKUP(INDEX(英雄装备!$F:$BZ,MATCH($H34,英雄装备!$F:$F,0),MATCH(R$2,英雄装备!$1:$1,0)-2),装备属性!$A:$C,3,0),VLOOKUP(INDEX(英雄装备!$F:$BZ,MATCH($H34,英雄装备!$F:$F,0),MATCH(R$2,英雄装备!$1:$1,0)-1),装备属性!$A:$C,3,0),VLOOKUP(INDEX(英雄装备!$F:$BZ,MATCH($H34,英雄装备!$F:$F,0),MATCH(R$2,英雄装备!$1:$1,0)),装备属性!$A:$C,3,0))</f>
        <v>79</v>
      </c>
      <c r="S34" s="51">
        <f>MAX(VLOOKUP(INDEX(英雄装备!$F:$BZ,MATCH($H34,英雄装备!$F:$F,0),MATCH(S$2,英雄装备!$1:$1,0)-5),装备属性!$A:$C,3,0),VLOOKUP(INDEX(英雄装备!$F:$BZ,MATCH($H34,英雄装备!$F:$F,0),MATCH(S$2,英雄装备!$1:$1,0)-4),装备属性!$A:$C,3,0),VLOOKUP(INDEX(英雄装备!$F:$BZ,MATCH($H34,英雄装备!$F:$F,0),MATCH(S$2,英雄装备!$1:$1,0)-3),装备属性!$A:$C,3,0),VLOOKUP(INDEX(英雄装备!$F:$BZ,MATCH($H34,英雄装备!$F:$F,0),MATCH(S$2,英雄装备!$1:$1,0)-2),装备属性!$A:$C,3,0),VLOOKUP(INDEX(英雄装备!$F:$BZ,MATCH($H34,英雄装备!$F:$F,0),MATCH(S$2,英雄装备!$1:$1,0)-1),装备属性!$A:$C,3,0),VLOOKUP(INDEX(英雄装备!$F:$BZ,MATCH($H34,英雄装备!$F:$F,0),MATCH(S$2,英雄装备!$1:$1,0)),装备属性!$A:$C,3,0))</f>
        <v>85</v>
      </c>
      <c r="T34" s="51">
        <f>MAX(VLOOKUP(INDEX(英雄装备!$F:$BZ,MATCH($H34,英雄装备!$F:$F,0),MATCH(T$2,英雄装备!$1:$1,0)-5),装备属性!$A:$C,3,0),VLOOKUP(INDEX(英雄装备!$F:$BZ,MATCH($H34,英雄装备!$F:$F,0),MATCH(T$2,英雄装备!$1:$1,0)-4),装备属性!$A:$C,3,0),VLOOKUP(INDEX(英雄装备!$F:$BZ,MATCH($H34,英雄装备!$F:$F,0),MATCH(T$2,英雄装备!$1:$1,0)-3),装备属性!$A:$C,3,0),VLOOKUP(INDEX(英雄装备!$F:$BZ,MATCH($H34,英雄装备!$F:$F,0),MATCH(T$2,英雄装备!$1:$1,0)-2),装备属性!$A:$C,3,0),VLOOKUP(INDEX(英雄装备!$F:$BZ,MATCH($H34,英雄装备!$F:$F,0),MATCH(T$2,英雄装备!$1:$1,0)-1),装备属性!$A:$C,3,0))</f>
        <v>89</v>
      </c>
      <c r="X34" s="151" t="b">
        <f t="shared" si="4"/>
        <v>1</v>
      </c>
      <c r="Y34" s="151" t="b">
        <f t="shared" si="4"/>
        <v>1</v>
      </c>
      <c r="Z34" s="151" t="b">
        <f t="shared" si="4"/>
        <v>1</v>
      </c>
      <c r="AA34" s="151" t="b">
        <f t="shared" si="4"/>
        <v>1</v>
      </c>
      <c r="AB34" s="151" t="b">
        <f t="shared" si="4"/>
        <v>1</v>
      </c>
      <c r="AC34" s="151" t="b">
        <f t="shared" si="4"/>
        <v>1</v>
      </c>
      <c r="AF34" s="151">
        <v>2</v>
      </c>
      <c r="AG34" s="151" t="str">
        <f>AC2</f>
        <v>鞋</v>
      </c>
      <c r="AH34" s="151">
        <f>VLOOKUP($AG34,装备属性!$A:$Y,5,0)</f>
        <v>5</v>
      </c>
      <c r="AI34" s="151">
        <f>VLOOKUP($AG34,装备属性!$A:$Y,6,0)</f>
        <v>5</v>
      </c>
      <c r="AJ34" s="151">
        <f>VLOOKUP($AG34,装备属性!$A:$Y,7,0)</f>
        <v>5</v>
      </c>
      <c r="AK34" s="151">
        <f>VLOOKUP($AG34,装备属性!$A:$Y,8,0)</f>
        <v>0</v>
      </c>
      <c r="AL34" s="151">
        <f>VLOOKUP($AG34,装备属性!$A:$Y,9,0)</f>
        <v>0</v>
      </c>
      <c r="AM34" s="151">
        <f>VLOOKUP($AG34,装备属性!$A:$Y,10,0)</f>
        <v>0</v>
      </c>
      <c r="AN34" s="151">
        <f>VLOOKUP($AG34,装备属性!$A:$Y,11,0)</f>
        <v>0</v>
      </c>
      <c r="AO34" s="151">
        <f>VLOOKUP($AG34,装备属性!$A:$Y,12,0)</f>
        <v>0</v>
      </c>
      <c r="AP34" s="151">
        <f>VLOOKUP($AG34,装备属性!$A:$Y,13,0)</f>
        <v>0</v>
      </c>
      <c r="AQ34" s="151">
        <f>VLOOKUP($AG34,装备属性!$A:$Y,14,0)</f>
        <v>0</v>
      </c>
      <c r="AR34" s="151">
        <f>VLOOKUP($AG34,装备属性!$A:$Y,15,0)</f>
        <v>0</v>
      </c>
      <c r="AS34" s="151">
        <f>VLOOKUP($AG34,装备属性!$A:$Y,16,0)</f>
        <v>0</v>
      </c>
      <c r="AT34" s="151">
        <f>VLOOKUP($AG34,装备属性!$A:$Y,17,0)</f>
        <v>0</v>
      </c>
      <c r="AU34" s="151">
        <f>VLOOKUP($AG34,装备属性!$A:$Y,18,0)</f>
        <v>0</v>
      </c>
      <c r="AV34" s="151">
        <f>VLOOKUP($AG34,装备属性!$A:$Y,19,0)</f>
        <v>0</v>
      </c>
      <c r="AW34" s="151">
        <f>VLOOKUP($AG34,装备属性!$A:$Y,20,0)</f>
        <v>0</v>
      </c>
      <c r="AX34" s="151">
        <f>VLOOKUP($AG34,装备属性!$A:$Y,21,0)</f>
        <v>0</v>
      </c>
      <c r="AY34" s="151">
        <f>VLOOKUP($AG34,装备属性!$A:$Y,22,0)</f>
        <v>0</v>
      </c>
      <c r="AZ34" s="151">
        <f>VLOOKUP($AG34,装备属性!$A:$Y,23,0)</f>
        <v>0</v>
      </c>
      <c r="BA34" s="151">
        <f>VLOOKUP($AG34,装备属性!$A:$Y,24,0)</f>
        <v>0</v>
      </c>
      <c r="BB34" s="151">
        <f>VLOOKUP($AG34,装备属性!$A:$Y,25,0)</f>
        <v>0</v>
      </c>
    </row>
    <row r="35" spans="2:54">
      <c r="B35" s="151" t="str">
        <f>英雄初始!A36</f>
        <v>黑鸟</v>
      </c>
      <c r="H35" s="54" t="s">
        <v>188</v>
      </c>
      <c r="I35" s="51">
        <f>MAX(VLOOKUP(INDEX(英雄装备!$F:$BZ,MATCH($H35,英雄装备!$F:$F,0),MATCH(I$2,英雄装备!$1:$1,0)-5),装备属性!$A:$C,3,0),VLOOKUP(INDEX(英雄装备!$F:$BZ,MATCH($H35,英雄装备!$F:$F,0),MATCH(I$2,英雄装备!$1:$1,0)-4),装备属性!$A:$C,3,0),VLOOKUP(INDEX(英雄装备!$F:$BZ,MATCH($H35,英雄装备!$F:$F,0),MATCH(I$2,英雄装备!$1:$1,0)-3),装备属性!$A:$C,3,0),VLOOKUP(INDEX(英雄装备!$F:$BZ,MATCH($H35,英雄装备!$F:$F,0),MATCH(I$2,英雄装备!$1:$1,0)-2),装备属性!$A:$C,3,0),VLOOKUP(INDEX(英雄装备!$F:$BZ,MATCH($H35,英雄装备!$F:$F,0),MATCH(I$2,英雄装备!$1:$1,0)-1),装备属性!$A:$C,3,0),VLOOKUP(INDEX(英雄装备!$F:$BZ,MATCH($H35,英雄装备!$F:$F,0),MATCH(I$2,英雄装备!$1:$1,0)),装备属性!$A:$C,3,0))</f>
        <v>2</v>
      </c>
      <c r="J35" s="51">
        <f>MAX(VLOOKUP(INDEX(英雄装备!$F:$BZ,MATCH($H35,英雄装备!$F:$F,0),MATCH(J$2,英雄装备!$1:$1,0)-5),装备属性!$A:$C,3,0),VLOOKUP(INDEX(英雄装备!$F:$BZ,MATCH($H35,英雄装备!$F:$F,0),MATCH(J$2,英雄装备!$1:$1,0)-4),装备属性!$A:$C,3,0),VLOOKUP(INDEX(英雄装备!$F:$BZ,MATCH($H35,英雄装备!$F:$F,0),MATCH(J$2,英雄装备!$1:$1,0)-3),装备属性!$A:$C,3,0),VLOOKUP(INDEX(英雄装备!$F:$BZ,MATCH($H35,英雄装备!$F:$F,0),MATCH(J$2,英雄装备!$1:$1,0)-2),装备属性!$A:$C,3,0),VLOOKUP(INDEX(英雄装备!$F:$BZ,MATCH($H35,英雄装备!$F:$F,0),MATCH(J$2,英雄装备!$1:$1,0)-1),装备属性!$A:$C,3,0),VLOOKUP(INDEX(英雄装备!$F:$BZ,MATCH($H35,英雄装备!$F:$F,0),MATCH(J$2,英雄装备!$1:$1,0)),装备属性!$A:$C,3,0))</f>
        <v>10</v>
      </c>
      <c r="K35" s="51">
        <f>MAX(VLOOKUP(INDEX(英雄装备!$F:$BZ,MATCH($H35,英雄装备!$F:$F,0),MATCH(K$2,英雄装备!$1:$1,0)-5),装备属性!$A:$C,3,0),VLOOKUP(INDEX(英雄装备!$F:$BZ,MATCH($H35,英雄装备!$F:$F,0),MATCH(K$2,英雄装备!$1:$1,0)-4),装备属性!$A:$C,3,0),VLOOKUP(INDEX(英雄装备!$F:$BZ,MATCH($H35,英雄装备!$F:$F,0),MATCH(K$2,英雄装备!$1:$1,0)-3),装备属性!$A:$C,3,0),VLOOKUP(INDEX(英雄装备!$F:$BZ,MATCH($H35,英雄装备!$F:$F,0),MATCH(K$2,英雄装备!$1:$1,0)-2),装备属性!$A:$C,3,0),VLOOKUP(INDEX(英雄装备!$F:$BZ,MATCH($H35,英雄装备!$F:$F,0),MATCH(K$2,英雄装备!$1:$1,0)-1),装备属性!$A:$C,3,0),VLOOKUP(INDEX(英雄装备!$F:$BZ,MATCH($H35,英雄装备!$F:$F,0),MATCH(K$2,英雄装备!$1:$1,0)),装备属性!$A:$C,3,0))</f>
        <v>24</v>
      </c>
      <c r="L35" s="51">
        <f>MAX(VLOOKUP(INDEX(英雄装备!$F:$BZ,MATCH($H35,英雄装备!$F:$F,0),MATCH(L$2,英雄装备!$1:$1,0)-5),装备属性!$A:$C,3,0),VLOOKUP(INDEX(英雄装备!$F:$BZ,MATCH($H35,英雄装备!$F:$F,0),MATCH(L$2,英雄装备!$1:$1,0)-4),装备属性!$A:$C,3,0),VLOOKUP(INDEX(英雄装备!$F:$BZ,MATCH($H35,英雄装备!$F:$F,0),MATCH(L$2,英雄装备!$1:$1,0)-3),装备属性!$A:$C,3,0),VLOOKUP(INDEX(英雄装备!$F:$BZ,MATCH($H35,英雄装备!$F:$F,0),MATCH(L$2,英雄装备!$1:$1,0)-2),装备属性!$A:$C,3,0),VLOOKUP(INDEX(英雄装备!$F:$BZ,MATCH($H35,英雄装备!$F:$F,0),MATCH(L$2,英雄装备!$1:$1,0)-1),装备属性!$A:$C,3,0),VLOOKUP(INDEX(英雄装备!$F:$BZ,MATCH($H35,英雄装备!$F:$F,0),MATCH(L$2,英雄装备!$1:$1,0)),装备属性!$A:$C,3,0))</f>
        <v>33</v>
      </c>
      <c r="M35" s="51">
        <f>MAX(VLOOKUP(INDEX(英雄装备!$F:$BZ,MATCH($H35,英雄装备!$F:$F,0),MATCH(M$2,英雄装备!$1:$1,0)-5),装备属性!$A:$C,3,0),VLOOKUP(INDEX(英雄装备!$F:$BZ,MATCH($H35,英雄装备!$F:$F,0),MATCH(M$2,英雄装备!$1:$1,0)-4),装备属性!$A:$C,3,0),VLOOKUP(INDEX(英雄装备!$F:$BZ,MATCH($H35,英雄装备!$F:$F,0),MATCH(M$2,英雄装备!$1:$1,0)-3),装备属性!$A:$C,3,0),VLOOKUP(INDEX(英雄装备!$F:$BZ,MATCH($H35,英雄装备!$F:$F,0),MATCH(M$2,英雄装备!$1:$1,0)-2),装备属性!$A:$C,3,0),VLOOKUP(INDEX(英雄装备!$F:$BZ,MATCH($H35,英雄装备!$F:$F,0),MATCH(M$2,英雄装备!$1:$1,0)-1),装备属性!$A:$C,3,0),VLOOKUP(INDEX(英雄装备!$F:$BZ,MATCH($H35,英雄装备!$F:$F,0),MATCH(M$2,英雄装备!$1:$1,0)),装备属性!$A:$C,3,0))</f>
        <v>43</v>
      </c>
      <c r="N35" s="51">
        <f>MAX(VLOOKUP(INDEX(英雄装备!$F:$BZ,MATCH($H35,英雄装备!$F:$F,0),MATCH(N$2,英雄装备!$1:$1,0)-5),装备属性!$A:$C,3,0),VLOOKUP(INDEX(英雄装备!$F:$BZ,MATCH($H35,英雄装备!$F:$F,0),MATCH(N$2,英雄装备!$1:$1,0)-4),装备属性!$A:$C,3,0),VLOOKUP(INDEX(英雄装备!$F:$BZ,MATCH($H35,英雄装备!$F:$F,0),MATCH(N$2,英雄装备!$1:$1,0)-3),装备属性!$A:$C,3,0),VLOOKUP(INDEX(英雄装备!$F:$BZ,MATCH($H35,英雄装备!$F:$F,0),MATCH(N$2,英雄装备!$1:$1,0)-2),装备属性!$A:$C,3,0),VLOOKUP(INDEX(英雄装备!$F:$BZ,MATCH($H35,英雄装备!$F:$F,0),MATCH(N$2,英雄装备!$1:$1,0)-1),装备属性!$A:$C,3,0),VLOOKUP(INDEX(英雄装备!$F:$BZ,MATCH($H35,英雄装备!$F:$F,0),MATCH(N$2,英雄装备!$1:$1,0)),装备属性!$A:$C,3,0))</f>
        <v>53</v>
      </c>
      <c r="O35" s="51">
        <f>MAX(VLOOKUP(INDEX(英雄装备!$F:$BZ,MATCH($H35,英雄装备!$F:$F,0),MATCH(O$2,英雄装备!$1:$1,0)-5),装备属性!$A:$C,3,0),VLOOKUP(INDEX(英雄装备!$F:$BZ,MATCH($H35,英雄装备!$F:$F,0),MATCH(O$2,英雄装备!$1:$1,0)-4),装备属性!$A:$C,3,0),VLOOKUP(INDEX(英雄装备!$F:$BZ,MATCH($H35,英雄装备!$F:$F,0),MATCH(O$2,英雄装备!$1:$1,0)-3),装备属性!$A:$C,3,0),VLOOKUP(INDEX(英雄装备!$F:$BZ,MATCH($H35,英雄装备!$F:$F,0),MATCH(O$2,英雄装备!$1:$1,0)-2),装备属性!$A:$C,3,0),VLOOKUP(INDEX(英雄装备!$F:$BZ,MATCH($H35,英雄装备!$F:$F,0),MATCH(O$2,英雄装备!$1:$1,0)-1),装备属性!$A:$C,3,0),VLOOKUP(INDEX(英雄装备!$F:$BZ,MATCH($H35,英雄装备!$F:$F,0),MATCH(O$2,英雄装备!$1:$1,0)),装备属性!$A:$C,3,0))</f>
        <v>63</v>
      </c>
      <c r="P35" s="51">
        <f>MAX(VLOOKUP(INDEX(英雄装备!$F:$BZ,MATCH($H35,英雄装备!$F:$F,0),MATCH(P$2,英雄装备!$1:$1,0)-5),装备属性!$A:$C,3,0),VLOOKUP(INDEX(英雄装备!$F:$BZ,MATCH($H35,英雄装备!$F:$F,0),MATCH(P$2,英雄装备!$1:$1,0)-4),装备属性!$A:$C,3,0),VLOOKUP(INDEX(英雄装备!$F:$BZ,MATCH($H35,英雄装备!$F:$F,0),MATCH(P$2,英雄装备!$1:$1,0)-3),装备属性!$A:$C,3,0),VLOOKUP(INDEX(英雄装备!$F:$BZ,MATCH($H35,英雄装备!$F:$F,0),MATCH(P$2,英雄装备!$1:$1,0)-2),装备属性!$A:$C,3,0),VLOOKUP(INDEX(英雄装备!$F:$BZ,MATCH($H35,英雄装备!$F:$F,0),MATCH(P$2,英雄装备!$1:$1,0)-1),装备属性!$A:$C,3,0),VLOOKUP(INDEX(英雄装备!$F:$BZ,MATCH($H35,英雄装备!$F:$F,0),MATCH(P$2,英雄装备!$1:$1,0)),装备属性!$A:$C,3,0))</f>
        <v>74</v>
      </c>
      <c r="Q35" s="51">
        <f>MAX(VLOOKUP(INDEX(英雄装备!$F:$BZ,MATCH($H35,英雄装备!$F:$F,0),MATCH(Q$2,英雄装备!$1:$1,0)-5),装备属性!$A:$C,3,0),VLOOKUP(INDEX(英雄装备!$F:$BZ,MATCH($H35,英雄装备!$F:$F,0),MATCH(Q$2,英雄装备!$1:$1,0)-4),装备属性!$A:$C,3,0),VLOOKUP(INDEX(英雄装备!$F:$BZ,MATCH($H35,英雄装备!$F:$F,0),MATCH(Q$2,英雄装备!$1:$1,0)-3),装备属性!$A:$C,3,0),VLOOKUP(INDEX(英雄装备!$F:$BZ,MATCH($H35,英雄装备!$F:$F,0),MATCH(Q$2,英雄装备!$1:$1,0)-2),装备属性!$A:$C,3,0),VLOOKUP(INDEX(英雄装备!$F:$BZ,MATCH($H35,英雄装备!$F:$F,0),MATCH(Q$2,英雄装备!$1:$1,0)-1),装备属性!$A:$C,3,0),VLOOKUP(INDEX(英雄装备!$F:$BZ,MATCH($H35,英雄装备!$F:$F,0),MATCH(Q$2,英雄装备!$1:$1,0)),装备属性!$A:$C,3,0))</f>
        <v>80</v>
      </c>
      <c r="R35" s="51">
        <f>MAX(VLOOKUP(INDEX(英雄装备!$F:$BZ,MATCH($H35,英雄装备!$F:$F,0),MATCH(R$2,英雄装备!$1:$1,0)-5),装备属性!$A:$C,3,0),VLOOKUP(INDEX(英雄装备!$F:$BZ,MATCH($H35,英雄装备!$F:$F,0),MATCH(R$2,英雄装备!$1:$1,0)-4),装备属性!$A:$C,3,0),VLOOKUP(INDEX(英雄装备!$F:$BZ,MATCH($H35,英雄装备!$F:$F,0),MATCH(R$2,英雄装备!$1:$1,0)-3),装备属性!$A:$C,3,0),VLOOKUP(INDEX(英雄装备!$F:$BZ,MATCH($H35,英雄装备!$F:$F,0),MATCH(R$2,英雄装备!$1:$1,0)-2),装备属性!$A:$C,3,0),VLOOKUP(INDEX(英雄装备!$F:$BZ,MATCH($H35,英雄装备!$F:$F,0),MATCH(R$2,英雄装备!$1:$1,0)-1),装备属性!$A:$C,3,0),VLOOKUP(INDEX(英雄装备!$F:$BZ,MATCH($H35,英雄装备!$F:$F,0),MATCH(R$2,英雄装备!$1:$1,0)),装备属性!$A:$C,3,0))</f>
        <v>80</v>
      </c>
      <c r="S35" s="51">
        <f>MAX(VLOOKUP(INDEX(英雄装备!$F:$BZ,MATCH($H35,英雄装备!$F:$F,0),MATCH(S$2,英雄装备!$1:$1,0)-5),装备属性!$A:$C,3,0),VLOOKUP(INDEX(英雄装备!$F:$BZ,MATCH($H35,英雄装备!$F:$F,0),MATCH(S$2,英雄装备!$1:$1,0)-4),装备属性!$A:$C,3,0),VLOOKUP(INDEX(英雄装备!$F:$BZ,MATCH($H35,英雄装备!$F:$F,0),MATCH(S$2,英雄装备!$1:$1,0)-3),装备属性!$A:$C,3,0),VLOOKUP(INDEX(英雄装备!$F:$BZ,MATCH($H35,英雄装备!$F:$F,0),MATCH(S$2,英雄装备!$1:$1,0)-2),装备属性!$A:$C,3,0),VLOOKUP(INDEX(英雄装备!$F:$BZ,MATCH($H35,英雄装备!$F:$F,0),MATCH(S$2,英雄装备!$1:$1,0)-1),装备属性!$A:$C,3,0),VLOOKUP(INDEX(英雄装备!$F:$BZ,MATCH($H35,英雄装备!$F:$F,0),MATCH(S$2,英雄装备!$1:$1,0)),装备属性!$A:$C,3,0))</f>
        <v>85</v>
      </c>
      <c r="T35" s="51">
        <f>MAX(VLOOKUP(INDEX(英雄装备!$F:$BZ,MATCH($H35,英雄装备!$F:$F,0),MATCH(T$2,英雄装备!$1:$1,0)-5),装备属性!$A:$C,3,0),VLOOKUP(INDEX(英雄装备!$F:$BZ,MATCH($H35,英雄装备!$F:$F,0),MATCH(T$2,英雄装备!$1:$1,0)-4),装备属性!$A:$C,3,0),VLOOKUP(INDEX(英雄装备!$F:$BZ,MATCH($H35,英雄装备!$F:$F,0),MATCH(T$2,英雄装备!$1:$1,0)-3),装备属性!$A:$C,3,0),VLOOKUP(INDEX(英雄装备!$F:$BZ,MATCH($H35,英雄装备!$F:$F,0),MATCH(T$2,英雄装备!$1:$1,0)-2),装备属性!$A:$C,3,0),VLOOKUP(INDEX(英雄装备!$F:$BZ,MATCH($H35,英雄装备!$F:$F,0),MATCH(T$2,英雄装备!$1:$1,0)-1),装备属性!$A:$C,3,0))</f>
        <v>88</v>
      </c>
      <c r="X35" s="151" t="b">
        <f t="shared" si="4"/>
        <v>1</v>
      </c>
      <c r="Y35" s="151" t="b">
        <f t="shared" si="4"/>
        <v>1</v>
      </c>
      <c r="Z35" s="151" t="b">
        <f t="shared" si="4"/>
        <v>1</v>
      </c>
      <c r="AA35" s="151" t="b">
        <f t="shared" si="4"/>
        <v>1</v>
      </c>
      <c r="AB35" s="151" t="b">
        <f t="shared" si="4"/>
        <v>1</v>
      </c>
      <c r="AC35" s="151" t="b">
        <f t="shared" si="4"/>
        <v>1</v>
      </c>
      <c r="AF35" s="151">
        <v>3</v>
      </c>
      <c r="AG35" s="151" t="str">
        <f>X3</f>
        <v>敏捷之刃</v>
      </c>
      <c r="AH35" s="151">
        <f>VLOOKUP($AG35,装备属性!$A:$Y,5,0)</f>
        <v>0</v>
      </c>
      <c r="AI35" s="151">
        <f>VLOOKUP($AG35,装备属性!$A:$Y,6,0)</f>
        <v>10</v>
      </c>
      <c r="AJ35" s="151">
        <f>VLOOKUP($AG35,装备属性!$A:$Y,7,0)</f>
        <v>0</v>
      </c>
      <c r="AK35" s="151">
        <f>VLOOKUP($AG35,装备属性!$A:$Y,8,0)</f>
        <v>0</v>
      </c>
      <c r="AL35" s="151">
        <f>VLOOKUP($AG35,装备属性!$A:$Y,9,0)</f>
        <v>0</v>
      </c>
      <c r="AM35" s="151">
        <f>VLOOKUP($AG35,装备属性!$A:$Y,10,0)</f>
        <v>0</v>
      </c>
      <c r="AN35" s="151">
        <f>VLOOKUP($AG35,装备属性!$A:$Y,11,0)</f>
        <v>0</v>
      </c>
      <c r="AO35" s="151">
        <f>VLOOKUP($AG35,装备属性!$A:$Y,12,0)</f>
        <v>0</v>
      </c>
      <c r="AP35" s="151">
        <f>VLOOKUP($AG35,装备属性!$A:$Y,13,0)</f>
        <v>0</v>
      </c>
      <c r="AQ35" s="151">
        <f>VLOOKUP($AG35,装备属性!$A:$Y,14,0)</f>
        <v>0</v>
      </c>
      <c r="AR35" s="151">
        <f>VLOOKUP($AG35,装备属性!$A:$Y,15,0)</f>
        <v>0</v>
      </c>
      <c r="AS35" s="151">
        <f>VLOOKUP($AG35,装备属性!$A:$Y,16,0)</f>
        <v>0</v>
      </c>
      <c r="AT35" s="151">
        <f>VLOOKUP($AG35,装备属性!$A:$Y,17,0)</f>
        <v>0</v>
      </c>
      <c r="AU35" s="151">
        <f>VLOOKUP($AG35,装备属性!$A:$Y,18,0)</f>
        <v>0</v>
      </c>
      <c r="AV35" s="151">
        <f>VLOOKUP($AG35,装备属性!$A:$Y,19,0)</f>
        <v>0</v>
      </c>
      <c r="AW35" s="151">
        <f>VLOOKUP($AG35,装备属性!$A:$Y,20,0)</f>
        <v>0</v>
      </c>
      <c r="AX35" s="151">
        <f>VLOOKUP($AG35,装备属性!$A:$Y,21,0)</f>
        <v>0</v>
      </c>
      <c r="AY35" s="151">
        <f>VLOOKUP($AG35,装备属性!$A:$Y,22,0)</f>
        <v>0</v>
      </c>
      <c r="AZ35" s="151">
        <f>VLOOKUP($AG35,装备属性!$A:$Y,23,0)</f>
        <v>0</v>
      </c>
      <c r="BA35" s="151">
        <f>VLOOKUP($AG35,装备属性!$A:$Y,24,0)</f>
        <v>0</v>
      </c>
      <c r="BB35" s="151">
        <f>VLOOKUP($AG35,装备属性!$A:$Y,25,0)</f>
        <v>0</v>
      </c>
    </row>
    <row r="36" spans="2:54">
      <c r="B36" s="151" t="str">
        <f>英雄初始!A37</f>
        <v>火女</v>
      </c>
      <c r="H36" s="54" t="s">
        <v>189</v>
      </c>
      <c r="I36" s="51">
        <f>MAX(VLOOKUP(INDEX(英雄装备!$F:$BZ,MATCH($H36,英雄装备!$F:$F,0),MATCH(I$2,英雄装备!$1:$1,0)-5),装备属性!$A:$C,3,0),VLOOKUP(INDEX(英雄装备!$F:$BZ,MATCH($H36,英雄装备!$F:$F,0),MATCH(I$2,英雄装备!$1:$1,0)-4),装备属性!$A:$C,3,0),VLOOKUP(INDEX(英雄装备!$F:$BZ,MATCH($H36,英雄装备!$F:$F,0),MATCH(I$2,英雄装备!$1:$1,0)-3),装备属性!$A:$C,3,0),VLOOKUP(INDEX(英雄装备!$F:$BZ,MATCH($H36,英雄装备!$F:$F,0),MATCH(I$2,英雄装备!$1:$1,0)-2),装备属性!$A:$C,3,0),VLOOKUP(INDEX(英雄装备!$F:$BZ,MATCH($H36,英雄装备!$F:$F,0),MATCH(I$2,英雄装备!$1:$1,0)-1),装备属性!$A:$C,3,0),VLOOKUP(INDEX(英雄装备!$F:$BZ,MATCH($H36,英雄装备!$F:$F,0),MATCH(I$2,英雄装备!$1:$1,0)),装备属性!$A:$C,3,0))</f>
        <v>2</v>
      </c>
      <c r="J36" s="51">
        <f>MAX(VLOOKUP(INDEX(英雄装备!$F:$BZ,MATCH($H36,英雄装备!$F:$F,0),MATCH(J$2,英雄装备!$1:$1,0)-5),装备属性!$A:$C,3,0),VLOOKUP(INDEX(英雄装备!$F:$BZ,MATCH($H36,英雄装备!$F:$F,0),MATCH(J$2,英雄装备!$1:$1,0)-4),装备属性!$A:$C,3,0),VLOOKUP(INDEX(英雄装备!$F:$BZ,MATCH($H36,英雄装备!$F:$F,0),MATCH(J$2,英雄装备!$1:$1,0)-3),装备属性!$A:$C,3,0),VLOOKUP(INDEX(英雄装备!$F:$BZ,MATCH($H36,英雄装备!$F:$F,0),MATCH(J$2,英雄装备!$1:$1,0)-2),装备属性!$A:$C,3,0),VLOOKUP(INDEX(英雄装备!$F:$BZ,MATCH($H36,英雄装备!$F:$F,0),MATCH(J$2,英雄装备!$1:$1,0)-1),装备属性!$A:$C,3,0),VLOOKUP(INDEX(英雄装备!$F:$BZ,MATCH($H36,英雄装备!$F:$F,0),MATCH(J$2,英雄装备!$1:$1,0)),装备属性!$A:$C,3,0))</f>
        <v>10</v>
      </c>
      <c r="K36" s="51">
        <f>MAX(VLOOKUP(INDEX(英雄装备!$F:$BZ,MATCH($H36,英雄装备!$F:$F,0),MATCH(K$2,英雄装备!$1:$1,0)-5),装备属性!$A:$C,3,0),VLOOKUP(INDEX(英雄装备!$F:$BZ,MATCH($H36,英雄装备!$F:$F,0),MATCH(K$2,英雄装备!$1:$1,0)-4),装备属性!$A:$C,3,0),VLOOKUP(INDEX(英雄装备!$F:$BZ,MATCH($H36,英雄装备!$F:$F,0),MATCH(K$2,英雄装备!$1:$1,0)-3),装备属性!$A:$C,3,0),VLOOKUP(INDEX(英雄装备!$F:$BZ,MATCH($H36,英雄装备!$F:$F,0),MATCH(K$2,英雄装备!$1:$1,0)-2),装备属性!$A:$C,3,0),VLOOKUP(INDEX(英雄装备!$F:$BZ,MATCH($H36,英雄装备!$F:$F,0),MATCH(K$2,英雄装备!$1:$1,0)-1),装备属性!$A:$C,3,0),VLOOKUP(INDEX(英雄装备!$F:$BZ,MATCH($H36,英雄装备!$F:$F,0),MATCH(K$2,英雄装备!$1:$1,0)),装备属性!$A:$C,3,0))</f>
        <v>20</v>
      </c>
      <c r="L36" s="51">
        <f>MAX(VLOOKUP(INDEX(英雄装备!$F:$BZ,MATCH($H36,英雄装备!$F:$F,0),MATCH(L$2,英雄装备!$1:$1,0)-5),装备属性!$A:$C,3,0),VLOOKUP(INDEX(英雄装备!$F:$BZ,MATCH($H36,英雄装备!$F:$F,0),MATCH(L$2,英雄装备!$1:$1,0)-4),装备属性!$A:$C,3,0),VLOOKUP(INDEX(英雄装备!$F:$BZ,MATCH($H36,英雄装备!$F:$F,0),MATCH(L$2,英雄装备!$1:$1,0)-3),装备属性!$A:$C,3,0),VLOOKUP(INDEX(英雄装备!$F:$BZ,MATCH($H36,英雄装备!$F:$F,0),MATCH(L$2,英雄装备!$1:$1,0)-2),装备属性!$A:$C,3,0),VLOOKUP(INDEX(英雄装备!$F:$BZ,MATCH($H36,英雄装备!$F:$F,0),MATCH(L$2,英雄装备!$1:$1,0)-1),装备属性!$A:$C,3,0),VLOOKUP(INDEX(英雄装备!$F:$BZ,MATCH($H36,英雄装备!$F:$F,0),MATCH(L$2,英雄装备!$1:$1,0)),装备属性!$A:$C,3,0))</f>
        <v>34</v>
      </c>
      <c r="M36" s="51">
        <f>MAX(VLOOKUP(INDEX(英雄装备!$F:$BZ,MATCH($H36,英雄装备!$F:$F,0),MATCH(M$2,英雄装备!$1:$1,0)-5),装备属性!$A:$C,3,0),VLOOKUP(INDEX(英雄装备!$F:$BZ,MATCH($H36,英雄装备!$F:$F,0),MATCH(M$2,英雄装备!$1:$1,0)-4),装备属性!$A:$C,3,0),VLOOKUP(INDEX(英雄装备!$F:$BZ,MATCH($H36,英雄装备!$F:$F,0),MATCH(M$2,英雄装备!$1:$1,0)-3),装备属性!$A:$C,3,0),VLOOKUP(INDEX(英雄装备!$F:$BZ,MATCH($H36,英雄装备!$F:$F,0),MATCH(M$2,英雄装备!$1:$1,0)-2),装备属性!$A:$C,3,0),VLOOKUP(INDEX(英雄装备!$F:$BZ,MATCH($H36,英雄装备!$F:$F,0),MATCH(M$2,英雄装备!$1:$1,0)-1),装备属性!$A:$C,3,0),VLOOKUP(INDEX(英雄装备!$F:$BZ,MATCH($H36,英雄装备!$F:$F,0),MATCH(M$2,英雄装备!$1:$1,0)),装备属性!$A:$C,3,0))</f>
        <v>43</v>
      </c>
      <c r="N36" s="51">
        <f>MAX(VLOOKUP(INDEX(英雄装备!$F:$BZ,MATCH($H36,英雄装备!$F:$F,0),MATCH(N$2,英雄装备!$1:$1,0)-5),装备属性!$A:$C,3,0),VLOOKUP(INDEX(英雄装备!$F:$BZ,MATCH($H36,英雄装备!$F:$F,0),MATCH(N$2,英雄装备!$1:$1,0)-4),装备属性!$A:$C,3,0),VLOOKUP(INDEX(英雄装备!$F:$BZ,MATCH($H36,英雄装备!$F:$F,0),MATCH(N$2,英雄装备!$1:$1,0)-3),装备属性!$A:$C,3,0),VLOOKUP(INDEX(英雄装备!$F:$BZ,MATCH($H36,英雄装备!$F:$F,0),MATCH(N$2,英雄装备!$1:$1,0)-2),装备属性!$A:$C,3,0),VLOOKUP(INDEX(英雄装备!$F:$BZ,MATCH($H36,英雄装备!$F:$F,0),MATCH(N$2,英雄装备!$1:$1,0)-1),装备属性!$A:$C,3,0),VLOOKUP(INDEX(英雄装备!$F:$BZ,MATCH($H36,英雄装备!$F:$F,0),MATCH(N$2,英雄装备!$1:$1,0)),装备属性!$A:$C,3,0))</f>
        <v>51</v>
      </c>
      <c r="O36" s="51">
        <f>MAX(VLOOKUP(INDEX(英雄装备!$F:$BZ,MATCH($H36,英雄装备!$F:$F,0),MATCH(O$2,英雄装备!$1:$1,0)-5),装备属性!$A:$C,3,0),VLOOKUP(INDEX(英雄装备!$F:$BZ,MATCH($H36,英雄装备!$F:$F,0),MATCH(O$2,英雄装备!$1:$1,0)-4),装备属性!$A:$C,3,0),VLOOKUP(INDEX(英雄装备!$F:$BZ,MATCH($H36,英雄装备!$F:$F,0),MATCH(O$2,英雄装备!$1:$1,0)-3),装备属性!$A:$C,3,0),VLOOKUP(INDEX(英雄装备!$F:$BZ,MATCH($H36,英雄装备!$F:$F,0),MATCH(O$2,英雄装备!$1:$1,0)-2),装备属性!$A:$C,3,0),VLOOKUP(INDEX(英雄装备!$F:$BZ,MATCH($H36,英雄装备!$F:$F,0),MATCH(O$2,英雄装备!$1:$1,0)-1),装备属性!$A:$C,3,0),VLOOKUP(INDEX(英雄装备!$F:$BZ,MATCH($H36,英雄装备!$F:$F,0),MATCH(O$2,英雄装备!$1:$1,0)),装备属性!$A:$C,3,0))</f>
        <v>65</v>
      </c>
      <c r="P36" s="51">
        <f>MAX(VLOOKUP(INDEX(英雄装备!$F:$BZ,MATCH($H36,英雄装备!$F:$F,0),MATCH(P$2,英雄装备!$1:$1,0)-5),装备属性!$A:$C,3,0),VLOOKUP(INDEX(英雄装备!$F:$BZ,MATCH($H36,英雄装备!$F:$F,0),MATCH(P$2,英雄装备!$1:$1,0)-4),装备属性!$A:$C,3,0),VLOOKUP(INDEX(英雄装备!$F:$BZ,MATCH($H36,英雄装备!$F:$F,0),MATCH(P$2,英雄装备!$1:$1,0)-3),装备属性!$A:$C,3,0),VLOOKUP(INDEX(英雄装备!$F:$BZ,MATCH($H36,英雄装备!$F:$F,0),MATCH(P$2,英雄装备!$1:$1,0)-2),装备属性!$A:$C,3,0),VLOOKUP(INDEX(英雄装备!$F:$BZ,MATCH($H36,英雄装备!$F:$F,0),MATCH(P$2,英雄装备!$1:$1,0)-1),装备属性!$A:$C,3,0),VLOOKUP(INDEX(英雄装备!$F:$BZ,MATCH($H36,英雄装备!$F:$F,0),MATCH(P$2,英雄装备!$1:$1,0)),装备属性!$A:$C,3,0))</f>
        <v>70</v>
      </c>
      <c r="Q36" s="51">
        <f>MAX(VLOOKUP(INDEX(英雄装备!$F:$BZ,MATCH($H36,英雄装备!$F:$F,0),MATCH(Q$2,英雄装备!$1:$1,0)-5),装备属性!$A:$C,3,0),VLOOKUP(INDEX(英雄装备!$F:$BZ,MATCH($H36,英雄装备!$F:$F,0),MATCH(Q$2,英雄装备!$1:$1,0)-4),装备属性!$A:$C,3,0),VLOOKUP(INDEX(英雄装备!$F:$BZ,MATCH($H36,英雄装备!$F:$F,0),MATCH(Q$2,英雄装备!$1:$1,0)-3),装备属性!$A:$C,3,0),VLOOKUP(INDEX(英雄装备!$F:$BZ,MATCH($H36,英雄装备!$F:$F,0),MATCH(Q$2,英雄装备!$1:$1,0)-2),装备属性!$A:$C,3,0),VLOOKUP(INDEX(英雄装备!$F:$BZ,MATCH($H36,英雄装备!$F:$F,0),MATCH(Q$2,英雄装备!$1:$1,0)-1),装备属性!$A:$C,3,0),VLOOKUP(INDEX(英雄装备!$F:$BZ,MATCH($H36,英雄装备!$F:$F,0),MATCH(Q$2,英雄装备!$1:$1,0)),装备属性!$A:$C,3,0))</f>
        <v>78</v>
      </c>
      <c r="R36" s="51">
        <f>MAX(VLOOKUP(INDEX(英雄装备!$F:$BZ,MATCH($H36,英雄装备!$F:$F,0),MATCH(R$2,英雄装备!$1:$1,0)-5),装备属性!$A:$C,3,0),VLOOKUP(INDEX(英雄装备!$F:$BZ,MATCH($H36,英雄装备!$F:$F,0),MATCH(R$2,英雄装备!$1:$1,0)-4),装备属性!$A:$C,3,0),VLOOKUP(INDEX(英雄装备!$F:$BZ,MATCH($H36,英雄装备!$F:$F,0),MATCH(R$2,英雄装备!$1:$1,0)-3),装备属性!$A:$C,3,0),VLOOKUP(INDEX(英雄装备!$F:$BZ,MATCH($H36,英雄装备!$F:$F,0),MATCH(R$2,英雄装备!$1:$1,0)-2),装备属性!$A:$C,3,0),VLOOKUP(INDEX(英雄装备!$F:$BZ,MATCH($H36,英雄装备!$F:$F,0),MATCH(R$2,英雄装备!$1:$1,0)-1),装备属性!$A:$C,3,0),VLOOKUP(INDEX(英雄装备!$F:$BZ,MATCH($H36,英雄装备!$F:$F,0),MATCH(R$2,英雄装备!$1:$1,0)),装备属性!$A:$C,3,0))</f>
        <v>80</v>
      </c>
      <c r="S36" s="51">
        <f>MAX(VLOOKUP(INDEX(英雄装备!$F:$BZ,MATCH($H36,英雄装备!$F:$F,0),MATCH(S$2,英雄装备!$1:$1,0)-5),装备属性!$A:$C,3,0),VLOOKUP(INDEX(英雄装备!$F:$BZ,MATCH($H36,英雄装备!$F:$F,0),MATCH(S$2,英雄装备!$1:$1,0)-4),装备属性!$A:$C,3,0),VLOOKUP(INDEX(英雄装备!$F:$BZ,MATCH($H36,英雄装备!$F:$F,0),MATCH(S$2,英雄装备!$1:$1,0)-3),装备属性!$A:$C,3,0),VLOOKUP(INDEX(英雄装备!$F:$BZ,MATCH($H36,英雄装备!$F:$F,0),MATCH(S$2,英雄装备!$1:$1,0)-2),装备属性!$A:$C,3,0),VLOOKUP(INDEX(英雄装备!$F:$BZ,MATCH($H36,英雄装备!$F:$F,0),MATCH(S$2,英雄装备!$1:$1,0)-1),装备属性!$A:$C,3,0),VLOOKUP(INDEX(英雄装备!$F:$BZ,MATCH($H36,英雄装备!$F:$F,0),MATCH(S$2,英雄装备!$1:$1,0)),装备属性!$A:$C,3,0))</f>
        <v>85</v>
      </c>
      <c r="T36" s="51">
        <f>MAX(VLOOKUP(INDEX(英雄装备!$F:$BZ,MATCH($H36,英雄装备!$F:$F,0),MATCH(T$2,英雄装备!$1:$1,0)-5),装备属性!$A:$C,3,0),VLOOKUP(INDEX(英雄装备!$F:$BZ,MATCH($H36,英雄装备!$F:$F,0),MATCH(T$2,英雄装备!$1:$1,0)-4),装备属性!$A:$C,3,0),VLOOKUP(INDEX(英雄装备!$F:$BZ,MATCH($H36,英雄装备!$F:$F,0),MATCH(T$2,英雄装备!$1:$1,0)-3),装备属性!$A:$C,3,0),VLOOKUP(INDEX(英雄装备!$F:$BZ,MATCH($H36,英雄装备!$F:$F,0),MATCH(T$2,英雄装备!$1:$1,0)-2),装备属性!$A:$C,3,0),VLOOKUP(INDEX(英雄装备!$F:$BZ,MATCH($H36,英雄装备!$F:$F,0),MATCH(T$2,英雄装备!$1:$1,0)-1),装备属性!$A:$C,3,0))</f>
        <v>87</v>
      </c>
      <c r="X36" s="151" t="b">
        <f t="shared" si="4"/>
        <v>1</v>
      </c>
      <c r="Y36" s="151" t="b">
        <f t="shared" si="4"/>
        <v>1</v>
      </c>
      <c r="Z36" s="151" t="b">
        <f t="shared" si="4"/>
        <v>1</v>
      </c>
      <c r="AA36" s="151" t="b">
        <f t="shared" si="4"/>
        <v>1</v>
      </c>
      <c r="AB36" s="151" t="b">
        <f t="shared" si="4"/>
        <v>1</v>
      </c>
      <c r="AC36" s="151" t="b">
        <f t="shared" si="4"/>
        <v>1</v>
      </c>
      <c r="AF36" s="151">
        <v>3</v>
      </c>
      <c r="AG36" s="151" t="str">
        <f>Y3</f>
        <v>祭品</v>
      </c>
      <c r="AH36" s="151">
        <f>VLOOKUP($AG36,装备属性!$A:$Y,5,0)</f>
        <v>0</v>
      </c>
      <c r="AI36" s="151">
        <f>VLOOKUP($AG36,装备属性!$A:$Y,6,0)</f>
        <v>0</v>
      </c>
      <c r="AJ36" s="151">
        <f>VLOOKUP($AG36,装备属性!$A:$Y,7,0)</f>
        <v>0</v>
      </c>
      <c r="AK36" s="151">
        <f>VLOOKUP($AG36,装备属性!$A:$Y,8,0)</f>
        <v>0</v>
      </c>
      <c r="AL36" s="151">
        <f>VLOOKUP($AG36,装备属性!$A:$Y,9,0)</f>
        <v>0</v>
      </c>
      <c r="AM36" s="151">
        <f>VLOOKUP($AG36,装备属性!$A:$Y,10,0)</f>
        <v>0</v>
      </c>
      <c r="AN36" s="151">
        <f>VLOOKUP($AG36,装备属性!$A:$Y,11,0)</f>
        <v>5</v>
      </c>
      <c r="AO36" s="151">
        <f>VLOOKUP($AG36,装备属性!$A:$Y,12,0)</f>
        <v>0</v>
      </c>
      <c r="AP36" s="151">
        <f>VLOOKUP($AG36,装备属性!$A:$Y,13,0)</f>
        <v>15</v>
      </c>
      <c r="AQ36" s="151">
        <f>VLOOKUP($AG36,装备属性!$A:$Y,14,0)</f>
        <v>0</v>
      </c>
      <c r="AR36" s="151">
        <f>VLOOKUP($AG36,装备属性!$A:$Y,15,0)</f>
        <v>0</v>
      </c>
      <c r="AS36" s="151">
        <f>VLOOKUP($AG36,装备属性!$A:$Y,16,0)</f>
        <v>0</v>
      </c>
      <c r="AT36" s="151">
        <f>VLOOKUP($AG36,装备属性!$A:$Y,17,0)</f>
        <v>16</v>
      </c>
      <c r="AU36" s="151">
        <f>VLOOKUP($AG36,装备属性!$A:$Y,18,0)</f>
        <v>0</v>
      </c>
      <c r="AV36" s="151">
        <f>VLOOKUP($AG36,装备属性!$A:$Y,19,0)</f>
        <v>0</v>
      </c>
      <c r="AW36" s="151">
        <f>VLOOKUP($AG36,装备属性!$A:$Y,20,0)</f>
        <v>0</v>
      </c>
      <c r="AX36" s="151">
        <f>VLOOKUP($AG36,装备属性!$A:$Y,21,0)</f>
        <v>40</v>
      </c>
      <c r="AY36" s="151">
        <f>VLOOKUP($AG36,装备属性!$A:$Y,22,0)</f>
        <v>0</v>
      </c>
      <c r="AZ36" s="151">
        <f>VLOOKUP($AG36,装备属性!$A:$Y,23,0)</f>
        <v>0</v>
      </c>
      <c r="BA36" s="151">
        <f>VLOOKUP($AG36,装备属性!$A:$Y,24,0)</f>
        <v>0</v>
      </c>
      <c r="BB36" s="151">
        <f>VLOOKUP($AG36,装备属性!$A:$Y,25,0)</f>
        <v>0</v>
      </c>
    </row>
    <row r="37" spans="2:54">
      <c r="B37" s="151" t="str">
        <f>英雄初始!A38</f>
        <v>蓝胖</v>
      </c>
      <c r="H37" s="54" t="s">
        <v>190</v>
      </c>
      <c r="I37" s="51">
        <f>MAX(VLOOKUP(INDEX(英雄装备!$F:$BZ,MATCH($H37,英雄装备!$F:$F,0),MATCH(I$2,英雄装备!$1:$1,0)-5),装备属性!$A:$C,3,0),VLOOKUP(INDEX(英雄装备!$F:$BZ,MATCH($H37,英雄装备!$F:$F,0),MATCH(I$2,英雄装备!$1:$1,0)-4),装备属性!$A:$C,3,0),VLOOKUP(INDEX(英雄装备!$F:$BZ,MATCH($H37,英雄装备!$F:$F,0),MATCH(I$2,英雄装备!$1:$1,0)-3),装备属性!$A:$C,3,0),VLOOKUP(INDEX(英雄装备!$F:$BZ,MATCH($H37,英雄装备!$F:$F,0),MATCH(I$2,英雄装备!$1:$1,0)-2),装备属性!$A:$C,3,0),VLOOKUP(INDEX(英雄装备!$F:$BZ,MATCH($H37,英雄装备!$F:$F,0),MATCH(I$2,英雄装备!$1:$1,0)-1),装备属性!$A:$C,3,0),VLOOKUP(INDEX(英雄装备!$F:$BZ,MATCH($H37,英雄装备!$F:$F,0),MATCH(I$2,英雄装备!$1:$1,0)),装备属性!$A:$C,3,0))</f>
        <v>2</v>
      </c>
      <c r="J37" s="51">
        <f>MAX(VLOOKUP(INDEX(英雄装备!$F:$BZ,MATCH($H37,英雄装备!$F:$F,0),MATCH(J$2,英雄装备!$1:$1,0)-5),装备属性!$A:$C,3,0),VLOOKUP(INDEX(英雄装备!$F:$BZ,MATCH($H37,英雄装备!$F:$F,0),MATCH(J$2,英雄装备!$1:$1,0)-4),装备属性!$A:$C,3,0),VLOOKUP(INDEX(英雄装备!$F:$BZ,MATCH($H37,英雄装备!$F:$F,0),MATCH(J$2,英雄装备!$1:$1,0)-3),装备属性!$A:$C,3,0),VLOOKUP(INDEX(英雄装备!$F:$BZ,MATCH($H37,英雄装备!$F:$F,0),MATCH(J$2,英雄装备!$1:$1,0)-2),装备属性!$A:$C,3,0),VLOOKUP(INDEX(英雄装备!$F:$BZ,MATCH($H37,英雄装备!$F:$F,0),MATCH(J$2,英雄装备!$1:$1,0)-1),装备属性!$A:$C,3,0),VLOOKUP(INDEX(英雄装备!$F:$BZ,MATCH($H37,英雄装备!$F:$F,0),MATCH(J$2,英雄装备!$1:$1,0)),装备属性!$A:$C,3,0))</f>
        <v>10</v>
      </c>
      <c r="K37" s="51">
        <f>MAX(VLOOKUP(INDEX(英雄装备!$F:$BZ,MATCH($H37,英雄装备!$F:$F,0),MATCH(K$2,英雄装备!$1:$1,0)-5),装备属性!$A:$C,3,0),VLOOKUP(INDEX(英雄装备!$F:$BZ,MATCH($H37,英雄装备!$F:$F,0),MATCH(K$2,英雄装备!$1:$1,0)-4),装备属性!$A:$C,3,0),VLOOKUP(INDEX(英雄装备!$F:$BZ,MATCH($H37,英雄装备!$F:$F,0),MATCH(K$2,英雄装备!$1:$1,0)-3),装备属性!$A:$C,3,0),VLOOKUP(INDEX(英雄装备!$F:$BZ,MATCH($H37,英雄装备!$F:$F,0),MATCH(K$2,英雄装备!$1:$1,0)-2),装备属性!$A:$C,3,0),VLOOKUP(INDEX(英雄装备!$F:$BZ,MATCH($H37,英雄装备!$F:$F,0),MATCH(K$2,英雄装备!$1:$1,0)-1),装备属性!$A:$C,3,0),VLOOKUP(INDEX(英雄装备!$F:$BZ,MATCH($H37,英雄装备!$F:$F,0),MATCH(K$2,英雄装备!$1:$1,0)),装备属性!$A:$C,3,0))</f>
        <v>21</v>
      </c>
      <c r="L37" s="51">
        <f>MAX(VLOOKUP(INDEX(英雄装备!$F:$BZ,MATCH($H37,英雄装备!$F:$F,0),MATCH(L$2,英雄装备!$1:$1,0)-5),装备属性!$A:$C,3,0),VLOOKUP(INDEX(英雄装备!$F:$BZ,MATCH($H37,英雄装备!$F:$F,0),MATCH(L$2,英雄装备!$1:$1,0)-4),装备属性!$A:$C,3,0),VLOOKUP(INDEX(英雄装备!$F:$BZ,MATCH($H37,英雄装备!$F:$F,0),MATCH(L$2,英雄装备!$1:$1,0)-3),装备属性!$A:$C,3,0),VLOOKUP(INDEX(英雄装备!$F:$BZ,MATCH($H37,英雄装备!$F:$F,0),MATCH(L$2,英雄装备!$1:$1,0)-2),装备属性!$A:$C,3,0),VLOOKUP(INDEX(英雄装备!$F:$BZ,MATCH($H37,英雄装备!$F:$F,0),MATCH(L$2,英雄装备!$1:$1,0)-1),装备属性!$A:$C,3,0),VLOOKUP(INDEX(英雄装备!$F:$BZ,MATCH($H37,英雄装备!$F:$F,0),MATCH(L$2,英雄装备!$1:$1,0)),装备属性!$A:$C,3,0))</f>
        <v>30</v>
      </c>
      <c r="M37" s="51">
        <f>MAX(VLOOKUP(INDEX(英雄装备!$F:$BZ,MATCH($H37,英雄装备!$F:$F,0),MATCH(M$2,英雄装备!$1:$1,0)-5),装备属性!$A:$C,3,0),VLOOKUP(INDEX(英雄装备!$F:$BZ,MATCH($H37,英雄装备!$F:$F,0),MATCH(M$2,英雄装备!$1:$1,0)-4),装备属性!$A:$C,3,0),VLOOKUP(INDEX(英雄装备!$F:$BZ,MATCH($H37,英雄装备!$F:$F,0),MATCH(M$2,英雄装备!$1:$1,0)-3),装备属性!$A:$C,3,0),VLOOKUP(INDEX(英雄装备!$F:$BZ,MATCH($H37,英雄装备!$F:$F,0),MATCH(M$2,英雄装备!$1:$1,0)-2),装备属性!$A:$C,3,0),VLOOKUP(INDEX(英雄装备!$F:$BZ,MATCH($H37,英雄装备!$F:$F,0),MATCH(M$2,英雄装备!$1:$1,0)-1),装备属性!$A:$C,3,0),VLOOKUP(INDEX(英雄装备!$F:$BZ,MATCH($H37,英雄装备!$F:$F,0),MATCH(M$2,英雄装备!$1:$1,0)),装备属性!$A:$C,3,0))</f>
        <v>42</v>
      </c>
      <c r="N37" s="51">
        <f>MAX(VLOOKUP(INDEX(英雄装备!$F:$BZ,MATCH($H37,英雄装备!$F:$F,0),MATCH(N$2,英雄装备!$1:$1,0)-5),装备属性!$A:$C,3,0),VLOOKUP(INDEX(英雄装备!$F:$BZ,MATCH($H37,英雄装备!$F:$F,0),MATCH(N$2,英雄装备!$1:$1,0)-4),装备属性!$A:$C,3,0),VLOOKUP(INDEX(英雄装备!$F:$BZ,MATCH($H37,英雄装备!$F:$F,0),MATCH(N$2,英雄装备!$1:$1,0)-3),装备属性!$A:$C,3,0),VLOOKUP(INDEX(英雄装备!$F:$BZ,MATCH($H37,英雄装备!$F:$F,0),MATCH(N$2,英雄装备!$1:$1,0)-2),装备属性!$A:$C,3,0),VLOOKUP(INDEX(英雄装备!$F:$BZ,MATCH($H37,英雄装备!$F:$F,0),MATCH(N$2,英雄装备!$1:$1,0)-1),装备属性!$A:$C,3,0),VLOOKUP(INDEX(英雄装备!$F:$BZ,MATCH($H37,英雄装备!$F:$F,0),MATCH(N$2,英雄装备!$1:$1,0)),装备属性!$A:$C,3,0))</f>
        <v>53</v>
      </c>
      <c r="O37" s="51">
        <f>MAX(VLOOKUP(INDEX(英雄装备!$F:$BZ,MATCH($H37,英雄装备!$F:$F,0),MATCH(O$2,英雄装备!$1:$1,0)-5),装备属性!$A:$C,3,0),VLOOKUP(INDEX(英雄装备!$F:$BZ,MATCH($H37,英雄装备!$F:$F,0),MATCH(O$2,英雄装备!$1:$1,0)-4),装备属性!$A:$C,3,0),VLOOKUP(INDEX(英雄装备!$F:$BZ,MATCH($H37,英雄装备!$F:$F,0),MATCH(O$2,英雄装备!$1:$1,0)-3),装备属性!$A:$C,3,0),VLOOKUP(INDEX(英雄装备!$F:$BZ,MATCH($H37,英雄装备!$F:$F,0),MATCH(O$2,英雄装备!$1:$1,0)-2),装备属性!$A:$C,3,0),VLOOKUP(INDEX(英雄装备!$F:$BZ,MATCH($H37,英雄装备!$F:$F,0),MATCH(O$2,英雄装备!$1:$1,0)-1),装备属性!$A:$C,3,0),VLOOKUP(INDEX(英雄装备!$F:$BZ,MATCH($H37,英雄装备!$F:$F,0),MATCH(O$2,英雄装备!$1:$1,0)),装备属性!$A:$C,3,0))</f>
        <v>59</v>
      </c>
      <c r="P37" s="51">
        <f>MAX(VLOOKUP(INDEX(英雄装备!$F:$BZ,MATCH($H37,英雄装备!$F:$F,0),MATCH(P$2,英雄装备!$1:$1,0)-5),装备属性!$A:$C,3,0),VLOOKUP(INDEX(英雄装备!$F:$BZ,MATCH($H37,英雄装备!$F:$F,0),MATCH(P$2,英雄装备!$1:$1,0)-4),装备属性!$A:$C,3,0),VLOOKUP(INDEX(英雄装备!$F:$BZ,MATCH($H37,英雄装备!$F:$F,0),MATCH(P$2,英雄装备!$1:$1,0)-3),装备属性!$A:$C,3,0),VLOOKUP(INDEX(英雄装备!$F:$BZ,MATCH($H37,英雄装备!$F:$F,0),MATCH(P$2,英雄装备!$1:$1,0)-2),装备属性!$A:$C,3,0),VLOOKUP(INDEX(英雄装备!$F:$BZ,MATCH($H37,英雄装备!$F:$F,0),MATCH(P$2,英雄装备!$1:$1,0)-1),装备属性!$A:$C,3,0),VLOOKUP(INDEX(英雄装备!$F:$BZ,MATCH($H37,英雄装备!$F:$F,0),MATCH(P$2,英雄装备!$1:$1,0)),装备属性!$A:$C,3,0))</f>
        <v>70</v>
      </c>
      <c r="Q37" s="51">
        <f>MAX(VLOOKUP(INDEX(英雄装备!$F:$BZ,MATCH($H37,英雄装备!$F:$F,0),MATCH(Q$2,英雄装备!$1:$1,0)-5),装备属性!$A:$C,3,0),VLOOKUP(INDEX(英雄装备!$F:$BZ,MATCH($H37,英雄装备!$F:$F,0),MATCH(Q$2,英雄装备!$1:$1,0)-4),装备属性!$A:$C,3,0),VLOOKUP(INDEX(英雄装备!$F:$BZ,MATCH($H37,英雄装备!$F:$F,0),MATCH(Q$2,英雄装备!$1:$1,0)-3),装备属性!$A:$C,3,0),VLOOKUP(INDEX(英雄装备!$F:$BZ,MATCH($H37,英雄装备!$F:$F,0),MATCH(Q$2,英雄装备!$1:$1,0)-2),装备属性!$A:$C,3,0),VLOOKUP(INDEX(英雄装备!$F:$BZ,MATCH($H37,英雄装备!$F:$F,0),MATCH(Q$2,英雄装备!$1:$1,0)-1),装备属性!$A:$C,3,0),VLOOKUP(INDEX(英雄装备!$F:$BZ,MATCH($H37,英雄装备!$F:$F,0),MATCH(Q$2,英雄装备!$1:$1,0)),装备属性!$A:$C,3,0))</f>
        <v>80</v>
      </c>
      <c r="R37" s="51">
        <f>MAX(VLOOKUP(INDEX(英雄装备!$F:$BZ,MATCH($H37,英雄装备!$F:$F,0),MATCH(R$2,英雄装备!$1:$1,0)-5),装备属性!$A:$C,3,0),VLOOKUP(INDEX(英雄装备!$F:$BZ,MATCH($H37,英雄装备!$F:$F,0),MATCH(R$2,英雄装备!$1:$1,0)-4),装备属性!$A:$C,3,0),VLOOKUP(INDEX(英雄装备!$F:$BZ,MATCH($H37,英雄装备!$F:$F,0),MATCH(R$2,英雄装备!$1:$1,0)-3),装备属性!$A:$C,3,0),VLOOKUP(INDEX(英雄装备!$F:$BZ,MATCH($H37,英雄装备!$F:$F,0),MATCH(R$2,英雄装备!$1:$1,0)-2),装备属性!$A:$C,3,0),VLOOKUP(INDEX(英雄装备!$F:$BZ,MATCH($H37,英雄装备!$F:$F,0),MATCH(R$2,英雄装备!$1:$1,0)-1),装备属性!$A:$C,3,0),VLOOKUP(INDEX(英雄装备!$F:$BZ,MATCH($H37,英雄装备!$F:$F,0),MATCH(R$2,英雄装备!$1:$1,0)),装备属性!$A:$C,3,0))</f>
        <v>72</v>
      </c>
      <c r="S37" s="51">
        <f>MAX(VLOOKUP(INDEX(英雄装备!$F:$BZ,MATCH($H37,英雄装备!$F:$F,0),MATCH(S$2,英雄装备!$1:$1,0)-5),装备属性!$A:$C,3,0),VLOOKUP(INDEX(英雄装备!$F:$BZ,MATCH($H37,英雄装备!$F:$F,0),MATCH(S$2,英雄装备!$1:$1,0)-4),装备属性!$A:$C,3,0),VLOOKUP(INDEX(英雄装备!$F:$BZ,MATCH($H37,英雄装备!$F:$F,0),MATCH(S$2,英雄装备!$1:$1,0)-3),装备属性!$A:$C,3,0),VLOOKUP(INDEX(英雄装备!$F:$BZ,MATCH($H37,英雄装备!$F:$F,0),MATCH(S$2,英雄装备!$1:$1,0)-2),装备属性!$A:$C,3,0),VLOOKUP(INDEX(英雄装备!$F:$BZ,MATCH($H37,英雄装备!$F:$F,0),MATCH(S$2,英雄装备!$1:$1,0)-1),装备属性!$A:$C,3,0),VLOOKUP(INDEX(英雄装备!$F:$BZ,MATCH($H37,英雄装备!$F:$F,0),MATCH(S$2,英雄装备!$1:$1,0)),装备属性!$A:$C,3,0))</f>
        <v>85</v>
      </c>
      <c r="T37" s="51">
        <f>MAX(VLOOKUP(INDEX(英雄装备!$F:$BZ,MATCH($H37,英雄装备!$F:$F,0),MATCH(T$2,英雄装备!$1:$1,0)-5),装备属性!$A:$C,3,0),VLOOKUP(INDEX(英雄装备!$F:$BZ,MATCH($H37,英雄装备!$F:$F,0),MATCH(T$2,英雄装备!$1:$1,0)-4),装备属性!$A:$C,3,0),VLOOKUP(INDEX(英雄装备!$F:$BZ,MATCH($H37,英雄装备!$F:$F,0),MATCH(T$2,英雄装备!$1:$1,0)-3),装备属性!$A:$C,3,0),VLOOKUP(INDEX(英雄装备!$F:$BZ,MATCH($H37,英雄装备!$F:$F,0),MATCH(T$2,英雄装备!$1:$1,0)-2),装备属性!$A:$C,3,0),VLOOKUP(INDEX(英雄装备!$F:$BZ,MATCH($H37,英雄装备!$F:$F,0),MATCH(T$2,英雄装备!$1:$1,0)-1),装备属性!$A:$C,3,0))</f>
        <v>88</v>
      </c>
      <c r="X37" s="151" t="b">
        <f t="shared" si="4"/>
        <v>1</v>
      </c>
      <c r="Y37" s="151" t="b">
        <f t="shared" si="4"/>
        <v>1</v>
      </c>
      <c r="Z37" s="151" t="b">
        <f t="shared" si="4"/>
        <v>1</v>
      </c>
      <c r="AA37" s="151" t="b">
        <f t="shared" si="4"/>
        <v>1</v>
      </c>
      <c r="AB37" s="151" t="b">
        <f t="shared" si="4"/>
        <v>1</v>
      </c>
      <c r="AC37" s="151" t="b">
        <f t="shared" si="4"/>
        <v>1</v>
      </c>
      <c r="AF37" s="151">
        <v>3</v>
      </c>
      <c r="AG37" s="151" t="str">
        <f>Z3</f>
        <v>大魔杖</v>
      </c>
      <c r="AH37" s="151">
        <f>VLOOKUP($AG37,装备属性!$A:$Y,5,0)</f>
        <v>3</v>
      </c>
      <c r="AI37" s="151">
        <f>VLOOKUP($AG37,装备属性!$A:$Y,6,0)</f>
        <v>3</v>
      </c>
      <c r="AJ37" s="151">
        <f>VLOOKUP($AG37,装备属性!$A:$Y,7,0)</f>
        <v>3</v>
      </c>
      <c r="AK37" s="151">
        <f>VLOOKUP($AG37,装备属性!$A:$Y,8,0)</f>
        <v>0</v>
      </c>
      <c r="AL37" s="151">
        <f>VLOOKUP($AG37,装备属性!$A:$Y,9,0)</f>
        <v>0</v>
      </c>
      <c r="AM37" s="151">
        <f>VLOOKUP($AG37,装备属性!$A:$Y,10,0)</f>
        <v>0</v>
      </c>
      <c r="AN37" s="151">
        <f>VLOOKUP($AG37,装备属性!$A:$Y,11,0)</f>
        <v>0</v>
      </c>
      <c r="AO37" s="151">
        <f>VLOOKUP($AG37,装备属性!$A:$Y,12,0)</f>
        <v>0</v>
      </c>
      <c r="AP37" s="151">
        <f>VLOOKUP($AG37,装备属性!$A:$Y,13,0)</f>
        <v>0</v>
      </c>
      <c r="AQ37" s="151">
        <f>VLOOKUP($AG37,装备属性!$A:$Y,14,0)</f>
        <v>0</v>
      </c>
      <c r="AR37" s="151">
        <f>VLOOKUP($AG37,装备属性!$A:$Y,15,0)</f>
        <v>0</v>
      </c>
      <c r="AS37" s="151">
        <f>VLOOKUP($AG37,装备属性!$A:$Y,16,0)</f>
        <v>0</v>
      </c>
      <c r="AT37" s="151">
        <f>VLOOKUP($AG37,装备属性!$A:$Y,17,0)</f>
        <v>0</v>
      </c>
      <c r="AU37" s="151">
        <f>VLOOKUP($AG37,装备属性!$A:$Y,18,0)</f>
        <v>0</v>
      </c>
      <c r="AV37" s="151">
        <f>VLOOKUP($AG37,装备属性!$A:$Y,19,0)</f>
        <v>0</v>
      </c>
      <c r="AW37" s="151">
        <f>VLOOKUP($AG37,装备属性!$A:$Y,20,0)</f>
        <v>15</v>
      </c>
      <c r="AX37" s="151">
        <f>VLOOKUP($AG37,装备属性!$A:$Y,21,0)</f>
        <v>15</v>
      </c>
      <c r="AY37" s="151">
        <f>VLOOKUP($AG37,装备属性!$A:$Y,22,0)</f>
        <v>0</v>
      </c>
      <c r="AZ37" s="151">
        <f>VLOOKUP($AG37,装备属性!$A:$Y,23,0)</f>
        <v>0</v>
      </c>
      <c r="BA37" s="151">
        <f>VLOOKUP($AG37,装备属性!$A:$Y,24,0)</f>
        <v>0</v>
      </c>
      <c r="BB37" s="151">
        <f>VLOOKUP($AG37,装备属性!$A:$Y,25,0)</f>
        <v>0</v>
      </c>
    </row>
    <row r="38" spans="2:54">
      <c r="B38" s="151" t="str">
        <f>英雄初始!A39</f>
        <v>双头龙</v>
      </c>
      <c r="H38" s="54" t="s">
        <v>191</v>
      </c>
      <c r="I38" s="51">
        <f>MAX(VLOOKUP(INDEX(英雄装备!$F:$BZ,MATCH($H38,英雄装备!$F:$F,0),MATCH(I$2,英雄装备!$1:$1,0)-5),装备属性!$A:$C,3,0),VLOOKUP(INDEX(英雄装备!$F:$BZ,MATCH($H38,英雄装备!$F:$F,0),MATCH(I$2,英雄装备!$1:$1,0)-4),装备属性!$A:$C,3,0),VLOOKUP(INDEX(英雄装备!$F:$BZ,MATCH($H38,英雄装备!$F:$F,0),MATCH(I$2,英雄装备!$1:$1,0)-3),装备属性!$A:$C,3,0),VLOOKUP(INDEX(英雄装备!$F:$BZ,MATCH($H38,英雄装备!$F:$F,0),MATCH(I$2,英雄装备!$1:$1,0)-2),装备属性!$A:$C,3,0),VLOOKUP(INDEX(英雄装备!$F:$BZ,MATCH($H38,英雄装备!$F:$F,0),MATCH(I$2,英雄装备!$1:$1,0)-1),装备属性!$A:$C,3,0),VLOOKUP(INDEX(英雄装备!$F:$BZ,MATCH($H38,英雄装备!$F:$F,0),MATCH(I$2,英雄装备!$1:$1,0)),装备属性!$A:$C,3,0))</f>
        <v>2</v>
      </c>
      <c r="J38" s="51">
        <f>MAX(VLOOKUP(INDEX(英雄装备!$F:$BZ,MATCH($H38,英雄装备!$F:$F,0),MATCH(J$2,英雄装备!$1:$1,0)-5),装备属性!$A:$C,3,0),VLOOKUP(INDEX(英雄装备!$F:$BZ,MATCH($H38,英雄装备!$F:$F,0),MATCH(J$2,英雄装备!$1:$1,0)-4),装备属性!$A:$C,3,0),VLOOKUP(INDEX(英雄装备!$F:$BZ,MATCH($H38,英雄装备!$F:$F,0),MATCH(J$2,英雄装备!$1:$1,0)-3),装备属性!$A:$C,3,0),VLOOKUP(INDEX(英雄装备!$F:$BZ,MATCH($H38,英雄装备!$F:$F,0),MATCH(J$2,英雄装备!$1:$1,0)-2),装备属性!$A:$C,3,0),VLOOKUP(INDEX(英雄装备!$F:$BZ,MATCH($H38,英雄装备!$F:$F,0),MATCH(J$2,英雄装备!$1:$1,0)-1),装备属性!$A:$C,3,0),VLOOKUP(INDEX(英雄装备!$F:$BZ,MATCH($H38,英雄装备!$F:$F,0),MATCH(J$2,英雄装备!$1:$1,0)),装备属性!$A:$C,3,0))</f>
        <v>11</v>
      </c>
      <c r="K38" s="51">
        <f>MAX(VLOOKUP(INDEX(英雄装备!$F:$BZ,MATCH($H38,英雄装备!$F:$F,0),MATCH(K$2,英雄装备!$1:$1,0)-5),装备属性!$A:$C,3,0),VLOOKUP(INDEX(英雄装备!$F:$BZ,MATCH($H38,英雄装备!$F:$F,0),MATCH(K$2,英雄装备!$1:$1,0)-4),装备属性!$A:$C,3,0),VLOOKUP(INDEX(英雄装备!$F:$BZ,MATCH($H38,英雄装备!$F:$F,0),MATCH(K$2,英雄装备!$1:$1,0)-3),装备属性!$A:$C,3,0),VLOOKUP(INDEX(英雄装备!$F:$BZ,MATCH($H38,英雄装备!$F:$F,0),MATCH(K$2,英雄装备!$1:$1,0)-2),装备属性!$A:$C,3,0),VLOOKUP(INDEX(英雄装备!$F:$BZ,MATCH($H38,英雄装备!$F:$F,0),MATCH(K$2,英雄装备!$1:$1,0)-1),装备属性!$A:$C,3,0),VLOOKUP(INDEX(英雄装备!$F:$BZ,MATCH($H38,英雄装备!$F:$F,0),MATCH(K$2,英雄装备!$1:$1,0)),装备属性!$A:$C,3,0))</f>
        <v>24</v>
      </c>
      <c r="L38" s="51">
        <f>MAX(VLOOKUP(INDEX(英雄装备!$F:$BZ,MATCH($H38,英雄装备!$F:$F,0),MATCH(L$2,英雄装备!$1:$1,0)-5),装备属性!$A:$C,3,0),VLOOKUP(INDEX(英雄装备!$F:$BZ,MATCH($H38,英雄装备!$F:$F,0),MATCH(L$2,英雄装备!$1:$1,0)-4),装备属性!$A:$C,3,0),VLOOKUP(INDEX(英雄装备!$F:$BZ,MATCH($H38,英雄装备!$F:$F,0),MATCH(L$2,英雄装备!$1:$1,0)-3),装备属性!$A:$C,3,0),VLOOKUP(INDEX(英雄装备!$F:$BZ,MATCH($H38,英雄装备!$F:$F,0),MATCH(L$2,英雄装备!$1:$1,0)-2),装备属性!$A:$C,3,0),VLOOKUP(INDEX(英雄装备!$F:$BZ,MATCH($H38,英雄装备!$F:$F,0),MATCH(L$2,英雄装备!$1:$1,0)-1),装备属性!$A:$C,3,0),VLOOKUP(INDEX(英雄装备!$F:$BZ,MATCH($H38,英雄装备!$F:$F,0),MATCH(L$2,英雄装备!$1:$1,0)),装备属性!$A:$C,3,0))</f>
        <v>35</v>
      </c>
      <c r="M38" s="51">
        <f>MAX(VLOOKUP(INDEX(英雄装备!$F:$BZ,MATCH($H38,英雄装备!$F:$F,0),MATCH(M$2,英雄装备!$1:$1,0)-5),装备属性!$A:$C,3,0),VLOOKUP(INDEX(英雄装备!$F:$BZ,MATCH($H38,英雄装备!$F:$F,0),MATCH(M$2,英雄装备!$1:$1,0)-4),装备属性!$A:$C,3,0),VLOOKUP(INDEX(英雄装备!$F:$BZ,MATCH($H38,英雄装备!$F:$F,0),MATCH(M$2,英雄装备!$1:$1,0)-3),装备属性!$A:$C,3,0),VLOOKUP(INDEX(英雄装备!$F:$BZ,MATCH($H38,英雄装备!$F:$F,0),MATCH(M$2,英雄装备!$1:$1,0)-2),装备属性!$A:$C,3,0),VLOOKUP(INDEX(英雄装备!$F:$BZ,MATCH($H38,英雄装备!$F:$F,0),MATCH(M$2,英雄装备!$1:$1,0)-1),装备属性!$A:$C,3,0),VLOOKUP(INDEX(英雄装备!$F:$BZ,MATCH($H38,英雄装备!$F:$F,0),MATCH(M$2,英雄装备!$1:$1,0)),装备属性!$A:$C,3,0))</f>
        <v>42</v>
      </c>
      <c r="N38" s="51">
        <f>MAX(VLOOKUP(INDEX(英雄装备!$F:$BZ,MATCH($H38,英雄装备!$F:$F,0),MATCH(N$2,英雄装备!$1:$1,0)-5),装备属性!$A:$C,3,0),VLOOKUP(INDEX(英雄装备!$F:$BZ,MATCH($H38,英雄装备!$F:$F,0),MATCH(N$2,英雄装备!$1:$1,0)-4),装备属性!$A:$C,3,0),VLOOKUP(INDEX(英雄装备!$F:$BZ,MATCH($H38,英雄装备!$F:$F,0),MATCH(N$2,英雄装备!$1:$1,0)-3),装备属性!$A:$C,3,0),VLOOKUP(INDEX(英雄装备!$F:$BZ,MATCH($H38,英雄装备!$F:$F,0),MATCH(N$2,英雄装备!$1:$1,0)-2),装备属性!$A:$C,3,0),VLOOKUP(INDEX(英雄装备!$F:$BZ,MATCH($H38,英雄装备!$F:$F,0),MATCH(N$2,英雄装备!$1:$1,0)-1),装备属性!$A:$C,3,0),VLOOKUP(INDEX(英雄装备!$F:$BZ,MATCH($H38,英雄装备!$F:$F,0),MATCH(N$2,英雄装备!$1:$1,0)),装备属性!$A:$C,3,0))</f>
        <v>51</v>
      </c>
      <c r="O38" s="51">
        <f>MAX(VLOOKUP(INDEX(英雄装备!$F:$BZ,MATCH($H38,英雄装备!$F:$F,0),MATCH(O$2,英雄装备!$1:$1,0)-5),装备属性!$A:$C,3,0),VLOOKUP(INDEX(英雄装备!$F:$BZ,MATCH($H38,英雄装备!$F:$F,0),MATCH(O$2,英雄装备!$1:$1,0)-4),装备属性!$A:$C,3,0),VLOOKUP(INDEX(英雄装备!$F:$BZ,MATCH($H38,英雄装备!$F:$F,0),MATCH(O$2,英雄装备!$1:$1,0)-3),装备属性!$A:$C,3,0),VLOOKUP(INDEX(英雄装备!$F:$BZ,MATCH($H38,英雄装备!$F:$F,0),MATCH(O$2,英雄装备!$1:$1,0)-2),装备属性!$A:$C,3,0),VLOOKUP(INDEX(英雄装备!$F:$BZ,MATCH($H38,英雄装备!$F:$F,0),MATCH(O$2,英雄装备!$1:$1,0)-1),装备属性!$A:$C,3,0),VLOOKUP(INDEX(英雄装备!$F:$BZ,MATCH($H38,英雄装备!$F:$F,0),MATCH(O$2,英雄装备!$1:$1,0)),装备属性!$A:$C,3,0))</f>
        <v>60</v>
      </c>
      <c r="P38" s="51">
        <f>MAX(VLOOKUP(INDEX(英雄装备!$F:$BZ,MATCH($H38,英雄装备!$F:$F,0),MATCH(P$2,英雄装备!$1:$1,0)-5),装备属性!$A:$C,3,0),VLOOKUP(INDEX(英雄装备!$F:$BZ,MATCH($H38,英雄装备!$F:$F,0),MATCH(P$2,英雄装备!$1:$1,0)-4),装备属性!$A:$C,3,0),VLOOKUP(INDEX(英雄装备!$F:$BZ,MATCH($H38,英雄装备!$F:$F,0),MATCH(P$2,英雄装备!$1:$1,0)-3),装备属性!$A:$C,3,0),VLOOKUP(INDEX(英雄装备!$F:$BZ,MATCH($H38,英雄装备!$F:$F,0),MATCH(P$2,英雄装备!$1:$1,0)-2),装备属性!$A:$C,3,0),VLOOKUP(INDEX(英雄装备!$F:$BZ,MATCH($H38,英雄装备!$F:$F,0),MATCH(P$2,英雄装备!$1:$1,0)-1),装备属性!$A:$C,3,0),VLOOKUP(INDEX(英雄装备!$F:$BZ,MATCH($H38,英雄装备!$F:$F,0),MATCH(P$2,英雄装备!$1:$1,0)),装备属性!$A:$C,3,0))</f>
        <v>70</v>
      </c>
      <c r="Q38" s="51">
        <f>MAX(VLOOKUP(INDEX(英雄装备!$F:$BZ,MATCH($H38,英雄装备!$F:$F,0),MATCH(Q$2,英雄装备!$1:$1,0)-5),装备属性!$A:$C,3,0),VLOOKUP(INDEX(英雄装备!$F:$BZ,MATCH($H38,英雄装备!$F:$F,0),MATCH(Q$2,英雄装备!$1:$1,0)-4),装备属性!$A:$C,3,0),VLOOKUP(INDEX(英雄装备!$F:$BZ,MATCH($H38,英雄装备!$F:$F,0),MATCH(Q$2,英雄装备!$1:$1,0)-3),装备属性!$A:$C,3,0),VLOOKUP(INDEX(英雄装备!$F:$BZ,MATCH($H38,英雄装备!$F:$F,0),MATCH(Q$2,英雄装备!$1:$1,0)-2),装备属性!$A:$C,3,0),VLOOKUP(INDEX(英雄装备!$F:$BZ,MATCH($H38,英雄装备!$F:$F,0),MATCH(Q$2,英雄装备!$1:$1,0)-1),装备属性!$A:$C,3,0),VLOOKUP(INDEX(英雄装备!$F:$BZ,MATCH($H38,英雄装备!$F:$F,0),MATCH(Q$2,英雄装备!$1:$1,0)),装备属性!$A:$C,3,0))</f>
        <v>80</v>
      </c>
      <c r="R38" s="51">
        <f>MAX(VLOOKUP(INDEX(英雄装备!$F:$BZ,MATCH($H38,英雄装备!$F:$F,0),MATCH(R$2,英雄装备!$1:$1,0)-5),装备属性!$A:$C,3,0),VLOOKUP(INDEX(英雄装备!$F:$BZ,MATCH($H38,英雄装备!$F:$F,0),MATCH(R$2,英雄装备!$1:$1,0)-4),装备属性!$A:$C,3,0),VLOOKUP(INDEX(英雄装备!$F:$BZ,MATCH($H38,英雄装备!$F:$F,0),MATCH(R$2,英雄装备!$1:$1,0)-3),装备属性!$A:$C,3,0),VLOOKUP(INDEX(英雄装备!$F:$BZ,MATCH($H38,英雄装备!$F:$F,0),MATCH(R$2,英雄装备!$1:$1,0)-2),装备属性!$A:$C,3,0),VLOOKUP(INDEX(英雄装备!$F:$BZ,MATCH($H38,英雄装备!$F:$F,0),MATCH(R$2,英雄装备!$1:$1,0)-1),装备属性!$A:$C,3,0),VLOOKUP(INDEX(英雄装备!$F:$BZ,MATCH($H38,英雄装备!$F:$F,0),MATCH(R$2,英雄装备!$1:$1,0)),装备属性!$A:$C,3,0))</f>
        <v>80</v>
      </c>
      <c r="S38" s="51">
        <f>MAX(VLOOKUP(INDEX(英雄装备!$F:$BZ,MATCH($H38,英雄装备!$F:$F,0),MATCH(S$2,英雄装备!$1:$1,0)-5),装备属性!$A:$C,3,0),VLOOKUP(INDEX(英雄装备!$F:$BZ,MATCH($H38,英雄装备!$F:$F,0),MATCH(S$2,英雄装备!$1:$1,0)-4),装备属性!$A:$C,3,0),VLOOKUP(INDEX(英雄装备!$F:$BZ,MATCH($H38,英雄装备!$F:$F,0),MATCH(S$2,英雄装备!$1:$1,0)-3),装备属性!$A:$C,3,0),VLOOKUP(INDEX(英雄装备!$F:$BZ,MATCH($H38,英雄装备!$F:$F,0),MATCH(S$2,英雄装备!$1:$1,0)-2),装备属性!$A:$C,3,0),VLOOKUP(INDEX(英雄装备!$F:$BZ,MATCH($H38,英雄装备!$F:$F,0),MATCH(S$2,英雄装备!$1:$1,0)-1),装备属性!$A:$C,3,0),VLOOKUP(INDEX(英雄装备!$F:$BZ,MATCH($H38,英雄装备!$F:$F,0),MATCH(S$2,英雄装备!$1:$1,0)),装备属性!$A:$C,3,0))</f>
        <v>85</v>
      </c>
      <c r="T38" s="51">
        <f>MAX(VLOOKUP(INDEX(英雄装备!$F:$BZ,MATCH($H38,英雄装备!$F:$F,0),MATCH(T$2,英雄装备!$1:$1,0)-5),装备属性!$A:$C,3,0),VLOOKUP(INDEX(英雄装备!$F:$BZ,MATCH($H38,英雄装备!$F:$F,0),MATCH(T$2,英雄装备!$1:$1,0)-4),装备属性!$A:$C,3,0),VLOOKUP(INDEX(英雄装备!$F:$BZ,MATCH($H38,英雄装备!$F:$F,0),MATCH(T$2,英雄装备!$1:$1,0)-3),装备属性!$A:$C,3,0),VLOOKUP(INDEX(英雄装备!$F:$BZ,MATCH($H38,英雄装备!$F:$F,0),MATCH(T$2,英雄装备!$1:$1,0)-2),装备属性!$A:$C,3,0),VLOOKUP(INDEX(英雄装备!$F:$BZ,MATCH($H38,英雄装备!$F:$F,0),MATCH(T$2,英雄装备!$1:$1,0)-1),装备属性!$A:$C,3,0))</f>
        <v>87</v>
      </c>
      <c r="X38" s="151" t="b">
        <f t="shared" si="4"/>
        <v>0</v>
      </c>
      <c r="Y38" s="151" t="b">
        <f t="shared" si="4"/>
        <v>1</v>
      </c>
      <c r="Z38" s="151" t="b">
        <f t="shared" si="4"/>
        <v>1</v>
      </c>
      <c r="AA38" s="151" t="b">
        <f t="shared" si="4"/>
        <v>1</v>
      </c>
      <c r="AB38" s="151" t="b">
        <f t="shared" si="4"/>
        <v>1</v>
      </c>
      <c r="AC38" s="151" t="b">
        <f t="shared" si="4"/>
        <v>1</v>
      </c>
      <c r="AF38" s="151">
        <v>3</v>
      </c>
      <c r="AG38" s="151" t="str">
        <f>AA3</f>
        <v>生命之球</v>
      </c>
      <c r="AH38" s="151">
        <f>VLOOKUP($AG38,装备属性!$A:$Y,5,0)</f>
        <v>0</v>
      </c>
      <c r="AI38" s="151">
        <f>VLOOKUP($AG38,装备属性!$A:$Y,6,0)</f>
        <v>0</v>
      </c>
      <c r="AJ38" s="151">
        <f>VLOOKUP($AG38,装备属性!$A:$Y,7,0)</f>
        <v>0</v>
      </c>
      <c r="AK38" s="151">
        <f>VLOOKUP($AG38,装备属性!$A:$Y,8,0)</f>
        <v>250</v>
      </c>
      <c r="AL38" s="151">
        <f>VLOOKUP($AG38,装备属性!$A:$Y,9,0)</f>
        <v>0</v>
      </c>
      <c r="AM38" s="151">
        <f>VLOOKUP($AG38,装备属性!$A:$Y,10,0)</f>
        <v>0</v>
      </c>
      <c r="AN38" s="151">
        <f>VLOOKUP($AG38,装备属性!$A:$Y,11,0)</f>
        <v>0</v>
      </c>
      <c r="AO38" s="151">
        <f>VLOOKUP($AG38,装备属性!$A:$Y,12,0)</f>
        <v>0</v>
      </c>
      <c r="AP38" s="151">
        <f>VLOOKUP($AG38,装备属性!$A:$Y,13,0)</f>
        <v>0</v>
      </c>
      <c r="AQ38" s="151">
        <f>VLOOKUP($AG38,装备属性!$A:$Y,14,0)</f>
        <v>0</v>
      </c>
      <c r="AR38" s="151">
        <f>VLOOKUP($AG38,装备属性!$A:$Y,15,0)</f>
        <v>0</v>
      </c>
      <c r="AS38" s="151">
        <f>VLOOKUP($AG38,装备属性!$A:$Y,16,0)</f>
        <v>0</v>
      </c>
      <c r="AT38" s="151">
        <f>VLOOKUP($AG38,装备属性!$A:$Y,17,0)</f>
        <v>0</v>
      </c>
      <c r="AU38" s="151">
        <f>VLOOKUP($AG38,装备属性!$A:$Y,18,0)</f>
        <v>0</v>
      </c>
      <c r="AV38" s="151">
        <f>VLOOKUP($AG38,装备属性!$A:$Y,19,0)</f>
        <v>0</v>
      </c>
      <c r="AW38" s="151">
        <f>VLOOKUP($AG38,装备属性!$A:$Y,20,0)</f>
        <v>0</v>
      </c>
      <c r="AX38" s="151">
        <f>VLOOKUP($AG38,装备属性!$A:$Y,21,0)</f>
        <v>0</v>
      </c>
      <c r="AY38" s="151">
        <f>VLOOKUP($AG38,装备属性!$A:$Y,22,0)</f>
        <v>0</v>
      </c>
      <c r="AZ38" s="151">
        <f>VLOOKUP($AG38,装备属性!$A:$Y,23,0)</f>
        <v>0</v>
      </c>
      <c r="BA38" s="151">
        <f>VLOOKUP($AG38,装备属性!$A:$Y,24,0)</f>
        <v>0</v>
      </c>
      <c r="BB38" s="151">
        <f>VLOOKUP($AG38,装备属性!$A:$Y,25,0)</f>
        <v>0</v>
      </c>
    </row>
    <row r="39" spans="2:54">
      <c r="B39" s="151" t="str">
        <f>英雄初始!A40</f>
        <v>死灵法师</v>
      </c>
      <c r="H39" s="54" t="s">
        <v>192</v>
      </c>
      <c r="I39" s="51">
        <f>MAX(VLOOKUP(INDEX(英雄装备!$F:$BZ,MATCH($H39,英雄装备!$F:$F,0),MATCH(I$2,英雄装备!$1:$1,0)-5),装备属性!$A:$C,3,0),VLOOKUP(INDEX(英雄装备!$F:$BZ,MATCH($H39,英雄装备!$F:$F,0),MATCH(I$2,英雄装备!$1:$1,0)-4),装备属性!$A:$C,3,0),VLOOKUP(INDEX(英雄装备!$F:$BZ,MATCH($H39,英雄装备!$F:$F,0),MATCH(I$2,英雄装备!$1:$1,0)-3),装备属性!$A:$C,3,0),VLOOKUP(INDEX(英雄装备!$F:$BZ,MATCH($H39,英雄装备!$F:$F,0),MATCH(I$2,英雄装备!$1:$1,0)-2),装备属性!$A:$C,3,0),VLOOKUP(INDEX(英雄装备!$F:$BZ,MATCH($H39,英雄装备!$F:$F,0),MATCH(I$2,英雄装备!$1:$1,0)-1),装备属性!$A:$C,3,0),VLOOKUP(INDEX(英雄装备!$F:$BZ,MATCH($H39,英雄装备!$F:$F,0),MATCH(I$2,英雄装备!$1:$1,0)),装备属性!$A:$C,3,0))</f>
        <v>2</v>
      </c>
      <c r="J39" s="51">
        <f>MAX(VLOOKUP(INDEX(英雄装备!$F:$BZ,MATCH($H39,英雄装备!$F:$F,0),MATCH(J$2,英雄装备!$1:$1,0)-5),装备属性!$A:$C,3,0),VLOOKUP(INDEX(英雄装备!$F:$BZ,MATCH($H39,英雄装备!$F:$F,0),MATCH(J$2,英雄装备!$1:$1,0)-4),装备属性!$A:$C,3,0),VLOOKUP(INDEX(英雄装备!$F:$BZ,MATCH($H39,英雄装备!$F:$F,0),MATCH(J$2,英雄装备!$1:$1,0)-3),装备属性!$A:$C,3,0),VLOOKUP(INDEX(英雄装备!$F:$BZ,MATCH($H39,英雄装备!$F:$F,0),MATCH(J$2,英雄装备!$1:$1,0)-2),装备属性!$A:$C,3,0),VLOOKUP(INDEX(英雄装备!$F:$BZ,MATCH($H39,英雄装备!$F:$F,0),MATCH(J$2,英雄装备!$1:$1,0)-1),装备属性!$A:$C,3,0),VLOOKUP(INDEX(英雄装备!$F:$BZ,MATCH($H39,英雄装备!$F:$F,0),MATCH(J$2,英雄装备!$1:$1,0)),装备属性!$A:$C,3,0))</f>
        <v>10</v>
      </c>
      <c r="K39" s="51">
        <f>MAX(VLOOKUP(INDEX(英雄装备!$F:$BZ,MATCH($H39,英雄装备!$F:$F,0),MATCH(K$2,英雄装备!$1:$1,0)-5),装备属性!$A:$C,3,0),VLOOKUP(INDEX(英雄装备!$F:$BZ,MATCH($H39,英雄装备!$F:$F,0),MATCH(K$2,英雄装备!$1:$1,0)-4),装备属性!$A:$C,3,0),VLOOKUP(INDEX(英雄装备!$F:$BZ,MATCH($H39,英雄装备!$F:$F,0),MATCH(K$2,英雄装备!$1:$1,0)-3),装备属性!$A:$C,3,0),VLOOKUP(INDEX(英雄装备!$F:$BZ,MATCH($H39,英雄装备!$F:$F,0),MATCH(K$2,英雄装备!$1:$1,0)-2),装备属性!$A:$C,3,0),VLOOKUP(INDEX(英雄装备!$F:$BZ,MATCH($H39,英雄装备!$F:$F,0),MATCH(K$2,英雄装备!$1:$1,0)-1),装备属性!$A:$C,3,0),VLOOKUP(INDEX(英雄装备!$F:$BZ,MATCH($H39,英雄装备!$F:$F,0),MATCH(K$2,英雄装备!$1:$1,0)),装备属性!$A:$C,3,0))</f>
        <v>20</v>
      </c>
      <c r="L39" s="51">
        <f>MAX(VLOOKUP(INDEX(英雄装备!$F:$BZ,MATCH($H39,英雄装备!$F:$F,0),MATCH(L$2,英雄装备!$1:$1,0)-5),装备属性!$A:$C,3,0),VLOOKUP(INDEX(英雄装备!$F:$BZ,MATCH($H39,英雄装备!$F:$F,0),MATCH(L$2,英雄装备!$1:$1,0)-4),装备属性!$A:$C,3,0),VLOOKUP(INDEX(英雄装备!$F:$BZ,MATCH($H39,英雄装备!$F:$F,0),MATCH(L$2,英雄装备!$1:$1,0)-3),装备属性!$A:$C,3,0),VLOOKUP(INDEX(英雄装备!$F:$BZ,MATCH($H39,英雄装备!$F:$F,0),MATCH(L$2,英雄装备!$1:$1,0)-2),装备属性!$A:$C,3,0),VLOOKUP(INDEX(英雄装备!$F:$BZ,MATCH($H39,英雄装备!$F:$F,0),MATCH(L$2,英雄装备!$1:$1,0)-1),装备属性!$A:$C,3,0),VLOOKUP(INDEX(英雄装备!$F:$BZ,MATCH($H39,英雄装备!$F:$F,0),MATCH(L$2,英雄装备!$1:$1,0)),装备属性!$A:$C,3,0))</f>
        <v>35</v>
      </c>
      <c r="M39" s="51">
        <f>MAX(VLOOKUP(INDEX(英雄装备!$F:$BZ,MATCH($H39,英雄装备!$F:$F,0),MATCH(M$2,英雄装备!$1:$1,0)-5),装备属性!$A:$C,3,0),VLOOKUP(INDEX(英雄装备!$F:$BZ,MATCH($H39,英雄装备!$F:$F,0),MATCH(M$2,英雄装备!$1:$1,0)-4),装备属性!$A:$C,3,0),VLOOKUP(INDEX(英雄装备!$F:$BZ,MATCH($H39,英雄装备!$F:$F,0),MATCH(M$2,英雄装备!$1:$1,0)-3),装备属性!$A:$C,3,0),VLOOKUP(INDEX(英雄装备!$F:$BZ,MATCH($H39,英雄装备!$F:$F,0),MATCH(M$2,英雄装备!$1:$1,0)-2),装备属性!$A:$C,3,0),VLOOKUP(INDEX(英雄装备!$F:$BZ,MATCH($H39,英雄装备!$F:$F,0),MATCH(M$2,英雄装备!$1:$1,0)-1),装备属性!$A:$C,3,0),VLOOKUP(INDEX(英雄装备!$F:$BZ,MATCH($H39,英雄装备!$F:$F,0),MATCH(M$2,英雄装备!$1:$1,0)),装备属性!$A:$C,3,0))</f>
        <v>43</v>
      </c>
      <c r="N39" s="51">
        <f>MAX(VLOOKUP(INDEX(英雄装备!$F:$BZ,MATCH($H39,英雄装备!$F:$F,0),MATCH(N$2,英雄装备!$1:$1,0)-5),装备属性!$A:$C,3,0),VLOOKUP(INDEX(英雄装备!$F:$BZ,MATCH($H39,英雄装备!$F:$F,0),MATCH(N$2,英雄装备!$1:$1,0)-4),装备属性!$A:$C,3,0),VLOOKUP(INDEX(英雄装备!$F:$BZ,MATCH($H39,英雄装备!$F:$F,0),MATCH(N$2,英雄装备!$1:$1,0)-3),装备属性!$A:$C,3,0),VLOOKUP(INDEX(英雄装备!$F:$BZ,MATCH($H39,英雄装备!$F:$F,0),MATCH(N$2,英雄装备!$1:$1,0)-2),装备属性!$A:$C,3,0),VLOOKUP(INDEX(英雄装备!$F:$BZ,MATCH($H39,英雄装备!$F:$F,0),MATCH(N$2,英雄装备!$1:$1,0)-1),装备属性!$A:$C,3,0),VLOOKUP(INDEX(英雄装备!$F:$BZ,MATCH($H39,英雄装备!$F:$F,0),MATCH(N$2,英雄装备!$1:$1,0)),装备属性!$A:$C,3,0))</f>
        <v>53</v>
      </c>
      <c r="O39" s="51">
        <f>MAX(VLOOKUP(INDEX(英雄装备!$F:$BZ,MATCH($H39,英雄装备!$F:$F,0),MATCH(O$2,英雄装备!$1:$1,0)-5),装备属性!$A:$C,3,0),VLOOKUP(INDEX(英雄装备!$F:$BZ,MATCH($H39,英雄装备!$F:$F,0),MATCH(O$2,英雄装备!$1:$1,0)-4),装备属性!$A:$C,3,0),VLOOKUP(INDEX(英雄装备!$F:$BZ,MATCH($H39,英雄装备!$F:$F,0),MATCH(O$2,英雄装备!$1:$1,0)-3),装备属性!$A:$C,3,0),VLOOKUP(INDEX(英雄装备!$F:$BZ,MATCH($H39,英雄装备!$F:$F,0),MATCH(O$2,英雄装备!$1:$1,0)-2),装备属性!$A:$C,3,0),VLOOKUP(INDEX(英雄装备!$F:$BZ,MATCH($H39,英雄装备!$F:$F,0),MATCH(O$2,英雄装备!$1:$1,0)-1),装备属性!$A:$C,3,0),VLOOKUP(INDEX(英雄装备!$F:$BZ,MATCH($H39,英雄装备!$F:$F,0),MATCH(O$2,英雄装备!$1:$1,0)),装备属性!$A:$C,3,0))</f>
        <v>63</v>
      </c>
      <c r="P39" s="51">
        <f>MAX(VLOOKUP(INDEX(英雄装备!$F:$BZ,MATCH($H39,英雄装备!$F:$F,0),MATCH(P$2,英雄装备!$1:$1,0)-5),装备属性!$A:$C,3,0),VLOOKUP(INDEX(英雄装备!$F:$BZ,MATCH($H39,英雄装备!$F:$F,0),MATCH(P$2,英雄装备!$1:$1,0)-4),装备属性!$A:$C,3,0),VLOOKUP(INDEX(英雄装备!$F:$BZ,MATCH($H39,英雄装备!$F:$F,0),MATCH(P$2,英雄装备!$1:$1,0)-3),装备属性!$A:$C,3,0),VLOOKUP(INDEX(英雄装备!$F:$BZ,MATCH($H39,英雄装备!$F:$F,0),MATCH(P$2,英雄装备!$1:$1,0)-2),装备属性!$A:$C,3,0),VLOOKUP(INDEX(英雄装备!$F:$BZ,MATCH($H39,英雄装备!$F:$F,0),MATCH(P$2,英雄装备!$1:$1,0)-1),装备属性!$A:$C,3,0),VLOOKUP(INDEX(英雄装备!$F:$BZ,MATCH($H39,英雄装备!$F:$F,0),MATCH(P$2,英雄装备!$1:$1,0)),装备属性!$A:$C,3,0))</f>
        <v>74</v>
      </c>
      <c r="Q39" s="51">
        <f>MAX(VLOOKUP(INDEX(英雄装备!$F:$BZ,MATCH($H39,英雄装备!$F:$F,0),MATCH(Q$2,英雄装备!$1:$1,0)-5),装备属性!$A:$C,3,0),VLOOKUP(INDEX(英雄装备!$F:$BZ,MATCH($H39,英雄装备!$F:$F,0),MATCH(Q$2,英雄装备!$1:$1,0)-4),装备属性!$A:$C,3,0),VLOOKUP(INDEX(英雄装备!$F:$BZ,MATCH($H39,英雄装备!$F:$F,0),MATCH(Q$2,英雄装备!$1:$1,0)-3),装备属性!$A:$C,3,0),VLOOKUP(INDEX(英雄装备!$F:$BZ,MATCH($H39,英雄装备!$F:$F,0),MATCH(Q$2,英雄装备!$1:$1,0)-2),装备属性!$A:$C,3,0),VLOOKUP(INDEX(英雄装备!$F:$BZ,MATCH($H39,英雄装备!$F:$F,0),MATCH(Q$2,英雄装备!$1:$1,0)-1),装备属性!$A:$C,3,0),VLOOKUP(INDEX(英雄装备!$F:$BZ,MATCH($H39,英雄装备!$F:$F,0),MATCH(Q$2,英雄装备!$1:$1,0)),装备属性!$A:$C,3,0))</f>
        <v>78</v>
      </c>
      <c r="R39" s="51">
        <f>MAX(VLOOKUP(INDEX(英雄装备!$F:$BZ,MATCH($H39,英雄装备!$F:$F,0),MATCH(R$2,英雄装备!$1:$1,0)-5),装备属性!$A:$C,3,0),VLOOKUP(INDEX(英雄装备!$F:$BZ,MATCH($H39,英雄装备!$F:$F,0),MATCH(R$2,英雄装备!$1:$1,0)-4),装备属性!$A:$C,3,0),VLOOKUP(INDEX(英雄装备!$F:$BZ,MATCH($H39,英雄装备!$F:$F,0),MATCH(R$2,英雄装备!$1:$1,0)-3),装备属性!$A:$C,3,0),VLOOKUP(INDEX(英雄装备!$F:$BZ,MATCH($H39,英雄装备!$F:$F,0),MATCH(R$2,英雄装备!$1:$1,0)-2),装备属性!$A:$C,3,0),VLOOKUP(INDEX(英雄装备!$F:$BZ,MATCH($H39,英雄装备!$F:$F,0),MATCH(R$2,英雄装备!$1:$1,0)-1),装备属性!$A:$C,3,0),VLOOKUP(INDEX(英雄装备!$F:$BZ,MATCH($H39,英雄装备!$F:$F,0),MATCH(R$2,英雄装备!$1:$1,0)),装备属性!$A:$C,3,0))</f>
        <v>80</v>
      </c>
      <c r="S39" s="51">
        <f>MAX(VLOOKUP(INDEX(英雄装备!$F:$BZ,MATCH($H39,英雄装备!$F:$F,0),MATCH(S$2,英雄装备!$1:$1,0)-5),装备属性!$A:$C,3,0),VLOOKUP(INDEX(英雄装备!$F:$BZ,MATCH($H39,英雄装备!$F:$F,0),MATCH(S$2,英雄装备!$1:$1,0)-4),装备属性!$A:$C,3,0),VLOOKUP(INDEX(英雄装备!$F:$BZ,MATCH($H39,英雄装备!$F:$F,0),MATCH(S$2,英雄装备!$1:$1,0)-3),装备属性!$A:$C,3,0),VLOOKUP(INDEX(英雄装备!$F:$BZ,MATCH($H39,英雄装备!$F:$F,0),MATCH(S$2,英雄装备!$1:$1,0)-2),装备属性!$A:$C,3,0),VLOOKUP(INDEX(英雄装备!$F:$BZ,MATCH($H39,英雄装备!$F:$F,0),MATCH(S$2,英雄装备!$1:$1,0)-1),装备属性!$A:$C,3,0),VLOOKUP(INDEX(英雄装备!$F:$BZ,MATCH($H39,英雄装备!$F:$F,0),MATCH(S$2,英雄装备!$1:$1,0)),装备属性!$A:$C,3,0))</f>
        <v>85</v>
      </c>
      <c r="T39" s="51">
        <f>MAX(VLOOKUP(INDEX(英雄装备!$F:$BZ,MATCH($H39,英雄装备!$F:$F,0),MATCH(T$2,英雄装备!$1:$1,0)-5),装备属性!$A:$C,3,0),VLOOKUP(INDEX(英雄装备!$F:$BZ,MATCH($H39,英雄装备!$F:$F,0),MATCH(T$2,英雄装备!$1:$1,0)-4),装备属性!$A:$C,3,0),VLOOKUP(INDEX(英雄装备!$F:$BZ,MATCH($H39,英雄装备!$F:$F,0),MATCH(T$2,英雄装备!$1:$1,0)-3),装备属性!$A:$C,3,0),VLOOKUP(INDEX(英雄装备!$F:$BZ,MATCH($H39,英雄装备!$F:$F,0),MATCH(T$2,英雄装备!$1:$1,0)-2),装备属性!$A:$C,3,0),VLOOKUP(INDEX(英雄装备!$F:$BZ,MATCH($H39,英雄装备!$F:$F,0),MATCH(T$2,英雄装备!$1:$1,0)-1),装备属性!$A:$C,3,0))</f>
        <v>87</v>
      </c>
      <c r="AF39" s="151">
        <v>3</v>
      </c>
      <c r="AG39" s="151" t="str">
        <f>AB3</f>
        <v>攻击利爪</v>
      </c>
      <c r="AH39" s="151">
        <f>VLOOKUP($AG39,装备属性!$A:$Y,5,0)</f>
        <v>0</v>
      </c>
      <c r="AI39" s="151">
        <f>VLOOKUP($AG39,装备属性!$A:$Y,6,0)</f>
        <v>0</v>
      </c>
      <c r="AJ39" s="151">
        <f>VLOOKUP($AG39,装备属性!$A:$Y,7,0)</f>
        <v>0</v>
      </c>
      <c r="AK39" s="151">
        <f>VLOOKUP($AG39,装备属性!$A:$Y,8,0)</f>
        <v>0</v>
      </c>
      <c r="AL39" s="151">
        <f>VLOOKUP($AG39,装备属性!$A:$Y,9,0)</f>
        <v>9</v>
      </c>
      <c r="AM39" s="151">
        <f>VLOOKUP($AG39,装备属性!$A:$Y,10,0)</f>
        <v>0</v>
      </c>
      <c r="AN39" s="151">
        <f>VLOOKUP($AG39,装备属性!$A:$Y,11,0)</f>
        <v>0</v>
      </c>
      <c r="AO39" s="151">
        <f>VLOOKUP($AG39,装备属性!$A:$Y,12,0)</f>
        <v>0</v>
      </c>
      <c r="AP39" s="151">
        <f>VLOOKUP($AG39,装备属性!$A:$Y,13,0)</f>
        <v>0</v>
      </c>
      <c r="AQ39" s="151">
        <f>VLOOKUP($AG39,装备属性!$A:$Y,14,0)</f>
        <v>0</v>
      </c>
      <c r="AR39" s="151">
        <f>VLOOKUP($AG39,装备属性!$A:$Y,15,0)</f>
        <v>0</v>
      </c>
      <c r="AS39" s="151">
        <f>VLOOKUP($AG39,装备属性!$A:$Y,16,0)</f>
        <v>0</v>
      </c>
      <c r="AT39" s="151">
        <f>VLOOKUP($AG39,装备属性!$A:$Y,17,0)</f>
        <v>0</v>
      </c>
      <c r="AU39" s="151">
        <f>VLOOKUP($AG39,装备属性!$A:$Y,18,0)</f>
        <v>0</v>
      </c>
      <c r="AV39" s="151">
        <f>VLOOKUP($AG39,装备属性!$A:$Y,19,0)</f>
        <v>0</v>
      </c>
      <c r="AW39" s="151">
        <f>VLOOKUP($AG39,装备属性!$A:$Y,20,0)</f>
        <v>0</v>
      </c>
      <c r="AX39" s="151">
        <f>VLOOKUP($AG39,装备属性!$A:$Y,21,0)</f>
        <v>0</v>
      </c>
      <c r="AY39" s="151">
        <f>VLOOKUP($AG39,装备属性!$A:$Y,22,0)</f>
        <v>0</v>
      </c>
      <c r="AZ39" s="151">
        <f>VLOOKUP($AG39,装备属性!$A:$Y,23,0)</f>
        <v>0</v>
      </c>
      <c r="BA39" s="151">
        <f>VLOOKUP($AG39,装备属性!$A:$Y,24,0)</f>
        <v>0</v>
      </c>
      <c r="BB39" s="151">
        <f>VLOOKUP($AG39,装备属性!$A:$Y,25,0)</f>
        <v>0</v>
      </c>
    </row>
    <row r="40" spans="2:54">
      <c r="B40" s="151" t="str">
        <f>英雄初始!A41</f>
        <v>术士</v>
      </c>
      <c r="H40" s="54" t="s">
        <v>193</v>
      </c>
      <c r="I40" s="51">
        <f>MAX(VLOOKUP(INDEX(英雄装备!$F:$BZ,MATCH($H40,英雄装备!$F:$F,0),MATCH(I$2,英雄装备!$1:$1,0)-5),装备属性!$A:$C,3,0),VLOOKUP(INDEX(英雄装备!$F:$BZ,MATCH($H40,英雄装备!$F:$F,0),MATCH(I$2,英雄装备!$1:$1,0)-4),装备属性!$A:$C,3,0),VLOOKUP(INDEX(英雄装备!$F:$BZ,MATCH($H40,英雄装备!$F:$F,0),MATCH(I$2,英雄装备!$1:$1,0)-3),装备属性!$A:$C,3,0),VLOOKUP(INDEX(英雄装备!$F:$BZ,MATCH($H40,英雄装备!$F:$F,0),MATCH(I$2,英雄装备!$1:$1,0)-2),装备属性!$A:$C,3,0),VLOOKUP(INDEX(英雄装备!$F:$BZ,MATCH($H40,英雄装备!$F:$F,0),MATCH(I$2,英雄装备!$1:$1,0)-1),装备属性!$A:$C,3,0),VLOOKUP(INDEX(英雄装备!$F:$BZ,MATCH($H40,英雄装备!$F:$F,0),MATCH(I$2,英雄装备!$1:$1,0)),装备属性!$A:$C,3,0))</f>
        <v>2</v>
      </c>
      <c r="J40" s="51">
        <f>MAX(VLOOKUP(INDEX(英雄装备!$F:$BZ,MATCH($H40,英雄装备!$F:$F,0),MATCH(J$2,英雄装备!$1:$1,0)-5),装备属性!$A:$C,3,0),VLOOKUP(INDEX(英雄装备!$F:$BZ,MATCH($H40,英雄装备!$F:$F,0),MATCH(J$2,英雄装备!$1:$1,0)-4),装备属性!$A:$C,3,0),VLOOKUP(INDEX(英雄装备!$F:$BZ,MATCH($H40,英雄装备!$F:$F,0),MATCH(J$2,英雄装备!$1:$1,0)-3),装备属性!$A:$C,3,0),VLOOKUP(INDEX(英雄装备!$F:$BZ,MATCH($H40,英雄装备!$F:$F,0),MATCH(J$2,英雄装备!$1:$1,0)-2),装备属性!$A:$C,3,0),VLOOKUP(INDEX(英雄装备!$F:$BZ,MATCH($H40,英雄装备!$F:$F,0),MATCH(J$2,英雄装备!$1:$1,0)-1),装备属性!$A:$C,3,0),VLOOKUP(INDEX(英雄装备!$F:$BZ,MATCH($H40,英雄装备!$F:$F,0),MATCH(J$2,英雄装备!$1:$1,0)),装备属性!$A:$C,3,0))</f>
        <v>10</v>
      </c>
      <c r="K40" s="51">
        <f>MAX(VLOOKUP(INDEX(英雄装备!$F:$BZ,MATCH($H40,英雄装备!$F:$F,0),MATCH(K$2,英雄装备!$1:$1,0)-5),装备属性!$A:$C,3,0),VLOOKUP(INDEX(英雄装备!$F:$BZ,MATCH($H40,英雄装备!$F:$F,0),MATCH(K$2,英雄装备!$1:$1,0)-4),装备属性!$A:$C,3,0),VLOOKUP(INDEX(英雄装备!$F:$BZ,MATCH($H40,英雄装备!$F:$F,0),MATCH(K$2,英雄装备!$1:$1,0)-3),装备属性!$A:$C,3,0),VLOOKUP(INDEX(英雄装备!$F:$BZ,MATCH($H40,英雄装备!$F:$F,0),MATCH(K$2,英雄装备!$1:$1,0)-2),装备属性!$A:$C,3,0),VLOOKUP(INDEX(英雄装备!$F:$BZ,MATCH($H40,英雄装备!$F:$F,0),MATCH(K$2,英雄装备!$1:$1,0)-1),装备属性!$A:$C,3,0),VLOOKUP(INDEX(英雄装备!$F:$BZ,MATCH($H40,英雄装备!$F:$F,0),MATCH(K$2,英雄装备!$1:$1,0)),装备属性!$A:$C,3,0))</f>
        <v>20</v>
      </c>
      <c r="L40" s="51">
        <f>MAX(VLOOKUP(INDEX(英雄装备!$F:$BZ,MATCH($H40,英雄装备!$F:$F,0),MATCH(L$2,英雄装备!$1:$1,0)-5),装备属性!$A:$C,3,0),VLOOKUP(INDEX(英雄装备!$F:$BZ,MATCH($H40,英雄装备!$F:$F,0),MATCH(L$2,英雄装备!$1:$1,0)-4),装备属性!$A:$C,3,0),VLOOKUP(INDEX(英雄装备!$F:$BZ,MATCH($H40,英雄装备!$F:$F,0),MATCH(L$2,英雄装备!$1:$1,0)-3),装备属性!$A:$C,3,0),VLOOKUP(INDEX(英雄装备!$F:$BZ,MATCH($H40,英雄装备!$F:$F,0),MATCH(L$2,英雄装备!$1:$1,0)-2),装备属性!$A:$C,3,0),VLOOKUP(INDEX(英雄装备!$F:$BZ,MATCH($H40,英雄装备!$F:$F,0),MATCH(L$2,英雄装备!$1:$1,0)-1),装备属性!$A:$C,3,0),VLOOKUP(INDEX(英雄装备!$F:$BZ,MATCH($H40,英雄装备!$F:$F,0),MATCH(L$2,英雄装备!$1:$1,0)),装备属性!$A:$C,3,0))</f>
        <v>34</v>
      </c>
      <c r="M40" s="51">
        <f>MAX(VLOOKUP(INDEX(英雄装备!$F:$BZ,MATCH($H40,英雄装备!$F:$F,0),MATCH(M$2,英雄装备!$1:$1,0)-5),装备属性!$A:$C,3,0),VLOOKUP(INDEX(英雄装备!$F:$BZ,MATCH($H40,英雄装备!$F:$F,0),MATCH(M$2,英雄装备!$1:$1,0)-4),装备属性!$A:$C,3,0),VLOOKUP(INDEX(英雄装备!$F:$BZ,MATCH($H40,英雄装备!$F:$F,0),MATCH(M$2,英雄装备!$1:$1,0)-3),装备属性!$A:$C,3,0),VLOOKUP(INDEX(英雄装备!$F:$BZ,MATCH($H40,英雄装备!$F:$F,0),MATCH(M$2,英雄装备!$1:$1,0)-2),装备属性!$A:$C,3,0),VLOOKUP(INDEX(英雄装备!$F:$BZ,MATCH($H40,英雄装备!$F:$F,0),MATCH(M$2,英雄装备!$1:$1,0)-1),装备属性!$A:$C,3,0),VLOOKUP(INDEX(英雄装备!$F:$BZ,MATCH($H40,英雄装备!$F:$F,0),MATCH(M$2,英雄装备!$1:$1,0)),装备属性!$A:$C,3,0))</f>
        <v>43</v>
      </c>
      <c r="N40" s="51">
        <f>MAX(VLOOKUP(INDEX(英雄装备!$F:$BZ,MATCH($H40,英雄装备!$F:$F,0),MATCH(N$2,英雄装备!$1:$1,0)-5),装备属性!$A:$C,3,0),VLOOKUP(INDEX(英雄装备!$F:$BZ,MATCH($H40,英雄装备!$F:$F,0),MATCH(N$2,英雄装备!$1:$1,0)-4),装备属性!$A:$C,3,0),VLOOKUP(INDEX(英雄装备!$F:$BZ,MATCH($H40,英雄装备!$F:$F,0),MATCH(N$2,英雄装备!$1:$1,0)-3),装备属性!$A:$C,3,0),VLOOKUP(INDEX(英雄装备!$F:$BZ,MATCH($H40,英雄装备!$F:$F,0),MATCH(N$2,英雄装备!$1:$1,0)-2),装备属性!$A:$C,3,0),VLOOKUP(INDEX(英雄装备!$F:$BZ,MATCH($H40,英雄装备!$F:$F,0),MATCH(N$2,英雄装备!$1:$1,0)-1),装备属性!$A:$C,3,0),VLOOKUP(INDEX(英雄装备!$F:$BZ,MATCH($H40,英雄装备!$F:$F,0),MATCH(N$2,英雄装备!$1:$1,0)),装备属性!$A:$C,3,0))</f>
        <v>53</v>
      </c>
      <c r="O40" s="51">
        <f>MAX(VLOOKUP(INDEX(英雄装备!$F:$BZ,MATCH($H40,英雄装备!$F:$F,0),MATCH(O$2,英雄装备!$1:$1,0)-5),装备属性!$A:$C,3,0),VLOOKUP(INDEX(英雄装备!$F:$BZ,MATCH($H40,英雄装备!$F:$F,0),MATCH(O$2,英雄装备!$1:$1,0)-4),装备属性!$A:$C,3,0),VLOOKUP(INDEX(英雄装备!$F:$BZ,MATCH($H40,英雄装备!$F:$F,0),MATCH(O$2,英雄装备!$1:$1,0)-3),装备属性!$A:$C,3,0),VLOOKUP(INDEX(英雄装备!$F:$BZ,MATCH($H40,英雄装备!$F:$F,0),MATCH(O$2,英雄装备!$1:$1,0)-2),装备属性!$A:$C,3,0),VLOOKUP(INDEX(英雄装备!$F:$BZ,MATCH($H40,英雄装备!$F:$F,0),MATCH(O$2,英雄装备!$1:$1,0)-1),装备属性!$A:$C,3,0),VLOOKUP(INDEX(英雄装备!$F:$BZ,MATCH($H40,英雄装备!$F:$F,0),MATCH(O$2,英雄装备!$1:$1,0)),装备属性!$A:$C,3,0))</f>
        <v>63</v>
      </c>
      <c r="P40" s="51">
        <f>MAX(VLOOKUP(INDEX(英雄装备!$F:$BZ,MATCH($H40,英雄装备!$F:$F,0),MATCH(P$2,英雄装备!$1:$1,0)-5),装备属性!$A:$C,3,0),VLOOKUP(INDEX(英雄装备!$F:$BZ,MATCH($H40,英雄装备!$F:$F,0),MATCH(P$2,英雄装备!$1:$1,0)-4),装备属性!$A:$C,3,0),VLOOKUP(INDEX(英雄装备!$F:$BZ,MATCH($H40,英雄装备!$F:$F,0),MATCH(P$2,英雄装备!$1:$1,0)-3),装备属性!$A:$C,3,0),VLOOKUP(INDEX(英雄装备!$F:$BZ,MATCH($H40,英雄装备!$F:$F,0),MATCH(P$2,英雄装备!$1:$1,0)-2),装备属性!$A:$C,3,0),VLOOKUP(INDEX(英雄装备!$F:$BZ,MATCH($H40,英雄装备!$F:$F,0),MATCH(P$2,英雄装备!$1:$1,0)-1),装备属性!$A:$C,3,0),VLOOKUP(INDEX(英雄装备!$F:$BZ,MATCH($H40,英雄装备!$F:$F,0),MATCH(P$2,英雄装备!$1:$1,0)),装备属性!$A:$C,3,0))</f>
        <v>70</v>
      </c>
      <c r="Q40" s="51">
        <f>MAX(VLOOKUP(INDEX(英雄装备!$F:$BZ,MATCH($H40,英雄装备!$F:$F,0),MATCH(Q$2,英雄装备!$1:$1,0)-5),装备属性!$A:$C,3,0),VLOOKUP(INDEX(英雄装备!$F:$BZ,MATCH($H40,英雄装备!$F:$F,0),MATCH(Q$2,英雄装备!$1:$1,0)-4),装备属性!$A:$C,3,0),VLOOKUP(INDEX(英雄装备!$F:$BZ,MATCH($H40,英雄装备!$F:$F,0),MATCH(Q$2,英雄装备!$1:$1,0)-3),装备属性!$A:$C,3,0),VLOOKUP(INDEX(英雄装备!$F:$BZ,MATCH($H40,英雄装备!$F:$F,0),MATCH(Q$2,英雄装备!$1:$1,0)-2),装备属性!$A:$C,3,0),VLOOKUP(INDEX(英雄装备!$F:$BZ,MATCH($H40,英雄装备!$F:$F,0),MATCH(Q$2,英雄装备!$1:$1,0)-1),装备属性!$A:$C,3,0),VLOOKUP(INDEX(英雄装备!$F:$BZ,MATCH($H40,英雄装备!$F:$F,0),MATCH(Q$2,英雄装备!$1:$1,0)),装备属性!$A:$C,3,0))</f>
        <v>78</v>
      </c>
      <c r="R40" s="51">
        <f>MAX(VLOOKUP(INDEX(英雄装备!$F:$BZ,MATCH($H40,英雄装备!$F:$F,0),MATCH(R$2,英雄装备!$1:$1,0)-5),装备属性!$A:$C,3,0),VLOOKUP(INDEX(英雄装备!$F:$BZ,MATCH($H40,英雄装备!$F:$F,0),MATCH(R$2,英雄装备!$1:$1,0)-4),装备属性!$A:$C,3,0),VLOOKUP(INDEX(英雄装备!$F:$BZ,MATCH($H40,英雄装备!$F:$F,0),MATCH(R$2,英雄装备!$1:$1,0)-3),装备属性!$A:$C,3,0),VLOOKUP(INDEX(英雄装备!$F:$BZ,MATCH($H40,英雄装备!$F:$F,0),MATCH(R$2,英雄装备!$1:$1,0)-2),装备属性!$A:$C,3,0),VLOOKUP(INDEX(英雄装备!$F:$BZ,MATCH($H40,英雄装备!$F:$F,0),MATCH(R$2,英雄装备!$1:$1,0)-1),装备属性!$A:$C,3,0),VLOOKUP(INDEX(英雄装备!$F:$BZ,MATCH($H40,英雄装备!$F:$F,0),MATCH(R$2,英雄装备!$1:$1,0)),装备属性!$A:$C,3,0))</f>
        <v>80</v>
      </c>
      <c r="S40" s="51">
        <f>MAX(VLOOKUP(INDEX(英雄装备!$F:$BZ,MATCH($H40,英雄装备!$F:$F,0),MATCH(S$2,英雄装备!$1:$1,0)-5),装备属性!$A:$C,3,0),VLOOKUP(INDEX(英雄装备!$F:$BZ,MATCH($H40,英雄装备!$F:$F,0),MATCH(S$2,英雄装备!$1:$1,0)-4),装备属性!$A:$C,3,0),VLOOKUP(INDEX(英雄装备!$F:$BZ,MATCH($H40,英雄装备!$F:$F,0),MATCH(S$2,英雄装备!$1:$1,0)-3),装备属性!$A:$C,3,0),VLOOKUP(INDEX(英雄装备!$F:$BZ,MATCH($H40,英雄装备!$F:$F,0),MATCH(S$2,英雄装备!$1:$1,0)-2),装备属性!$A:$C,3,0),VLOOKUP(INDEX(英雄装备!$F:$BZ,MATCH($H40,英雄装备!$F:$F,0),MATCH(S$2,英雄装备!$1:$1,0)-1),装备属性!$A:$C,3,0),VLOOKUP(INDEX(英雄装备!$F:$BZ,MATCH($H40,英雄装备!$F:$F,0),MATCH(S$2,英雄装备!$1:$1,0)),装备属性!$A:$C,3,0))</f>
        <v>85</v>
      </c>
      <c r="T40" s="51">
        <f>MAX(VLOOKUP(INDEX(英雄装备!$F:$BZ,MATCH($H40,英雄装备!$F:$F,0),MATCH(T$2,英雄装备!$1:$1,0)-5),装备属性!$A:$C,3,0),VLOOKUP(INDEX(英雄装备!$F:$BZ,MATCH($H40,英雄装备!$F:$F,0),MATCH(T$2,英雄装备!$1:$1,0)-4),装备属性!$A:$C,3,0),VLOOKUP(INDEX(英雄装备!$F:$BZ,MATCH($H40,英雄装备!$F:$F,0),MATCH(T$2,英雄装备!$1:$1,0)-3),装备属性!$A:$C,3,0),VLOOKUP(INDEX(英雄装备!$F:$BZ,MATCH($H40,英雄装备!$F:$F,0),MATCH(T$2,英雄装备!$1:$1,0)-2),装备属性!$A:$C,3,0),VLOOKUP(INDEX(英雄装备!$F:$BZ,MATCH($H40,英雄装备!$F:$F,0),MATCH(T$2,英雄装备!$1:$1,0)-1),装备属性!$A:$C,3,0))</f>
        <v>87</v>
      </c>
      <c r="AF40" s="151">
        <v>3</v>
      </c>
      <c r="AG40" s="151" t="str">
        <f>AC3</f>
        <v>鞋</v>
      </c>
      <c r="AH40" s="151">
        <f>VLOOKUP($AG40,装备属性!$A:$Y,5,0)</f>
        <v>5</v>
      </c>
      <c r="AI40" s="151">
        <f>VLOOKUP($AG40,装备属性!$A:$Y,6,0)</f>
        <v>5</v>
      </c>
      <c r="AJ40" s="151">
        <f>VLOOKUP($AG40,装备属性!$A:$Y,7,0)</f>
        <v>5</v>
      </c>
      <c r="AK40" s="151">
        <f>VLOOKUP($AG40,装备属性!$A:$Y,8,0)</f>
        <v>0</v>
      </c>
      <c r="AL40" s="151">
        <f>VLOOKUP($AG40,装备属性!$A:$Y,9,0)</f>
        <v>0</v>
      </c>
      <c r="AM40" s="151">
        <f>VLOOKUP($AG40,装备属性!$A:$Y,10,0)</f>
        <v>0</v>
      </c>
      <c r="AN40" s="151">
        <f>VLOOKUP($AG40,装备属性!$A:$Y,11,0)</f>
        <v>0</v>
      </c>
      <c r="AO40" s="151">
        <f>VLOOKUP($AG40,装备属性!$A:$Y,12,0)</f>
        <v>0</v>
      </c>
      <c r="AP40" s="151">
        <f>VLOOKUP($AG40,装备属性!$A:$Y,13,0)</f>
        <v>0</v>
      </c>
      <c r="AQ40" s="151">
        <f>VLOOKUP($AG40,装备属性!$A:$Y,14,0)</f>
        <v>0</v>
      </c>
      <c r="AR40" s="151">
        <f>VLOOKUP($AG40,装备属性!$A:$Y,15,0)</f>
        <v>0</v>
      </c>
      <c r="AS40" s="151">
        <f>VLOOKUP($AG40,装备属性!$A:$Y,16,0)</f>
        <v>0</v>
      </c>
      <c r="AT40" s="151">
        <f>VLOOKUP($AG40,装备属性!$A:$Y,17,0)</f>
        <v>0</v>
      </c>
      <c r="AU40" s="151">
        <f>VLOOKUP($AG40,装备属性!$A:$Y,18,0)</f>
        <v>0</v>
      </c>
      <c r="AV40" s="151">
        <f>VLOOKUP($AG40,装备属性!$A:$Y,19,0)</f>
        <v>0</v>
      </c>
      <c r="AW40" s="151">
        <f>VLOOKUP($AG40,装备属性!$A:$Y,20,0)</f>
        <v>0</v>
      </c>
      <c r="AX40" s="151">
        <f>VLOOKUP($AG40,装备属性!$A:$Y,21,0)</f>
        <v>0</v>
      </c>
      <c r="AY40" s="151">
        <f>VLOOKUP($AG40,装备属性!$A:$Y,22,0)</f>
        <v>0</v>
      </c>
      <c r="AZ40" s="151">
        <f>VLOOKUP($AG40,装备属性!$A:$Y,23,0)</f>
        <v>0</v>
      </c>
      <c r="BA40" s="151">
        <f>VLOOKUP($AG40,装备属性!$A:$Y,24,0)</f>
        <v>0</v>
      </c>
      <c r="BB40" s="151">
        <f>VLOOKUP($AG40,装备属性!$A:$Y,25,0)</f>
        <v>0</v>
      </c>
    </row>
    <row r="41" spans="2:54">
      <c r="B41" s="151" t="str">
        <f>英雄初始!A42</f>
        <v>死亡先知</v>
      </c>
      <c r="H41" s="54" t="s">
        <v>194</v>
      </c>
      <c r="I41" s="51">
        <f>MAX(VLOOKUP(INDEX(英雄装备!$F:$BZ,MATCH($H41,英雄装备!$F:$F,0),MATCH(I$2,英雄装备!$1:$1,0)-5),装备属性!$A:$C,3,0),VLOOKUP(INDEX(英雄装备!$F:$BZ,MATCH($H41,英雄装备!$F:$F,0),MATCH(I$2,英雄装备!$1:$1,0)-4),装备属性!$A:$C,3,0),VLOOKUP(INDEX(英雄装备!$F:$BZ,MATCH($H41,英雄装备!$F:$F,0),MATCH(I$2,英雄装备!$1:$1,0)-3),装备属性!$A:$C,3,0),VLOOKUP(INDEX(英雄装备!$F:$BZ,MATCH($H41,英雄装备!$F:$F,0),MATCH(I$2,英雄装备!$1:$1,0)-2),装备属性!$A:$C,3,0),VLOOKUP(INDEX(英雄装备!$F:$BZ,MATCH($H41,英雄装备!$F:$F,0),MATCH(I$2,英雄装备!$1:$1,0)-1),装备属性!$A:$C,3,0),VLOOKUP(INDEX(英雄装备!$F:$BZ,MATCH($H41,英雄装备!$F:$F,0),MATCH(I$2,英雄装备!$1:$1,0)),装备属性!$A:$C,3,0))</f>
        <v>2</v>
      </c>
      <c r="J41" s="51">
        <f>MAX(VLOOKUP(INDEX(英雄装备!$F:$BZ,MATCH($H41,英雄装备!$F:$F,0),MATCH(J$2,英雄装备!$1:$1,0)-5),装备属性!$A:$C,3,0),VLOOKUP(INDEX(英雄装备!$F:$BZ,MATCH($H41,英雄装备!$F:$F,0),MATCH(J$2,英雄装备!$1:$1,0)-4),装备属性!$A:$C,3,0),VLOOKUP(INDEX(英雄装备!$F:$BZ,MATCH($H41,英雄装备!$F:$F,0),MATCH(J$2,英雄装备!$1:$1,0)-3),装备属性!$A:$C,3,0),VLOOKUP(INDEX(英雄装备!$F:$BZ,MATCH($H41,英雄装备!$F:$F,0),MATCH(J$2,英雄装备!$1:$1,0)-2),装备属性!$A:$C,3,0),VLOOKUP(INDEX(英雄装备!$F:$BZ,MATCH($H41,英雄装备!$F:$F,0),MATCH(J$2,英雄装备!$1:$1,0)-1),装备属性!$A:$C,3,0),VLOOKUP(INDEX(英雄装备!$F:$BZ,MATCH($H41,英雄装备!$F:$F,0),MATCH(J$2,英雄装备!$1:$1,0)),装备属性!$A:$C,3,0))</f>
        <v>27</v>
      </c>
      <c r="K41" s="51">
        <f>MAX(VLOOKUP(INDEX(英雄装备!$F:$BZ,MATCH($H41,英雄装备!$F:$F,0),MATCH(K$2,英雄装备!$1:$1,0)-5),装备属性!$A:$C,3,0),VLOOKUP(INDEX(英雄装备!$F:$BZ,MATCH($H41,英雄装备!$F:$F,0),MATCH(K$2,英雄装备!$1:$1,0)-4),装备属性!$A:$C,3,0),VLOOKUP(INDEX(英雄装备!$F:$BZ,MATCH($H41,英雄装备!$F:$F,0),MATCH(K$2,英雄装备!$1:$1,0)-3),装备属性!$A:$C,3,0),VLOOKUP(INDEX(英雄装备!$F:$BZ,MATCH($H41,英雄装备!$F:$F,0),MATCH(K$2,英雄装备!$1:$1,0)-2),装备属性!$A:$C,3,0),VLOOKUP(INDEX(英雄装备!$F:$BZ,MATCH($H41,英雄装备!$F:$F,0),MATCH(K$2,英雄装备!$1:$1,0)-1),装备属性!$A:$C,3,0),VLOOKUP(INDEX(英雄装备!$F:$BZ,MATCH($H41,英雄装备!$F:$F,0),MATCH(K$2,英雄装备!$1:$1,0)),装备属性!$A:$C,3,0))</f>
        <v>21</v>
      </c>
      <c r="L41" s="51">
        <f>MAX(VLOOKUP(INDEX(英雄装备!$F:$BZ,MATCH($H41,英雄装备!$F:$F,0),MATCH(L$2,英雄装备!$1:$1,0)-5),装备属性!$A:$C,3,0),VLOOKUP(INDEX(英雄装备!$F:$BZ,MATCH($H41,英雄装备!$F:$F,0),MATCH(L$2,英雄装备!$1:$1,0)-4),装备属性!$A:$C,3,0),VLOOKUP(INDEX(英雄装备!$F:$BZ,MATCH($H41,英雄装备!$F:$F,0),MATCH(L$2,英雄装备!$1:$1,0)-3),装备属性!$A:$C,3,0),VLOOKUP(INDEX(英雄装备!$F:$BZ,MATCH($H41,英雄装备!$F:$F,0),MATCH(L$2,英雄装备!$1:$1,0)-2),装备属性!$A:$C,3,0),VLOOKUP(INDEX(英雄装备!$F:$BZ,MATCH($H41,英雄装备!$F:$F,0),MATCH(L$2,英雄装备!$1:$1,0)-1),装备属性!$A:$C,3,0),VLOOKUP(INDEX(英雄装备!$F:$BZ,MATCH($H41,英雄装备!$F:$F,0),MATCH(L$2,英雄装备!$1:$1,0)),装备属性!$A:$C,3,0))</f>
        <v>35</v>
      </c>
      <c r="M41" s="51">
        <f>MAX(VLOOKUP(INDEX(英雄装备!$F:$BZ,MATCH($H41,英雄装备!$F:$F,0),MATCH(M$2,英雄装备!$1:$1,0)-5),装备属性!$A:$C,3,0),VLOOKUP(INDEX(英雄装备!$F:$BZ,MATCH($H41,英雄装备!$F:$F,0),MATCH(M$2,英雄装备!$1:$1,0)-4),装备属性!$A:$C,3,0),VLOOKUP(INDEX(英雄装备!$F:$BZ,MATCH($H41,英雄装备!$F:$F,0),MATCH(M$2,英雄装备!$1:$1,0)-3),装备属性!$A:$C,3,0),VLOOKUP(INDEX(英雄装备!$F:$BZ,MATCH($H41,英雄装备!$F:$F,0),MATCH(M$2,英雄装备!$1:$1,0)-2),装备属性!$A:$C,3,0),VLOOKUP(INDEX(英雄装备!$F:$BZ,MATCH($H41,英雄装备!$F:$F,0),MATCH(M$2,英雄装备!$1:$1,0)-1),装备属性!$A:$C,3,0),VLOOKUP(INDEX(英雄装备!$F:$BZ,MATCH($H41,英雄装备!$F:$F,0),MATCH(M$2,英雄装备!$1:$1,0)),装备属性!$A:$C,3,0))</f>
        <v>41</v>
      </c>
      <c r="N41" s="51">
        <f>MAX(VLOOKUP(INDEX(英雄装备!$F:$BZ,MATCH($H41,英雄装备!$F:$F,0),MATCH(N$2,英雄装备!$1:$1,0)-5),装备属性!$A:$C,3,0),VLOOKUP(INDEX(英雄装备!$F:$BZ,MATCH($H41,英雄装备!$F:$F,0),MATCH(N$2,英雄装备!$1:$1,0)-4),装备属性!$A:$C,3,0),VLOOKUP(INDEX(英雄装备!$F:$BZ,MATCH($H41,英雄装备!$F:$F,0),MATCH(N$2,英雄装备!$1:$1,0)-3),装备属性!$A:$C,3,0),VLOOKUP(INDEX(英雄装备!$F:$BZ,MATCH($H41,英雄装备!$F:$F,0),MATCH(N$2,英雄装备!$1:$1,0)-2),装备属性!$A:$C,3,0),VLOOKUP(INDEX(英雄装备!$F:$BZ,MATCH($H41,英雄装备!$F:$F,0),MATCH(N$2,英雄装备!$1:$1,0)-1),装备属性!$A:$C,3,0),VLOOKUP(INDEX(英雄装备!$F:$BZ,MATCH($H41,英雄装备!$F:$F,0),MATCH(N$2,英雄装备!$1:$1,0)),装备属性!$A:$C,3,0))</f>
        <v>53</v>
      </c>
      <c r="O41" s="51">
        <f>MAX(VLOOKUP(INDEX(英雄装备!$F:$BZ,MATCH($H41,英雄装备!$F:$F,0),MATCH(O$2,英雄装备!$1:$1,0)-5),装备属性!$A:$C,3,0),VLOOKUP(INDEX(英雄装备!$F:$BZ,MATCH($H41,英雄装备!$F:$F,0),MATCH(O$2,英雄装备!$1:$1,0)-4),装备属性!$A:$C,3,0),VLOOKUP(INDEX(英雄装备!$F:$BZ,MATCH($H41,英雄装备!$F:$F,0),MATCH(O$2,英雄装备!$1:$1,0)-3),装备属性!$A:$C,3,0),VLOOKUP(INDEX(英雄装备!$F:$BZ,MATCH($H41,英雄装备!$F:$F,0),MATCH(O$2,英雄装备!$1:$1,0)-2),装备属性!$A:$C,3,0),VLOOKUP(INDEX(英雄装备!$F:$BZ,MATCH($H41,英雄装备!$F:$F,0),MATCH(O$2,英雄装备!$1:$1,0)-1),装备属性!$A:$C,3,0),VLOOKUP(INDEX(英雄装备!$F:$BZ,MATCH($H41,英雄装备!$F:$F,0),MATCH(O$2,英雄装备!$1:$1,0)),装备属性!$A:$C,3,0))</f>
        <v>62</v>
      </c>
      <c r="P41" s="51">
        <f>MAX(VLOOKUP(INDEX(英雄装备!$F:$BZ,MATCH($H41,英雄装备!$F:$F,0),MATCH(P$2,英雄装备!$1:$1,0)-5),装备属性!$A:$C,3,0),VLOOKUP(INDEX(英雄装备!$F:$BZ,MATCH($H41,英雄装备!$F:$F,0),MATCH(P$2,英雄装备!$1:$1,0)-4),装备属性!$A:$C,3,0),VLOOKUP(INDEX(英雄装备!$F:$BZ,MATCH($H41,英雄装备!$F:$F,0),MATCH(P$2,英雄装备!$1:$1,0)-3),装备属性!$A:$C,3,0),VLOOKUP(INDEX(英雄装备!$F:$BZ,MATCH($H41,英雄装备!$F:$F,0),MATCH(P$2,英雄装备!$1:$1,0)-2),装备属性!$A:$C,3,0),VLOOKUP(INDEX(英雄装备!$F:$BZ,MATCH($H41,英雄装备!$F:$F,0),MATCH(P$2,英雄装备!$1:$1,0)-1),装备属性!$A:$C,3,0),VLOOKUP(INDEX(英雄装备!$F:$BZ,MATCH($H41,英雄装备!$F:$F,0),MATCH(P$2,英雄装备!$1:$1,0)),装备属性!$A:$C,3,0))</f>
        <v>72</v>
      </c>
      <c r="Q41" s="51">
        <f>MAX(VLOOKUP(INDEX(英雄装备!$F:$BZ,MATCH($H41,英雄装备!$F:$F,0),MATCH(Q$2,英雄装备!$1:$1,0)-5),装备属性!$A:$C,3,0),VLOOKUP(INDEX(英雄装备!$F:$BZ,MATCH($H41,英雄装备!$F:$F,0),MATCH(Q$2,英雄装备!$1:$1,0)-4),装备属性!$A:$C,3,0),VLOOKUP(INDEX(英雄装备!$F:$BZ,MATCH($H41,英雄装备!$F:$F,0),MATCH(Q$2,英雄装备!$1:$1,0)-3),装备属性!$A:$C,3,0),VLOOKUP(INDEX(英雄装备!$F:$BZ,MATCH($H41,英雄装备!$F:$F,0),MATCH(Q$2,英雄装备!$1:$1,0)-2),装备属性!$A:$C,3,0),VLOOKUP(INDEX(英雄装备!$F:$BZ,MATCH($H41,英雄装备!$F:$F,0),MATCH(Q$2,英雄装备!$1:$1,0)-1),装备属性!$A:$C,3,0),VLOOKUP(INDEX(英雄装备!$F:$BZ,MATCH($H41,英雄装备!$F:$F,0),MATCH(Q$2,英雄装备!$1:$1,0)),装备属性!$A:$C,3,0))</f>
        <v>78</v>
      </c>
      <c r="R41" s="51">
        <f>MAX(VLOOKUP(INDEX(英雄装备!$F:$BZ,MATCH($H41,英雄装备!$F:$F,0),MATCH(R$2,英雄装备!$1:$1,0)-5),装备属性!$A:$C,3,0),VLOOKUP(INDEX(英雄装备!$F:$BZ,MATCH($H41,英雄装备!$F:$F,0),MATCH(R$2,英雄装备!$1:$1,0)-4),装备属性!$A:$C,3,0),VLOOKUP(INDEX(英雄装备!$F:$BZ,MATCH($H41,英雄装备!$F:$F,0),MATCH(R$2,英雄装备!$1:$1,0)-3),装备属性!$A:$C,3,0),VLOOKUP(INDEX(英雄装备!$F:$BZ,MATCH($H41,英雄装备!$F:$F,0),MATCH(R$2,英雄装备!$1:$1,0)-2),装备属性!$A:$C,3,0),VLOOKUP(INDEX(英雄装备!$F:$BZ,MATCH($H41,英雄装备!$F:$F,0),MATCH(R$2,英雄装备!$1:$1,0)-1),装备属性!$A:$C,3,0),VLOOKUP(INDEX(英雄装备!$F:$BZ,MATCH($H41,英雄装备!$F:$F,0),MATCH(R$2,英雄装备!$1:$1,0)),装备属性!$A:$C,3,0))</f>
        <v>80</v>
      </c>
      <c r="S41" s="51">
        <f>MAX(VLOOKUP(INDEX(英雄装备!$F:$BZ,MATCH($H41,英雄装备!$F:$F,0),MATCH(S$2,英雄装备!$1:$1,0)-5),装备属性!$A:$C,3,0),VLOOKUP(INDEX(英雄装备!$F:$BZ,MATCH($H41,英雄装备!$F:$F,0),MATCH(S$2,英雄装备!$1:$1,0)-4),装备属性!$A:$C,3,0),VLOOKUP(INDEX(英雄装备!$F:$BZ,MATCH($H41,英雄装备!$F:$F,0),MATCH(S$2,英雄装备!$1:$1,0)-3),装备属性!$A:$C,3,0),VLOOKUP(INDEX(英雄装备!$F:$BZ,MATCH($H41,英雄装备!$F:$F,0),MATCH(S$2,英雄装备!$1:$1,0)-2),装备属性!$A:$C,3,0),VLOOKUP(INDEX(英雄装备!$F:$BZ,MATCH($H41,英雄装备!$F:$F,0),MATCH(S$2,英雄装备!$1:$1,0)-1),装备属性!$A:$C,3,0),VLOOKUP(INDEX(英雄装备!$F:$BZ,MATCH($H41,英雄装备!$F:$F,0),MATCH(S$2,英雄装备!$1:$1,0)),装备属性!$A:$C,3,0))</f>
        <v>84</v>
      </c>
      <c r="T41" s="51">
        <f>MAX(VLOOKUP(INDEX(英雄装备!$F:$BZ,MATCH($H41,英雄装备!$F:$F,0),MATCH(T$2,英雄装备!$1:$1,0)-5),装备属性!$A:$C,3,0),VLOOKUP(INDEX(英雄装备!$F:$BZ,MATCH($H41,英雄装备!$F:$F,0),MATCH(T$2,英雄装备!$1:$1,0)-4),装备属性!$A:$C,3,0),VLOOKUP(INDEX(英雄装备!$F:$BZ,MATCH($H41,英雄装备!$F:$F,0),MATCH(T$2,英雄装备!$1:$1,0)-3),装备属性!$A:$C,3,0),VLOOKUP(INDEX(英雄装备!$F:$BZ,MATCH($H41,英雄装备!$F:$F,0),MATCH(T$2,英雄装备!$1:$1,0)-2),装备属性!$A:$C,3,0),VLOOKUP(INDEX(英雄装备!$F:$BZ,MATCH($H41,英雄装备!$F:$F,0),MATCH(T$2,英雄装备!$1:$1,0)-1),装备属性!$A:$C,3,0))</f>
        <v>87</v>
      </c>
      <c r="V41" s="48" t="s">
        <v>1082</v>
      </c>
      <c r="AF41" s="151">
        <v>4</v>
      </c>
      <c r="AG41" s="151" t="str">
        <f>X4</f>
        <v>洛萨</v>
      </c>
      <c r="AH41" s="151">
        <f>VLOOKUP($AG41,装备属性!$A:$Y,5,0)</f>
        <v>0</v>
      </c>
      <c r="AI41" s="151">
        <f>VLOOKUP($AG41,装备属性!$A:$Y,6,0)</f>
        <v>0</v>
      </c>
      <c r="AJ41" s="151">
        <f>VLOOKUP($AG41,装备属性!$A:$Y,7,0)</f>
        <v>0</v>
      </c>
      <c r="AK41" s="151">
        <f>VLOOKUP($AG41,装备属性!$A:$Y,8,0)</f>
        <v>0</v>
      </c>
      <c r="AL41" s="151">
        <f>VLOOKUP($AG41,装备属性!$A:$Y,9,0)</f>
        <v>30</v>
      </c>
      <c r="AM41" s="151">
        <f>VLOOKUP($AG41,装备属性!$A:$Y,10,0)</f>
        <v>0</v>
      </c>
      <c r="AN41" s="151">
        <f>VLOOKUP($AG41,装备属性!$A:$Y,11,0)</f>
        <v>0</v>
      </c>
      <c r="AO41" s="151">
        <f>VLOOKUP($AG41,装备属性!$A:$Y,12,0)</f>
        <v>0</v>
      </c>
      <c r="AP41" s="151">
        <f>VLOOKUP($AG41,装备属性!$A:$Y,13,0)</f>
        <v>15</v>
      </c>
      <c r="AQ41" s="151">
        <f>VLOOKUP($AG41,装备属性!$A:$Y,14,0)</f>
        <v>0</v>
      </c>
      <c r="AR41" s="151">
        <f>VLOOKUP($AG41,装备属性!$A:$Y,15,0)</f>
        <v>0</v>
      </c>
      <c r="AS41" s="151">
        <f>VLOOKUP($AG41,装备属性!$A:$Y,16,0)</f>
        <v>0</v>
      </c>
      <c r="AT41" s="151">
        <f>VLOOKUP($AG41,装备属性!$A:$Y,17,0)</f>
        <v>0</v>
      </c>
      <c r="AU41" s="151">
        <f>VLOOKUP($AG41,装备属性!$A:$Y,18,0)</f>
        <v>0</v>
      </c>
      <c r="AV41" s="151">
        <f>VLOOKUP($AG41,装备属性!$A:$Y,19,0)</f>
        <v>0</v>
      </c>
      <c r="AW41" s="151">
        <f>VLOOKUP($AG41,装备属性!$A:$Y,20,0)</f>
        <v>0</v>
      </c>
      <c r="AX41" s="151">
        <f>VLOOKUP($AG41,装备属性!$A:$Y,21,0)</f>
        <v>0</v>
      </c>
      <c r="AY41" s="151">
        <f>VLOOKUP($AG41,装备属性!$A:$Y,22,0)</f>
        <v>0</v>
      </c>
      <c r="AZ41" s="151">
        <f>VLOOKUP($AG41,装备属性!$A:$Y,23,0)</f>
        <v>0</v>
      </c>
      <c r="BA41" s="151">
        <f>VLOOKUP($AG41,装备属性!$A:$Y,24,0)</f>
        <v>0</v>
      </c>
      <c r="BB41" s="151">
        <f>VLOOKUP($AG41,装备属性!$A:$Y,25,0)</f>
        <v>0</v>
      </c>
    </row>
    <row r="42" spans="2:54">
      <c r="B42" s="151" t="str">
        <f>英雄初始!A43</f>
        <v>痛苦女王</v>
      </c>
      <c r="H42" s="54" t="s">
        <v>195</v>
      </c>
      <c r="I42" s="51">
        <f>MAX(VLOOKUP(INDEX(英雄装备!$F:$BZ,MATCH($H42,英雄装备!$F:$F,0),MATCH(I$2,英雄装备!$1:$1,0)-5),装备属性!$A:$C,3,0),VLOOKUP(INDEX(英雄装备!$F:$BZ,MATCH($H42,英雄装备!$F:$F,0),MATCH(I$2,英雄装备!$1:$1,0)-4),装备属性!$A:$C,3,0),VLOOKUP(INDEX(英雄装备!$F:$BZ,MATCH($H42,英雄装备!$F:$F,0),MATCH(I$2,英雄装备!$1:$1,0)-3),装备属性!$A:$C,3,0),VLOOKUP(INDEX(英雄装备!$F:$BZ,MATCH($H42,英雄装备!$F:$F,0),MATCH(I$2,英雄装备!$1:$1,0)-2),装备属性!$A:$C,3,0),VLOOKUP(INDEX(英雄装备!$F:$BZ,MATCH($H42,英雄装备!$F:$F,0),MATCH(I$2,英雄装备!$1:$1,0)-1),装备属性!$A:$C,3,0),VLOOKUP(INDEX(英雄装备!$F:$BZ,MATCH($H42,英雄装备!$F:$F,0),MATCH(I$2,英雄装备!$1:$1,0)),装备属性!$A:$C,3,0))</f>
        <v>2</v>
      </c>
      <c r="J42" s="51">
        <f>MAX(VLOOKUP(INDEX(英雄装备!$F:$BZ,MATCH($H42,英雄装备!$F:$F,0),MATCH(J$2,英雄装备!$1:$1,0)-5),装备属性!$A:$C,3,0),VLOOKUP(INDEX(英雄装备!$F:$BZ,MATCH($H42,英雄装备!$F:$F,0),MATCH(J$2,英雄装备!$1:$1,0)-4),装备属性!$A:$C,3,0),VLOOKUP(INDEX(英雄装备!$F:$BZ,MATCH($H42,英雄装备!$F:$F,0),MATCH(J$2,英雄装备!$1:$1,0)-3),装备属性!$A:$C,3,0),VLOOKUP(INDEX(英雄装备!$F:$BZ,MATCH($H42,英雄装备!$F:$F,0),MATCH(J$2,英雄装备!$1:$1,0)-2),装备属性!$A:$C,3,0),VLOOKUP(INDEX(英雄装备!$F:$BZ,MATCH($H42,英雄装备!$F:$F,0),MATCH(J$2,英雄装备!$1:$1,0)-1),装备属性!$A:$C,3,0),VLOOKUP(INDEX(英雄装备!$F:$BZ,MATCH($H42,英雄装备!$F:$F,0),MATCH(J$2,英雄装备!$1:$1,0)),装备属性!$A:$C,3,0))</f>
        <v>10</v>
      </c>
      <c r="K42" s="51">
        <f>MAX(VLOOKUP(INDEX(英雄装备!$F:$BZ,MATCH($H42,英雄装备!$F:$F,0),MATCH(K$2,英雄装备!$1:$1,0)-5),装备属性!$A:$C,3,0),VLOOKUP(INDEX(英雄装备!$F:$BZ,MATCH($H42,英雄装备!$F:$F,0),MATCH(K$2,英雄装备!$1:$1,0)-4),装备属性!$A:$C,3,0),VLOOKUP(INDEX(英雄装备!$F:$BZ,MATCH($H42,英雄装备!$F:$F,0),MATCH(K$2,英雄装备!$1:$1,0)-3),装备属性!$A:$C,3,0),VLOOKUP(INDEX(英雄装备!$F:$BZ,MATCH($H42,英雄装备!$F:$F,0),MATCH(K$2,英雄装备!$1:$1,0)-2),装备属性!$A:$C,3,0),VLOOKUP(INDEX(英雄装备!$F:$BZ,MATCH($H42,英雄装备!$F:$F,0),MATCH(K$2,英雄装备!$1:$1,0)-1),装备属性!$A:$C,3,0),VLOOKUP(INDEX(英雄装备!$F:$BZ,MATCH($H42,英雄装备!$F:$F,0),MATCH(K$2,英雄装备!$1:$1,0)),装备属性!$A:$C,3,0))</f>
        <v>21</v>
      </c>
      <c r="L42" s="51">
        <f>MAX(VLOOKUP(INDEX(英雄装备!$F:$BZ,MATCH($H42,英雄装备!$F:$F,0),MATCH(L$2,英雄装备!$1:$1,0)-5),装备属性!$A:$C,3,0),VLOOKUP(INDEX(英雄装备!$F:$BZ,MATCH($H42,英雄装备!$F:$F,0),MATCH(L$2,英雄装备!$1:$1,0)-4),装备属性!$A:$C,3,0),VLOOKUP(INDEX(英雄装备!$F:$BZ,MATCH($H42,英雄装备!$F:$F,0),MATCH(L$2,英雄装备!$1:$1,0)-3),装备属性!$A:$C,3,0),VLOOKUP(INDEX(英雄装备!$F:$BZ,MATCH($H42,英雄装备!$F:$F,0),MATCH(L$2,英雄装备!$1:$1,0)-2),装备属性!$A:$C,3,0),VLOOKUP(INDEX(英雄装备!$F:$BZ,MATCH($H42,英雄装备!$F:$F,0),MATCH(L$2,英雄装备!$1:$1,0)-1),装备属性!$A:$C,3,0),VLOOKUP(INDEX(英雄装备!$F:$BZ,MATCH($H42,英雄装备!$F:$F,0),MATCH(L$2,英雄装备!$1:$1,0)),装备属性!$A:$C,3,0))</f>
        <v>35</v>
      </c>
      <c r="M42" s="51">
        <f>MAX(VLOOKUP(INDEX(英雄装备!$F:$BZ,MATCH($H42,英雄装备!$F:$F,0),MATCH(M$2,英雄装备!$1:$1,0)-5),装备属性!$A:$C,3,0),VLOOKUP(INDEX(英雄装备!$F:$BZ,MATCH($H42,英雄装备!$F:$F,0),MATCH(M$2,英雄装备!$1:$1,0)-4),装备属性!$A:$C,3,0),VLOOKUP(INDEX(英雄装备!$F:$BZ,MATCH($H42,英雄装备!$F:$F,0),MATCH(M$2,英雄装备!$1:$1,0)-3),装备属性!$A:$C,3,0),VLOOKUP(INDEX(英雄装备!$F:$BZ,MATCH($H42,英雄装备!$F:$F,0),MATCH(M$2,英雄装备!$1:$1,0)-2),装备属性!$A:$C,3,0),VLOOKUP(INDEX(英雄装备!$F:$BZ,MATCH($H42,英雄装备!$F:$F,0),MATCH(M$2,英雄装备!$1:$1,0)-1),装备属性!$A:$C,3,0),VLOOKUP(INDEX(英雄装备!$F:$BZ,MATCH($H42,英雄装备!$F:$F,0),MATCH(M$2,英雄装备!$1:$1,0)),装备属性!$A:$C,3,0))</f>
        <v>43</v>
      </c>
      <c r="N42" s="51">
        <f>MAX(VLOOKUP(INDEX(英雄装备!$F:$BZ,MATCH($H42,英雄装备!$F:$F,0),MATCH(N$2,英雄装备!$1:$1,0)-5),装备属性!$A:$C,3,0),VLOOKUP(INDEX(英雄装备!$F:$BZ,MATCH($H42,英雄装备!$F:$F,0),MATCH(N$2,英雄装备!$1:$1,0)-4),装备属性!$A:$C,3,0),VLOOKUP(INDEX(英雄装备!$F:$BZ,MATCH($H42,英雄装备!$F:$F,0),MATCH(N$2,英雄装备!$1:$1,0)-3),装备属性!$A:$C,3,0),VLOOKUP(INDEX(英雄装备!$F:$BZ,MATCH($H42,英雄装备!$F:$F,0),MATCH(N$2,英雄装备!$1:$1,0)-2),装备属性!$A:$C,3,0),VLOOKUP(INDEX(英雄装备!$F:$BZ,MATCH($H42,英雄装备!$F:$F,0),MATCH(N$2,英雄装备!$1:$1,0)-1),装备属性!$A:$C,3,0),VLOOKUP(INDEX(英雄装备!$F:$BZ,MATCH($H42,英雄装备!$F:$F,0),MATCH(N$2,英雄装备!$1:$1,0)),装备属性!$A:$C,3,0))</f>
        <v>53</v>
      </c>
      <c r="O42" s="51">
        <f>MAX(VLOOKUP(INDEX(英雄装备!$F:$BZ,MATCH($H42,英雄装备!$F:$F,0),MATCH(O$2,英雄装备!$1:$1,0)-5),装备属性!$A:$C,3,0),VLOOKUP(INDEX(英雄装备!$F:$BZ,MATCH($H42,英雄装备!$F:$F,0),MATCH(O$2,英雄装备!$1:$1,0)-4),装备属性!$A:$C,3,0),VLOOKUP(INDEX(英雄装备!$F:$BZ,MATCH($H42,英雄装备!$F:$F,0),MATCH(O$2,英雄装备!$1:$1,0)-3),装备属性!$A:$C,3,0),VLOOKUP(INDEX(英雄装备!$F:$BZ,MATCH($H42,英雄装备!$F:$F,0),MATCH(O$2,英雄装备!$1:$1,0)-2),装备属性!$A:$C,3,0),VLOOKUP(INDEX(英雄装备!$F:$BZ,MATCH($H42,英雄装备!$F:$F,0),MATCH(O$2,英雄装备!$1:$1,0)-1),装备属性!$A:$C,3,0),VLOOKUP(INDEX(英雄装备!$F:$BZ,MATCH($H42,英雄装备!$F:$F,0),MATCH(O$2,英雄装备!$1:$1,0)),装备属性!$A:$C,3,0))</f>
        <v>60</v>
      </c>
      <c r="P42" s="51">
        <f>MAX(VLOOKUP(INDEX(英雄装备!$F:$BZ,MATCH($H42,英雄装备!$F:$F,0),MATCH(P$2,英雄装备!$1:$1,0)-5),装备属性!$A:$C,3,0),VLOOKUP(INDEX(英雄装备!$F:$BZ,MATCH($H42,英雄装备!$F:$F,0),MATCH(P$2,英雄装备!$1:$1,0)-4),装备属性!$A:$C,3,0),VLOOKUP(INDEX(英雄装备!$F:$BZ,MATCH($H42,英雄装备!$F:$F,0),MATCH(P$2,英雄装备!$1:$1,0)-3),装备属性!$A:$C,3,0),VLOOKUP(INDEX(英雄装备!$F:$BZ,MATCH($H42,英雄装备!$F:$F,0),MATCH(P$2,英雄装备!$1:$1,0)-2),装备属性!$A:$C,3,0),VLOOKUP(INDEX(英雄装备!$F:$BZ,MATCH($H42,英雄装备!$F:$F,0),MATCH(P$2,英雄装备!$1:$1,0)-1),装备属性!$A:$C,3,0),VLOOKUP(INDEX(英雄装备!$F:$BZ,MATCH($H42,英雄装备!$F:$F,0),MATCH(P$2,英雄装备!$1:$1,0)),装备属性!$A:$C,3,0))</f>
        <v>70</v>
      </c>
      <c r="Q42" s="51">
        <f>MAX(VLOOKUP(INDEX(英雄装备!$F:$BZ,MATCH($H42,英雄装备!$F:$F,0),MATCH(Q$2,英雄装备!$1:$1,0)-5),装备属性!$A:$C,3,0),VLOOKUP(INDEX(英雄装备!$F:$BZ,MATCH($H42,英雄装备!$F:$F,0),MATCH(Q$2,英雄装备!$1:$1,0)-4),装备属性!$A:$C,3,0),VLOOKUP(INDEX(英雄装备!$F:$BZ,MATCH($H42,英雄装备!$F:$F,0),MATCH(Q$2,英雄装备!$1:$1,0)-3),装备属性!$A:$C,3,0),VLOOKUP(INDEX(英雄装备!$F:$BZ,MATCH($H42,英雄装备!$F:$F,0),MATCH(Q$2,英雄装备!$1:$1,0)-2),装备属性!$A:$C,3,0),VLOOKUP(INDEX(英雄装备!$F:$BZ,MATCH($H42,英雄装备!$F:$F,0),MATCH(Q$2,英雄装备!$1:$1,0)-1),装备属性!$A:$C,3,0),VLOOKUP(INDEX(英雄装备!$F:$BZ,MATCH($H42,英雄装备!$F:$F,0),MATCH(Q$2,英雄装备!$1:$1,0)),装备属性!$A:$C,3,0))</f>
        <v>78</v>
      </c>
      <c r="R42" s="51">
        <f>MAX(VLOOKUP(INDEX(英雄装备!$F:$BZ,MATCH($H42,英雄装备!$F:$F,0),MATCH(R$2,英雄装备!$1:$1,0)-5),装备属性!$A:$C,3,0),VLOOKUP(INDEX(英雄装备!$F:$BZ,MATCH($H42,英雄装备!$F:$F,0),MATCH(R$2,英雄装备!$1:$1,0)-4),装备属性!$A:$C,3,0),VLOOKUP(INDEX(英雄装备!$F:$BZ,MATCH($H42,英雄装备!$F:$F,0),MATCH(R$2,英雄装备!$1:$1,0)-3),装备属性!$A:$C,3,0),VLOOKUP(INDEX(英雄装备!$F:$BZ,MATCH($H42,英雄装备!$F:$F,0),MATCH(R$2,英雄装备!$1:$1,0)-2),装备属性!$A:$C,3,0),VLOOKUP(INDEX(英雄装备!$F:$BZ,MATCH($H42,英雄装备!$F:$F,0),MATCH(R$2,英雄装备!$1:$1,0)-1),装备属性!$A:$C,3,0),VLOOKUP(INDEX(英雄装备!$F:$BZ,MATCH($H42,英雄装备!$F:$F,0),MATCH(R$2,英雄装备!$1:$1,0)),装备属性!$A:$C,3,0))</f>
        <v>80</v>
      </c>
      <c r="S42" s="51">
        <f>MAX(VLOOKUP(INDEX(英雄装备!$F:$BZ,MATCH($H42,英雄装备!$F:$F,0),MATCH(S$2,英雄装备!$1:$1,0)-5),装备属性!$A:$C,3,0),VLOOKUP(INDEX(英雄装备!$F:$BZ,MATCH($H42,英雄装备!$F:$F,0),MATCH(S$2,英雄装备!$1:$1,0)-4),装备属性!$A:$C,3,0),VLOOKUP(INDEX(英雄装备!$F:$BZ,MATCH($H42,英雄装备!$F:$F,0),MATCH(S$2,英雄装备!$1:$1,0)-3),装备属性!$A:$C,3,0),VLOOKUP(INDEX(英雄装备!$F:$BZ,MATCH($H42,英雄装备!$F:$F,0),MATCH(S$2,英雄装备!$1:$1,0)-2),装备属性!$A:$C,3,0),VLOOKUP(INDEX(英雄装备!$F:$BZ,MATCH($H42,英雄装备!$F:$F,0),MATCH(S$2,英雄装备!$1:$1,0)-1),装备属性!$A:$C,3,0),VLOOKUP(INDEX(英雄装备!$F:$BZ,MATCH($H42,英雄装备!$F:$F,0),MATCH(S$2,英雄装备!$1:$1,0)),装备属性!$A:$C,3,0))</f>
        <v>84</v>
      </c>
      <c r="T42" s="51">
        <f>MAX(VLOOKUP(INDEX(英雄装备!$F:$BZ,MATCH($H42,英雄装备!$F:$F,0),MATCH(T$2,英雄装备!$1:$1,0)-5),装备属性!$A:$C,3,0),VLOOKUP(INDEX(英雄装备!$F:$BZ,MATCH($H42,英雄装备!$F:$F,0),MATCH(T$2,英雄装备!$1:$1,0)-4),装备属性!$A:$C,3,0),VLOOKUP(INDEX(英雄装备!$F:$BZ,MATCH($H42,英雄装备!$F:$F,0),MATCH(T$2,英雄装备!$1:$1,0)-3),装备属性!$A:$C,3,0),VLOOKUP(INDEX(英雄装备!$F:$BZ,MATCH($H42,英雄装备!$F:$F,0),MATCH(T$2,英雄装备!$1:$1,0)-2),装备属性!$A:$C,3,0),VLOOKUP(INDEX(英雄装备!$F:$BZ,MATCH($H42,英雄装备!$F:$F,0),MATCH(T$2,英雄装备!$1:$1,0)-1),装备属性!$A:$C,3,0))</f>
        <v>87</v>
      </c>
      <c r="V42" s="151">
        <v>1</v>
      </c>
      <c r="W42" s="151" t="str">
        <f>IF($V$2&lt;1,"","白")</f>
        <v>白</v>
      </c>
      <c r="X42" s="151" t="str">
        <f>IF(AND(X27=TRUE,$W42&lt;&gt;""),X1,"")</f>
        <v>树枝</v>
      </c>
      <c r="Y42" s="151" t="str">
        <f t="shared" ref="Y42:AC42" si="5">IF(AND(Y27=TRUE,$W42&lt;&gt;""),Y1,"")</f>
        <v>树枝</v>
      </c>
      <c r="Z42" s="151" t="str">
        <f t="shared" si="5"/>
        <v>敏捷丝袜</v>
      </c>
      <c r="AA42" s="151" t="str">
        <f t="shared" si="5"/>
        <v>敏捷丝袜</v>
      </c>
      <c r="AB42" s="151" t="str">
        <f t="shared" si="5"/>
        <v>防御指环</v>
      </c>
      <c r="AC42" s="151" t="str">
        <f t="shared" si="5"/>
        <v>小圆盾</v>
      </c>
      <c r="AF42" s="151">
        <v>4</v>
      </c>
      <c r="AG42" s="151" t="str">
        <f>Y4</f>
        <v>鬼手</v>
      </c>
      <c r="AH42" s="151">
        <f>VLOOKUP($AG42,装备属性!$A:$Y,5,0)</f>
        <v>25</v>
      </c>
      <c r="AI42" s="151">
        <f>VLOOKUP($AG42,装备属性!$A:$Y,6,0)</f>
        <v>0</v>
      </c>
      <c r="AJ42" s="151">
        <f>VLOOKUP($AG42,装备属性!$A:$Y,7,0)</f>
        <v>0</v>
      </c>
      <c r="AK42" s="151">
        <f>VLOOKUP($AG42,装备属性!$A:$Y,8,0)</f>
        <v>0</v>
      </c>
      <c r="AL42" s="151">
        <f>VLOOKUP($AG42,装备属性!$A:$Y,9,0)</f>
        <v>9</v>
      </c>
      <c r="AM42" s="151">
        <f>VLOOKUP($AG42,装备属性!$A:$Y,10,0)</f>
        <v>0</v>
      </c>
      <c r="AN42" s="151">
        <f>VLOOKUP($AG42,装备属性!$A:$Y,11,0)</f>
        <v>5</v>
      </c>
      <c r="AO42" s="151">
        <f>VLOOKUP($AG42,装备属性!$A:$Y,12,0)</f>
        <v>0</v>
      </c>
      <c r="AP42" s="151">
        <f>VLOOKUP($AG42,装备属性!$A:$Y,13,0)</f>
        <v>10</v>
      </c>
      <c r="AQ42" s="151">
        <f>VLOOKUP($AG42,装备属性!$A:$Y,14,0)</f>
        <v>0</v>
      </c>
      <c r="AR42" s="151">
        <f>VLOOKUP($AG42,装备属性!$A:$Y,15,0)</f>
        <v>0</v>
      </c>
      <c r="AS42" s="151">
        <f>VLOOKUP($AG42,装备属性!$A:$Y,16,0)</f>
        <v>0</v>
      </c>
      <c r="AT42" s="151">
        <f>VLOOKUP($AG42,装备属性!$A:$Y,17,0)</f>
        <v>0</v>
      </c>
      <c r="AU42" s="151">
        <f>VLOOKUP($AG42,装备属性!$A:$Y,18,0)</f>
        <v>0</v>
      </c>
      <c r="AV42" s="151">
        <f>VLOOKUP($AG42,装备属性!$A:$Y,19,0)</f>
        <v>0</v>
      </c>
      <c r="AW42" s="151">
        <f>VLOOKUP($AG42,装备属性!$A:$Y,20,0)</f>
        <v>0</v>
      </c>
      <c r="AX42" s="151">
        <f>VLOOKUP($AG42,装备属性!$A:$Y,21,0)</f>
        <v>0</v>
      </c>
      <c r="AY42" s="151">
        <f>VLOOKUP($AG42,装备属性!$A:$Y,22,0)</f>
        <v>0</v>
      </c>
      <c r="AZ42" s="151">
        <f>VLOOKUP($AG42,装备属性!$A:$Y,23,0)</f>
        <v>0</v>
      </c>
      <c r="BA42" s="151">
        <f>VLOOKUP($AG42,装备属性!$A:$Y,24,0)</f>
        <v>0</v>
      </c>
      <c r="BB42" s="151">
        <f>VLOOKUP($AG42,装备属性!$A:$Y,25,0)</f>
        <v>0</v>
      </c>
    </row>
    <row r="43" spans="2:54">
      <c r="B43" s="151" t="str">
        <f>英雄初始!A44</f>
        <v>巫妖</v>
      </c>
      <c r="H43" s="54" t="s">
        <v>196</v>
      </c>
      <c r="I43" s="51">
        <f>MAX(VLOOKUP(INDEX(英雄装备!$F:$BZ,MATCH($H43,英雄装备!$F:$F,0),MATCH(I$2,英雄装备!$1:$1,0)-5),装备属性!$A:$C,3,0),VLOOKUP(INDEX(英雄装备!$F:$BZ,MATCH($H43,英雄装备!$F:$F,0),MATCH(I$2,英雄装备!$1:$1,0)-4),装备属性!$A:$C,3,0),VLOOKUP(INDEX(英雄装备!$F:$BZ,MATCH($H43,英雄装备!$F:$F,0),MATCH(I$2,英雄装备!$1:$1,0)-3),装备属性!$A:$C,3,0),VLOOKUP(INDEX(英雄装备!$F:$BZ,MATCH($H43,英雄装备!$F:$F,0),MATCH(I$2,英雄装备!$1:$1,0)-2),装备属性!$A:$C,3,0),VLOOKUP(INDEX(英雄装备!$F:$BZ,MATCH($H43,英雄装备!$F:$F,0),MATCH(I$2,英雄装备!$1:$1,0)-1),装备属性!$A:$C,3,0),VLOOKUP(INDEX(英雄装备!$F:$BZ,MATCH($H43,英雄装备!$F:$F,0),MATCH(I$2,英雄装备!$1:$1,0)),装备属性!$A:$C,3,0))</f>
        <v>2</v>
      </c>
      <c r="J43" s="51">
        <f>MAX(VLOOKUP(INDEX(英雄装备!$F:$BZ,MATCH($H43,英雄装备!$F:$F,0),MATCH(J$2,英雄装备!$1:$1,0)-5),装备属性!$A:$C,3,0),VLOOKUP(INDEX(英雄装备!$F:$BZ,MATCH($H43,英雄装备!$F:$F,0),MATCH(J$2,英雄装备!$1:$1,0)-4),装备属性!$A:$C,3,0),VLOOKUP(INDEX(英雄装备!$F:$BZ,MATCH($H43,英雄装备!$F:$F,0),MATCH(J$2,英雄装备!$1:$1,0)-3),装备属性!$A:$C,3,0),VLOOKUP(INDEX(英雄装备!$F:$BZ,MATCH($H43,英雄装备!$F:$F,0),MATCH(J$2,英雄装备!$1:$1,0)-2),装备属性!$A:$C,3,0),VLOOKUP(INDEX(英雄装备!$F:$BZ,MATCH($H43,英雄装备!$F:$F,0),MATCH(J$2,英雄装备!$1:$1,0)-1),装备属性!$A:$C,3,0),VLOOKUP(INDEX(英雄装备!$F:$BZ,MATCH($H43,英雄装备!$F:$F,0),MATCH(J$2,英雄装备!$1:$1,0)),装备属性!$A:$C,3,0))</f>
        <v>12</v>
      </c>
      <c r="K43" s="51">
        <f>MAX(VLOOKUP(INDEX(英雄装备!$F:$BZ,MATCH($H43,英雄装备!$F:$F,0),MATCH(K$2,英雄装备!$1:$1,0)-5),装备属性!$A:$C,3,0),VLOOKUP(INDEX(英雄装备!$F:$BZ,MATCH($H43,英雄装备!$F:$F,0),MATCH(K$2,英雄装备!$1:$1,0)-4),装备属性!$A:$C,3,0),VLOOKUP(INDEX(英雄装备!$F:$BZ,MATCH($H43,英雄装备!$F:$F,0),MATCH(K$2,英雄装备!$1:$1,0)-3),装备属性!$A:$C,3,0),VLOOKUP(INDEX(英雄装备!$F:$BZ,MATCH($H43,英雄装备!$F:$F,0),MATCH(K$2,英雄装备!$1:$1,0)-2),装备属性!$A:$C,3,0),VLOOKUP(INDEX(英雄装备!$F:$BZ,MATCH($H43,英雄装备!$F:$F,0),MATCH(K$2,英雄装备!$1:$1,0)-1),装备属性!$A:$C,3,0),VLOOKUP(INDEX(英雄装备!$F:$BZ,MATCH($H43,英雄装备!$F:$F,0),MATCH(K$2,英雄装备!$1:$1,0)),装备属性!$A:$C,3,0))</f>
        <v>27</v>
      </c>
      <c r="L43" s="51">
        <f>MAX(VLOOKUP(INDEX(英雄装备!$F:$BZ,MATCH($H43,英雄装备!$F:$F,0),MATCH(L$2,英雄装备!$1:$1,0)-5),装备属性!$A:$C,3,0),VLOOKUP(INDEX(英雄装备!$F:$BZ,MATCH($H43,英雄装备!$F:$F,0),MATCH(L$2,英雄装备!$1:$1,0)-4),装备属性!$A:$C,3,0),VLOOKUP(INDEX(英雄装备!$F:$BZ,MATCH($H43,英雄装备!$F:$F,0),MATCH(L$2,英雄装备!$1:$1,0)-3),装备属性!$A:$C,3,0),VLOOKUP(INDEX(英雄装备!$F:$BZ,MATCH($H43,英雄装备!$F:$F,0),MATCH(L$2,英雄装备!$1:$1,0)-2),装备属性!$A:$C,3,0),VLOOKUP(INDEX(英雄装备!$F:$BZ,MATCH($H43,英雄装备!$F:$F,0),MATCH(L$2,英雄装备!$1:$1,0)-1),装备属性!$A:$C,3,0),VLOOKUP(INDEX(英雄装备!$F:$BZ,MATCH($H43,英雄装备!$F:$F,0),MATCH(L$2,英雄装备!$1:$1,0)),装备属性!$A:$C,3,0))</f>
        <v>35</v>
      </c>
      <c r="M43" s="51">
        <f>MAX(VLOOKUP(INDEX(英雄装备!$F:$BZ,MATCH($H43,英雄装备!$F:$F,0),MATCH(M$2,英雄装备!$1:$1,0)-5),装备属性!$A:$C,3,0),VLOOKUP(INDEX(英雄装备!$F:$BZ,MATCH($H43,英雄装备!$F:$F,0),MATCH(M$2,英雄装备!$1:$1,0)-4),装备属性!$A:$C,3,0),VLOOKUP(INDEX(英雄装备!$F:$BZ,MATCH($H43,英雄装备!$F:$F,0),MATCH(M$2,英雄装备!$1:$1,0)-3),装备属性!$A:$C,3,0),VLOOKUP(INDEX(英雄装备!$F:$BZ,MATCH($H43,英雄装备!$F:$F,0),MATCH(M$2,英雄装备!$1:$1,0)-2),装备属性!$A:$C,3,0),VLOOKUP(INDEX(英雄装备!$F:$BZ,MATCH($H43,英雄装备!$F:$F,0),MATCH(M$2,英雄装备!$1:$1,0)-1),装备属性!$A:$C,3,0),VLOOKUP(INDEX(英雄装备!$F:$BZ,MATCH($H43,英雄装备!$F:$F,0),MATCH(M$2,英雄装备!$1:$1,0)),装备属性!$A:$C,3,0))</f>
        <v>42</v>
      </c>
      <c r="N43" s="51">
        <f>MAX(VLOOKUP(INDEX(英雄装备!$F:$BZ,MATCH($H43,英雄装备!$F:$F,0),MATCH(N$2,英雄装备!$1:$1,0)-5),装备属性!$A:$C,3,0),VLOOKUP(INDEX(英雄装备!$F:$BZ,MATCH($H43,英雄装备!$F:$F,0),MATCH(N$2,英雄装备!$1:$1,0)-4),装备属性!$A:$C,3,0),VLOOKUP(INDEX(英雄装备!$F:$BZ,MATCH($H43,英雄装备!$F:$F,0),MATCH(N$2,英雄装备!$1:$1,0)-3),装备属性!$A:$C,3,0),VLOOKUP(INDEX(英雄装备!$F:$BZ,MATCH($H43,英雄装备!$F:$F,0),MATCH(N$2,英雄装备!$1:$1,0)-2),装备属性!$A:$C,3,0),VLOOKUP(INDEX(英雄装备!$F:$BZ,MATCH($H43,英雄装备!$F:$F,0),MATCH(N$2,英雄装备!$1:$1,0)-1),装备属性!$A:$C,3,0),VLOOKUP(INDEX(英雄装备!$F:$BZ,MATCH($H43,英雄装备!$F:$F,0),MATCH(N$2,英雄装备!$1:$1,0)),装备属性!$A:$C,3,0))</f>
        <v>52</v>
      </c>
      <c r="O43" s="51">
        <f>MAX(VLOOKUP(INDEX(英雄装备!$F:$BZ,MATCH($H43,英雄装备!$F:$F,0),MATCH(O$2,英雄装备!$1:$1,0)-5),装备属性!$A:$C,3,0),VLOOKUP(INDEX(英雄装备!$F:$BZ,MATCH($H43,英雄装备!$F:$F,0),MATCH(O$2,英雄装备!$1:$1,0)-4),装备属性!$A:$C,3,0),VLOOKUP(INDEX(英雄装备!$F:$BZ,MATCH($H43,英雄装备!$F:$F,0),MATCH(O$2,英雄装备!$1:$1,0)-3),装备属性!$A:$C,3,0),VLOOKUP(INDEX(英雄装备!$F:$BZ,MATCH($H43,英雄装备!$F:$F,0),MATCH(O$2,英雄装备!$1:$1,0)-2),装备属性!$A:$C,3,0),VLOOKUP(INDEX(英雄装备!$F:$BZ,MATCH($H43,英雄装备!$F:$F,0),MATCH(O$2,英雄装备!$1:$1,0)-1),装备属性!$A:$C,3,0),VLOOKUP(INDEX(英雄装备!$F:$BZ,MATCH($H43,英雄装备!$F:$F,0),MATCH(O$2,英雄装备!$1:$1,0)),装备属性!$A:$C,3,0))</f>
        <v>53</v>
      </c>
      <c r="P43" s="51">
        <f>MAX(VLOOKUP(INDEX(英雄装备!$F:$BZ,MATCH($H43,英雄装备!$F:$F,0),MATCH(P$2,英雄装备!$1:$1,0)-5),装备属性!$A:$C,3,0),VLOOKUP(INDEX(英雄装备!$F:$BZ,MATCH($H43,英雄装备!$F:$F,0),MATCH(P$2,英雄装备!$1:$1,0)-4),装备属性!$A:$C,3,0),VLOOKUP(INDEX(英雄装备!$F:$BZ,MATCH($H43,英雄装备!$F:$F,0),MATCH(P$2,英雄装备!$1:$1,0)-3),装备属性!$A:$C,3,0),VLOOKUP(INDEX(英雄装备!$F:$BZ,MATCH($H43,英雄装备!$F:$F,0),MATCH(P$2,英雄装备!$1:$1,0)-2),装备属性!$A:$C,3,0),VLOOKUP(INDEX(英雄装备!$F:$BZ,MATCH($H43,英雄装备!$F:$F,0),MATCH(P$2,英雄装备!$1:$1,0)-1),装备属性!$A:$C,3,0),VLOOKUP(INDEX(英雄装备!$F:$BZ,MATCH($H43,英雄装备!$F:$F,0),MATCH(P$2,英雄装备!$1:$1,0)),装备属性!$A:$C,3,0))</f>
        <v>70</v>
      </c>
      <c r="Q43" s="51">
        <f>MAX(VLOOKUP(INDEX(英雄装备!$F:$BZ,MATCH($H43,英雄装备!$F:$F,0),MATCH(Q$2,英雄装备!$1:$1,0)-5),装备属性!$A:$C,3,0),VLOOKUP(INDEX(英雄装备!$F:$BZ,MATCH($H43,英雄装备!$F:$F,0),MATCH(Q$2,英雄装备!$1:$1,0)-4),装备属性!$A:$C,3,0),VLOOKUP(INDEX(英雄装备!$F:$BZ,MATCH($H43,英雄装备!$F:$F,0),MATCH(Q$2,英雄装备!$1:$1,0)-3),装备属性!$A:$C,3,0),VLOOKUP(INDEX(英雄装备!$F:$BZ,MATCH($H43,英雄装备!$F:$F,0),MATCH(Q$2,英雄装备!$1:$1,0)-2),装备属性!$A:$C,3,0),VLOOKUP(INDEX(英雄装备!$F:$BZ,MATCH($H43,英雄装备!$F:$F,0),MATCH(Q$2,英雄装备!$1:$1,0)-1),装备属性!$A:$C,3,0),VLOOKUP(INDEX(英雄装备!$F:$BZ,MATCH($H43,英雄装备!$F:$F,0),MATCH(Q$2,英雄装备!$1:$1,0)),装备属性!$A:$C,3,0))</f>
        <v>80</v>
      </c>
      <c r="R43" s="51">
        <f>MAX(VLOOKUP(INDEX(英雄装备!$F:$BZ,MATCH($H43,英雄装备!$F:$F,0),MATCH(R$2,英雄装备!$1:$1,0)-5),装备属性!$A:$C,3,0),VLOOKUP(INDEX(英雄装备!$F:$BZ,MATCH($H43,英雄装备!$F:$F,0),MATCH(R$2,英雄装备!$1:$1,0)-4),装备属性!$A:$C,3,0),VLOOKUP(INDEX(英雄装备!$F:$BZ,MATCH($H43,英雄装备!$F:$F,0),MATCH(R$2,英雄装备!$1:$1,0)-3),装备属性!$A:$C,3,0),VLOOKUP(INDEX(英雄装备!$F:$BZ,MATCH($H43,英雄装备!$F:$F,0),MATCH(R$2,英雄装备!$1:$1,0)-2),装备属性!$A:$C,3,0),VLOOKUP(INDEX(英雄装备!$F:$BZ,MATCH($H43,英雄装备!$F:$F,0),MATCH(R$2,英雄装备!$1:$1,0)-1),装备属性!$A:$C,3,0),VLOOKUP(INDEX(英雄装备!$F:$BZ,MATCH($H43,英雄装备!$F:$F,0),MATCH(R$2,英雄装备!$1:$1,0)),装备属性!$A:$C,3,0))</f>
        <v>72</v>
      </c>
      <c r="S43" s="51">
        <f>MAX(VLOOKUP(INDEX(英雄装备!$F:$BZ,MATCH($H43,英雄装备!$F:$F,0),MATCH(S$2,英雄装备!$1:$1,0)-5),装备属性!$A:$C,3,0),VLOOKUP(INDEX(英雄装备!$F:$BZ,MATCH($H43,英雄装备!$F:$F,0),MATCH(S$2,英雄装备!$1:$1,0)-4),装备属性!$A:$C,3,0),VLOOKUP(INDEX(英雄装备!$F:$BZ,MATCH($H43,英雄装备!$F:$F,0),MATCH(S$2,英雄装备!$1:$1,0)-3),装备属性!$A:$C,3,0),VLOOKUP(INDEX(英雄装备!$F:$BZ,MATCH($H43,英雄装备!$F:$F,0),MATCH(S$2,英雄装备!$1:$1,0)-2),装备属性!$A:$C,3,0),VLOOKUP(INDEX(英雄装备!$F:$BZ,MATCH($H43,英雄装备!$F:$F,0),MATCH(S$2,英雄装备!$1:$1,0)-1),装备属性!$A:$C,3,0),VLOOKUP(INDEX(英雄装备!$F:$BZ,MATCH($H43,英雄装备!$F:$F,0),MATCH(S$2,英雄装备!$1:$1,0)),装备属性!$A:$C,3,0))</f>
        <v>85</v>
      </c>
      <c r="T43" s="51">
        <f>MAX(VLOOKUP(INDEX(英雄装备!$F:$BZ,MATCH($H43,英雄装备!$F:$F,0),MATCH(T$2,英雄装备!$1:$1,0)-5),装备属性!$A:$C,3,0),VLOOKUP(INDEX(英雄装备!$F:$BZ,MATCH($H43,英雄装备!$F:$F,0),MATCH(T$2,英雄装备!$1:$1,0)-4),装备属性!$A:$C,3,0),VLOOKUP(INDEX(英雄装备!$F:$BZ,MATCH($H43,英雄装备!$F:$F,0),MATCH(T$2,英雄装备!$1:$1,0)-3),装备属性!$A:$C,3,0),VLOOKUP(INDEX(英雄装备!$F:$BZ,MATCH($H43,英雄装备!$F:$F,0),MATCH(T$2,英雄装备!$1:$1,0)-2),装备属性!$A:$C,3,0),VLOOKUP(INDEX(英雄装备!$F:$BZ,MATCH($H43,英雄装备!$F:$F,0),MATCH(T$2,英雄装备!$1:$1,0)-1),装备属性!$A:$C,3,0))</f>
        <v>87</v>
      </c>
      <c r="V43" s="151">
        <v>2</v>
      </c>
      <c r="W43" s="151" t="str">
        <f>IF($V$2&lt;2,"","绿")</f>
        <v>绿</v>
      </c>
      <c r="X43" s="151" t="str">
        <f t="shared" ref="X43:AC53" si="6">IF(AND(X28=TRUE,$W43&lt;&gt;""),X2,"")</f>
        <v>吸血面具</v>
      </c>
      <c r="Y43" s="151" t="str">
        <f t="shared" si="6"/>
        <v>圣殿指环</v>
      </c>
      <c r="Z43" s="151" t="str">
        <f t="shared" si="6"/>
        <v>敏捷系带</v>
      </c>
      <c r="AA43" s="151" t="str">
        <f t="shared" si="6"/>
        <v>敏捷系带</v>
      </c>
      <c r="AB43" s="151" t="str">
        <f t="shared" si="6"/>
        <v>补刀斧</v>
      </c>
      <c r="AC43" s="151" t="str">
        <f t="shared" si="6"/>
        <v>鞋</v>
      </c>
      <c r="AF43" s="151">
        <v>4</v>
      </c>
      <c r="AG43" s="151" t="str">
        <f>Z4</f>
        <v>标枪</v>
      </c>
      <c r="AH43" s="151">
        <f>VLOOKUP($AG43,装备属性!$A:$Y,5,0)</f>
        <v>0</v>
      </c>
      <c r="AI43" s="151">
        <f>VLOOKUP($AG43,装备属性!$A:$Y,6,0)</f>
        <v>0</v>
      </c>
      <c r="AJ43" s="151">
        <f>VLOOKUP($AG43,装备属性!$A:$Y,7,0)</f>
        <v>0</v>
      </c>
      <c r="AK43" s="151">
        <f>VLOOKUP($AG43,装备属性!$A:$Y,8,0)</f>
        <v>0</v>
      </c>
      <c r="AL43" s="151">
        <f>VLOOKUP($AG43,装备属性!$A:$Y,9,0)</f>
        <v>24</v>
      </c>
      <c r="AM43" s="151">
        <f>VLOOKUP($AG43,装备属性!$A:$Y,10,0)</f>
        <v>0</v>
      </c>
      <c r="AN43" s="151">
        <f>VLOOKUP($AG43,装备属性!$A:$Y,11,0)</f>
        <v>0</v>
      </c>
      <c r="AO43" s="151">
        <f>VLOOKUP($AG43,装备属性!$A:$Y,12,0)</f>
        <v>0</v>
      </c>
      <c r="AP43" s="151">
        <f>VLOOKUP($AG43,装备属性!$A:$Y,13,0)</f>
        <v>0</v>
      </c>
      <c r="AQ43" s="151">
        <f>VLOOKUP($AG43,装备属性!$A:$Y,14,0)</f>
        <v>0</v>
      </c>
      <c r="AR43" s="151">
        <f>VLOOKUP($AG43,装备属性!$A:$Y,15,0)</f>
        <v>0</v>
      </c>
      <c r="AS43" s="151">
        <f>VLOOKUP($AG43,装备属性!$A:$Y,16,0)</f>
        <v>0</v>
      </c>
      <c r="AT43" s="151">
        <f>VLOOKUP($AG43,装备属性!$A:$Y,17,0)</f>
        <v>0</v>
      </c>
      <c r="AU43" s="151">
        <f>VLOOKUP($AG43,装备属性!$A:$Y,18,0)</f>
        <v>0</v>
      </c>
      <c r="AV43" s="151">
        <f>VLOOKUP($AG43,装备属性!$A:$Y,19,0)</f>
        <v>0</v>
      </c>
      <c r="AW43" s="151">
        <f>VLOOKUP($AG43,装备属性!$A:$Y,20,0)</f>
        <v>0</v>
      </c>
      <c r="AX43" s="151">
        <f>VLOOKUP($AG43,装备属性!$A:$Y,21,0)</f>
        <v>0</v>
      </c>
      <c r="AY43" s="151">
        <f>VLOOKUP($AG43,装备属性!$A:$Y,22,0)</f>
        <v>0</v>
      </c>
      <c r="AZ43" s="151">
        <f>VLOOKUP($AG43,装备属性!$A:$Y,23,0)</f>
        <v>0</v>
      </c>
      <c r="BA43" s="151">
        <f>VLOOKUP($AG43,装备属性!$A:$Y,24,0)</f>
        <v>0</v>
      </c>
      <c r="BB43" s="151">
        <f>VLOOKUP($AG43,装备属性!$A:$Y,25,0)</f>
        <v>0</v>
      </c>
    </row>
    <row r="44" spans="2:54">
      <c r="B44" s="151" t="str">
        <f>英雄初始!A45</f>
        <v>小鹿</v>
      </c>
      <c r="H44" s="54" t="s">
        <v>197</v>
      </c>
      <c r="I44" s="51">
        <f>MAX(VLOOKUP(INDEX(英雄装备!$F:$BZ,MATCH($H44,英雄装备!$F:$F,0),MATCH(I$2,英雄装备!$1:$1,0)-5),装备属性!$A:$C,3,0),VLOOKUP(INDEX(英雄装备!$F:$BZ,MATCH($H44,英雄装备!$F:$F,0),MATCH(I$2,英雄装备!$1:$1,0)-4),装备属性!$A:$C,3,0),VLOOKUP(INDEX(英雄装备!$F:$BZ,MATCH($H44,英雄装备!$F:$F,0),MATCH(I$2,英雄装备!$1:$1,0)-3),装备属性!$A:$C,3,0),VLOOKUP(INDEX(英雄装备!$F:$BZ,MATCH($H44,英雄装备!$F:$F,0),MATCH(I$2,英雄装备!$1:$1,0)-2),装备属性!$A:$C,3,0),VLOOKUP(INDEX(英雄装备!$F:$BZ,MATCH($H44,英雄装备!$F:$F,0),MATCH(I$2,英雄装备!$1:$1,0)-1),装备属性!$A:$C,3,0),VLOOKUP(INDEX(英雄装备!$F:$BZ,MATCH($H44,英雄装备!$F:$F,0),MATCH(I$2,英雄装备!$1:$1,0)),装备属性!$A:$C,3,0))</f>
        <v>2</v>
      </c>
      <c r="J44" s="51">
        <f>MAX(VLOOKUP(INDEX(英雄装备!$F:$BZ,MATCH($H44,英雄装备!$F:$F,0),MATCH(J$2,英雄装备!$1:$1,0)-5),装备属性!$A:$C,3,0),VLOOKUP(INDEX(英雄装备!$F:$BZ,MATCH($H44,英雄装备!$F:$F,0),MATCH(J$2,英雄装备!$1:$1,0)-4),装备属性!$A:$C,3,0),VLOOKUP(INDEX(英雄装备!$F:$BZ,MATCH($H44,英雄装备!$F:$F,0),MATCH(J$2,英雄装备!$1:$1,0)-3),装备属性!$A:$C,3,0),VLOOKUP(INDEX(英雄装备!$F:$BZ,MATCH($H44,英雄装备!$F:$F,0),MATCH(J$2,英雄装备!$1:$1,0)-2),装备属性!$A:$C,3,0),VLOOKUP(INDEX(英雄装备!$F:$BZ,MATCH($H44,英雄装备!$F:$F,0),MATCH(J$2,英雄装备!$1:$1,0)-1),装备属性!$A:$C,3,0),VLOOKUP(INDEX(英雄装备!$F:$BZ,MATCH($H44,英雄装备!$F:$F,0),MATCH(J$2,英雄装备!$1:$1,0)),装备属性!$A:$C,3,0))</f>
        <v>10</v>
      </c>
      <c r="K44" s="51">
        <f>MAX(VLOOKUP(INDEX(英雄装备!$F:$BZ,MATCH($H44,英雄装备!$F:$F,0),MATCH(K$2,英雄装备!$1:$1,0)-5),装备属性!$A:$C,3,0),VLOOKUP(INDEX(英雄装备!$F:$BZ,MATCH($H44,英雄装备!$F:$F,0),MATCH(K$2,英雄装备!$1:$1,0)-4),装备属性!$A:$C,3,0),VLOOKUP(INDEX(英雄装备!$F:$BZ,MATCH($H44,英雄装备!$F:$F,0),MATCH(K$2,英雄装备!$1:$1,0)-3),装备属性!$A:$C,3,0),VLOOKUP(INDEX(英雄装备!$F:$BZ,MATCH($H44,英雄装备!$F:$F,0),MATCH(K$2,英雄装备!$1:$1,0)-2),装备属性!$A:$C,3,0),VLOOKUP(INDEX(英雄装备!$F:$BZ,MATCH($H44,英雄装备!$F:$F,0),MATCH(K$2,英雄装备!$1:$1,0)-1),装备属性!$A:$C,3,0),VLOOKUP(INDEX(英雄装备!$F:$BZ,MATCH($H44,英雄装备!$F:$F,0),MATCH(K$2,英雄装备!$1:$1,0)),装备属性!$A:$C,3,0))</f>
        <v>20</v>
      </c>
      <c r="L44" s="51">
        <f>MAX(VLOOKUP(INDEX(英雄装备!$F:$BZ,MATCH($H44,英雄装备!$F:$F,0),MATCH(L$2,英雄装备!$1:$1,0)-5),装备属性!$A:$C,3,0),VLOOKUP(INDEX(英雄装备!$F:$BZ,MATCH($H44,英雄装备!$F:$F,0),MATCH(L$2,英雄装备!$1:$1,0)-4),装备属性!$A:$C,3,0),VLOOKUP(INDEX(英雄装备!$F:$BZ,MATCH($H44,英雄装备!$F:$F,0),MATCH(L$2,英雄装备!$1:$1,0)-3),装备属性!$A:$C,3,0),VLOOKUP(INDEX(英雄装备!$F:$BZ,MATCH($H44,英雄装备!$F:$F,0),MATCH(L$2,英雄装备!$1:$1,0)-2),装备属性!$A:$C,3,0),VLOOKUP(INDEX(英雄装备!$F:$BZ,MATCH($H44,英雄装备!$F:$F,0),MATCH(L$2,英雄装备!$1:$1,0)-1),装备属性!$A:$C,3,0),VLOOKUP(INDEX(英雄装备!$F:$BZ,MATCH($H44,英雄装备!$F:$F,0),MATCH(L$2,英雄装备!$1:$1,0)),装备属性!$A:$C,3,0))</f>
        <v>34</v>
      </c>
      <c r="M44" s="51">
        <f>MAX(VLOOKUP(INDEX(英雄装备!$F:$BZ,MATCH($H44,英雄装备!$F:$F,0),MATCH(M$2,英雄装备!$1:$1,0)-5),装备属性!$A:$C,3,0),VLOOKUP(INDEX(英雄装备!$F:$BZ,MATCH($H44,英雄装备!$F:$F,0),MATCH(M$2,英雄装备!$1:$1,0)-4),装备属性!$A:$C,3,0),VLOOKUP(INDEX(英雄装备!$F:$BZ,MATCH($H44,英雄装备!$F:$F,0),MATCH(M$2,英雄装备!$1:$1,0)-3),装备属性!$A:$C,3,0),VLOOKUP(INDEX(英雄装备!$F:$BZ,MATCH($H44,英雄装备!$F:$F,0),MATCH(M$2,英雄装备!$1:$1,0)-2),装备属性!$A:$C,3,0),VLOOKUP(INDEX(英雄装备!$F:$BZ,MATCH($H44,英雄装备!$F:$F,0),MATCH(M$2,英雄装备!$1:$1,0)-1),装备属性!$A:$C,3,0),VLOOKUP(INDEX(英雄装备!$F:$BZ,MATCH($H44,英雄装备!$F:$F,0),MATCH(M$2,英雄装备!$1:$1,0)),装备属性!$A:$C,3,0))</f>
        <v>41</v>
      </c>
      <c r="N44" s="51">
        <f>MAX(VLOOKUP(INDEX(英雄装备!$F:$BZ,MATCH($H44,英雄装备!$F:$F,0),MATCH(N$2,英雄装备!$1:$1,0)-5),装备属性!$A:$C,3,0),VLOOKUP(INDEX(英雄装备!$F:$BZ,MATCH($H44,英雄装备!$F:$F,0),MATCH(N$2,英雄装备!$1:$1,0)-4),装备属性!$A:$C,3,0),VLOOKUP(INDEX(英雄装备!$F:$BZ,MATCH($H44,英雄装备!$F:$F,0),MATCH(N$2,英雄装备!$1:$1,0)-3),装备属性!$A:$C,3,0),VLOOKUP(INDEX(英雄装备!$F:$BZ,MATCH($H44,英雄装备!$F:$F,0),MATCH(N$2,英雄装备!$1:$1,0)-2),装备属性!$A:$C,3,0),VLOOKUP(INDEX(英雄装备!$F:$BZ,MATCH($H44,英雄装备!$F:$F,0),MATCH(N$2,英雄装备!$1:$1,0)-1),装备属性!$A:$C,3,0),VLOOKUP(INDEX(英雄装备!$F:$BZ,MATCH($H44,英雄装备!$F:$F,0),MATCH(N$2,英雄装备!$1:$1,0)),装备属性!$A:$C,3,0))</f>
        <v>53</v>
      </c>
      <c r="O44" s="51">
        <f>MAX(VLOOKUP(INDEX(英雄装备!$F:$BZ,MATCH($H44,英雄装备!$F:$F,0),MATCH(O$2,英雄装备!$1:$1,0)-5),装备属性!$A:$C,3,0),VLOOKUP(INDEX(英雄装备!$F:$BZ,MATCH($H44,英雄装备!$F:$F,0),MATCH(O$2,英雄装备!$1:$1,0)-4),装备属性!$A:$C,3,0),VLOOKUP(INDEX(英雄装备!$F:$BZ,MATCH($H44,英雄装备!$F:$F,0),MATCH(O$2,英雄装备!$1:$1,0)-3),装备属性!$A:$C,3,0),VLOOKUP(INDEX(英雄装备!$F:$BZ,MATCH($H44,英雄装备!$F:$F,0),MATCH(O$2,英雄装备!$1:$1,0)-2),装备属性!$A:$C,3,0),VLOOKUP(INDEX(英雄装备!$F:$BZ,MATCH($H44,英雄装备!$F:$F,0),MATCH(O$2,英雄装备!$1:$1,0)-1),装备属性!$A:$C,3,0),VLOOKUP(INDEX(英雄装备!$F:$BZ,MATCH($H44,英雄装备!$F:$F,0),MATCH(O$2,英雄装备!$1:$1,0)),装备属性!$A:$C,3,0))</f>
        <v>63</v>
      </c>
      <c r="P44" s="51">
        <f>MAX(VLOOKUP(INDEX(英雄装备!$F:$BZ,MATCH($H44,英雄装备!$F:$F,0),MATCH(P$2,英雄装备!$1:$1,0)-5),装备属性!$A:$C,3,0),VLOOKUP(INDEX(英雄装备!$F:$BZ,MATCH($H44,英雄装备!$F:$F,0),MATCH(P$2,英雄装备!$1:$1,0)-4),装备属性!$A:$C,3,0),VLOOKUP(INDEX(英雄装备!$F:$BZ,MATCH($H44,英雄装备!$F:$F,0),MATCH(P$2,英雄装备!$1:$1,0)-3),装备属性!$A:$C,3,0),VLOOKUP(INDEX(英雄装备!$F:$BZ,MATCH($H44,英雄装备!$F:$F,0),MATCH(P$2,英雄装备!$1:$1,0)-2),装备属性!$A:$C,3,0),VLOOKUP(INDEX(英雄装备!$F:$BZ,MATCH($H44,英雄装备!$F:$F,0),MATCH(P$2,英雄装备!$1:$1,0)-1),装备属性!$A:$C,3,0),VLOOKUP(INDEX(英雄装备!$F:$BZ,MATCH($H44,英雄装备!$F:$F,0),MATCH(P$2,英雄装备!$1:$1,0)),装备属性!$A:$C,3,0))</f>
        <v>70</v>
      </c>
      <c r="Q44" s="51">
        <f>MAX(VLOOKUP(INDEX(英雄装备!$F:$BZ,MATCH($H44,英雄装备!$F:$F,0),MATCH(Q$2,英雄装备!$1:$1,0)-5),装备属性!$A:$C,3,0),VLOOKUP(INDEX(英雄装备!$F:$BZ,MATCH($H44,英雄装备!$F:$F,0),MATCH(Q$2,英雄装备!$1:$1,0)-4),装备属性!$A:$C,3,0),VLOOKUP(INDEX(英雄装备!$F:$BZ,MATCH($H44,英雄装备!$F:$F,0),MATCH(Q$2,英雄装备!$1:$1,0)-3),装备属性!$A:$C,3,0),VLOOKUP(INDEX(英雄装备!$F:$BZ,MATCH($H44,英雄装备!$F:$F,0),MATCH(Q$2,英雄装备!$1:$1,0)-2),装备属性!$A:$C,3,0),VLOOKUP(INDEX(英雄装备!$F:$BZ,MATCH($H44,英雄装备!$F:$F,0),MATCH(Q$2,英雄装备!$1:$1,0)-1),装备属性!$A:$C,3,0),VLOOKUP(INDEX(英雄装备!$F:$BZ,MATCH($H44,英雄装备!$F:$F,0),MATCH(Q$2,英雄装备!$1:$1,0)),装备属性!$A:$C,3,0))</f>
        <v>78</v>
      </c>
      <c r="R44" s="51">
        <f>MAX(VLOOKUP(INDEX(英雄装备!$F:$BZ,MATCH($H44,英雄装备!$F:$F,0),MATCH(R$2,英雄装备!$1:$1,0)-5),装备属性!$A:$C,3,0),VLOOKUP(INDEX(英雄装备!$F:$BZ,MATCH($H44,英雄装备!$F:$F,0),MATCH(R$2,英雄装备!$1:$1,0)-4),装备属性!$A:$C,3,0),VLOOKUP(INDEX(英雄装备!$F:$BZ,MATCH($H44,英雄装备!$F:$F,0),MATCH(R$2,英雄装备!$1:$1,0)-3),装备属性!$A:$C,3,0),VLOOKUP(INDEX(英雄装备!$F:$BZ,MATCH($H44,英雄装备!$F:$F,0),MATCH(R$2,英雄装备!$1:$1,0)-2),装备属性!$A:$C,3,0),VLOOKUP(INDEX(英雄装备!$F:$BZ,MATCH($H44,英雄装备!$F:$F,0),MATCH(R$2,英雄装备!$1:$1,0)-1),装备属性!$A:$C,3,0),VLOOKUP(INDEX(英雄装备!$F:$BZ,MATCH($H44,英雄装备!$F:$F,0),MATCH(R$2,英雄装备!$1:$1,0)),装备属性!$A:$C,3,0))</f>
        <v>80</v>
      </c>
      <c r="S44" s="51">
        <f>MAX(VLOOKUP(INDEX(英雄装备!$F:$BZ,MATCH($H44,英雄装备!$F:$F,0),MATCH(S$2,英雄装备!$1:$1,0)-5),装备属性!$A:$C,3,0),VLOOKUP(INDEX(英雄装备!$F:$BZ,MATCH($H44,英雄装备!$F:$F,0),MATCH(S$2,英雄装备!$1:$1,0)-4),装备属性!$A:$C,3,0),VLOOKUP(INDEX(英雄装备!$F:$BZ,MATCH($H44,英雄装备!$F:$F,0),MATCH(S$2,英雄装备!$1:$1,0)-3),装备属性!$A:$C,3,0),VLOOKUP(INDEX(英雄装备!$F:$BZ,MATCH($H44,英雄装备!$F:$F,0),MATCH(S$2,英雄装备!$1:$1,0)-2),装备属性!$A:$C,3,0),VLOOKUP(INDEX(英雄装备!$F:$BZ,MATCH($H44,英雄装备!$F:$F,0),MATCH(S$2,英雄装备!$1:$1,0)-1),装备属性!$A:$C,3,0),VLOOKUP(INDEX(英雄装备!$F:$BZ,MATCH($H44,英雄装备!$F:$F,0),MATCH(S$2,英雄装备!$1:$1,0)),装备属性!$A:$C,3,0))</f>
        <v>85</v>
      </c>
      <c r="T44" s="51">
        <f>MAX(VLOOKUP(INDEX(英雄装备!$F:$BZ,MATCH($H44,英雄装备!$F:$F,0),MATCH(T$2,英雄装备!$1:$1,0)-5),装备属性!$A:$C,3,0),VLOOKUP(INDEX(英雄装备!$F:$BZ,MATCH($H44,英雄装备!$F:$F,0),MATCH(T$2,英雄装备!$1:$1,0)-4),装备属性!$A:$C,3,0),VLOOKUP(INDEX(英雄装备!$F:$BZ,MATCH($H44,英雄装备!$F:$F,0),MATCH(T$2,英雄装备!$1:$1,0)-3),装备属性!$A:$C,3,0),VLOOKUP(INDEX(英雄装备!$F:$BZ,MATCH($H44,英雄装备!$F:$F,0),MATCH(T$2,英雄装备!$1:$1,0)-2),装备属性!$A:$C,3,0),VLOOKUP(INDEX(英雄装备!$F:$BZ,MATCH($H44,英雄装备!$F:$F,0),MATCH(T$2,英雄装备!$1:$1,0)-1),装备属性!$A:$C,3,0))</f>
        <v>87</v>
      </c>
      <c r="V44" s="151">
        <v>3</v>
      </c>
      <c r="W44" s="151" t="str">
        <f>IF($V$2&lt;3,"","绿+1")</f>
        <v>绿+1</v>
      </c>
      <c r="X44" s="151" t="str">
        <f t="shared" si="6"/>
        <v>敏捷之刃</v>
      </c>
      <c r="Y44" s="151" t="str">
        <f t="shared" si="6"/>
        <v>祭品</v>
      </c>
      <c r="Z44" s="151" t="str">
        <f t="shared" si="6"/>
        <v>大魔杖</v>
      </c>
      <c r="AA44" s="151" t="str">
        <f t="shared" si="6"/>
        <v>生命之球</v>
      </c>
      <c r="AB44" s="151" t="str">
        <f t="shared" si="6"/>
        <v>攻击利爪</v>
      </c>
      <c r="AC44" s="151" t="str">
        <f t="shared" si="6"/>
        <v>鞋</v>
      </c>
      <c r="AF44" s="151">
        <v>4</v>
      </c>
      <c r="AG44" s="151" t="str">
        <f>AA4</f>
        <v>冲锋盾</v>
      </c>
      <c r="AH44" s="151">
        <f>VLOOKUP($AG44,装备属性!$A:$Y,5,0)</f>
        <v>0</v>
      </c>
      <c r="AI44" s="151">
        <f>VLOOKUP($AG44,装备属性!$A:$Y,6,0)</f>
        <v>0</v>
      </c>
      <c r="AJ44" s="151">
        <f>VLOOKUP($AG44,装备属性!$A:$Y,7,0)</f>
        <v>0</v>
      </c>
      <c r="AK44" s="151">
        <f>VLOOKUP($AG44,装备属性!$A:$Y,8,0)</f>
        <v>280</v>
      </c>
      <c r="AL44" s="151">
        <f>VLOOKUP($AG44,装备属性!$A:$Y,9,0)</f>
        <v>0</v>
      </c>
      <c r="AM44" s="151">
        <f>VLOOKUP($AG44,装备属性!$A:$Y,10,0)</f>
        <v>0</v>
      </c>
      <c r="AN44" s="151">
        <f>VLOOKUP($AG44,装备属性!$A:$Y,11,0)</f>
        <v>4</v>
      </c>
      <c r="AO44" s="151">
        <f>VLOOKUP($AG44,装备属性!$A:$Y,12,0)</f>
        <v>0</v>
      </c>
      <c r="AP44" s="151">
        <f>VLOOKUP($AG44,装备属性!$A:$Y,13,0)</f>
        <v>0</v>
      </c>
      <c r="AQ44" s="151">
        <f>VLOOKUP($AG44,装备属性!$A:$Y,14,0)</f>
        <v>0</v>
      </c>
      <c r="AR44" s="151">
        <f>VLOOKUP($AG44,装备属性!$A:$Y,15,0)</f>
        <v>0</v>
      </c>
      <c r="AS44" s="151">
        <f>VLOOKUP($AG44,装备属性!$A:$Y,16,0)</f>
        <v>0</v>
      </c>
      <c r="AT44" s="151">
        <f>VLOOKUP($AG44,装备属性!$A:$Y,17,0)</f>
        <v>0</v>
      </c>
      <c r="AU44" s="151">
        <f>VLOOKUP($AG44,装备属性!$A:$Y,18,0)</f>
        <v>0</v>
      </c>
      <c r="AV44" s="151">
        <f>VLOOKUP($AG44,装备属性!$A:$Y,19,0)</f>
        <v>0</v>
      </c>
      <c r="AW44" s="151">
        <f>VLOOKUP($AG44,装备属性!$A:$Y,20,0)</f>
        <v>240</v>
      </c>
      <c r="AX44" s="151">
        <f>VLOOKUP($AG44,装备属性!$A:$Y,21,0)</f>
        <v>0</v>
      </c>
      <c r="AY44" s="151">
        <f>VLOOKUP($AG44,装备属性!$A:$Y,22,0)</f>
        <v>0</v>
      </c>
      <c r="AZ44" s="151">
        <f>VLOOKUP($AG44,装备属性!$A:$Y,23,0)</f>
        <v>0</v>
      </c>
      <c r="BA44" s="151">
        <f>VLOOKUP($AG44,装备属性!$A:$Y,24,0)</f>
        <v>0</v>
      </c>
      <c r="BB44" s="151">
        <f>VLOOKUP($AG44,装备属性!$A:$Y,25,0)</f>
        <v>0</v>
      </c>
    </row>
    <row r="45" spans="2:54">
      <c r="B45" s="151" t="str">
        <f>英雄初始!A46</f>
        <v>修补匠</v>
      </c>
      <c r="H45" s="54" t="s">
        <v>198</v>
      </c>
      <c r="I45" s="51">
        <f>MAX(VLOOKUP(INDEX(英雄装备!$F:$BZ,MATCH($H45,英雄装备!$F:$F,0),MATCH(I$2,英雄装备!$1:$1,0)-5),装备属性!$A:$C,3,0),VLOOKUP(INDEX(英雄装备!$F:$BZ,MATCH($H45,英雄装备!$F:$F,0),MATCH(I$2,英雄装备!$1:$1,0)-4),装备属性!$A:$C,3,0),VLOOKUP(INDEX(英雄装备!$F:$BZ,MATCH($H45,英雄装备!$F:$F,0),MATCH(I$2,英雄装备!$1:$1,0)-3),装备属性!$A:$C,3,0),VLOOKUP(INDEX(英雄装备!$F:$BZ,MATCH($H45,英雄装备!$F:$F,0),MATCH(I$2,英雄装备!$1:$1,0)-2),装备属性!$A:$C,3,0),VLOOKUP(INDEX(英雄装备!$F:$BZ,MATCH($H45,英雄装备!$F:$F,0),MATCH(I$2,英雄装备!$1:$1,0)-1),装备属性!$A:$C,3,0),VLOOKUP(INDEX(英雄装备!$F:$BZ,MATCH($H45,英雄装备!$F:$F,0),MATCH(I$2,英雄装备!$1:$1,0)),装备属性!$A:$C,3,0))</f>
        <v>2</v>
      </c>
      <c r="J45" s="51">
        <f>MAX(VLOOKUP(INDEX(英雄装备!$F:$BZ,MATCH($H45,英雄装备!$F:$F,0),MATCH(J$2,英雄装备!$1:$1,0)-5),装备属性!$A:$C,3,0),VLOOKUP(INDEX(英雄装备!$F:$BZ,MATCH($H45,英雄装备!$F:$F,0),MATCH(J$2,英雄装备!$1:$1,0)-4),装备属性!$A:$C,3,0),VLOOKUP(INDEX(英雄装备!$F:$BZ,MATCH($H45,英雄装备!$F:$F,0),MATCH(J$2,英雄装备!$1:$1,0)-3),装备属性!$A:$C,3,0),VLOOKUP(INDEX(英雄装备!$F:$BZ,MATCH($H45,英雄装备!$F:$F,0),MATCH(J$2,英雄装备!$1:$1,0)-2),装备属性!$A:$C,3,0),VLOOKUP(INDEX(英雄装备!$F:$BZ,MATCH($H45,英雄装备!$F:$F,0),MATCH(J$2,英雄装备!$1:$1,0)-1),装备属性!$A:$C,3,0),VLOOKUP(INDEX(英雄装备!$F:$BZ,MATCH($H45,英雄装备!$F:$F,0),MATCH(J$2,英雄装备!$1:$1,0)),装备属性!$A:$C,3,0))</f>
        <v>11</v>
      </c>
      <c r="K45" s="51">
        <f>MAX(VLOOKUP(INDEX(英雄装备!$F:$BZ,MATCH($H45,英雄装备!$F:$F,0),MATCH(K$2,英雄装备!$1:$1,0)-5),装备属性!$A:$C,3,0),VLOOKUP(INDEX(英雄装备!$F:$BZ,MATCH($H45,英雄装备!$F:$F,0),MATCH(K$2,英雄装备!$1:$1,0)-4),装备属性!$A:$C,3,0),VLOOKUP(INDEX(英雄装备!$F:$BZ,MATCH($H45,英雄装备!$F:$F,0),MATCH(K$2,英雄装备!$1:$1,0)-3),装备属性!$A:$C,3,0),VLOOKUP(INDEX(英雄装备!$F:$BZ,MATCH($H45,英雄装备!$F:$F,0),MATCH(K$2,英雄装备!$1:$1,0)-2),装备属性!$A:$C,3,0),VLOOKUP(INDEX(英雄装备!$F:$BZ,MATCH($H45,英雄装备!$F:$F,0),MATCH(K$2,英雄装备!$1:$1,0)-1),装备属性!$A:$C,3,0),VLOOKUP(INDEX(英雄装备!$F:$BZ,MATCH($H45,英雄装备!$F:$F,0),MATCH(K$2,英雄装备!$1:$1,0)),装备属性!$A:$C,3,0))</f>
        <v>21</v>
      </c>
      <c r="L45" s="51">
        <f>MAX(VLOOKUP(INDEX(英雄装备!$F:$BZ,MATCH($H45,英雄装备!$F:$F,0),MATCH(L$2,英雄装备!$1:$1,0)-5),装备属性!$A:$C,3,0),VLOOKUP(INDEX(英雄装备!$F:$BZ,MATCH($H45,英雄装备!$F:$F,0),MATCH(L$2,英雄装备!$1:$1,0)-4),装备属性!$A:$C,3,0),VLOOKUP(INDEX(英雄装备!$F:$BZ,MATCH($H45,英雄装备!$F:$F,0),MATCH(L$2,英雄装备!$1:$1,0)-3),装备属性!$A:$C,3,0),VLOOKUP(INDEX(英雄装备!$F:$BZ,MATCH($H45,英雄装备!$F:$F,0),MATCH(L$2,英雄装备!$1:$1,0)-2),装备属性!$A:$C,3,0),VLOOKUP(INDEX(英雄装备!$F:$BZ,MATCH($H45,英雄装备!$F:$F,0),MATCH(L$2,英雄装备!$1:$1,0)-1),装备属性!$A:$C,3,0),VLOOKUP(INDEX(英雄装备!$F:$BZ,MATCH($H45,英雄装备!$F:$F,0),MATCH(L$2,英雄装备!$1:$1,0)),装备属性!$A:$C,3,0))</f>
        <v>35</v>
      </c>
      <c r="M45" s="51">
        <f>MAX(VLOOKUP(INDEX(英雄装备!$F:$BZ,MATCH($H45,英雄装备!$F:$F,0),MATCH(M$2,英雄装备!$1:$1,0)-5),装备属性!$A:$C,3,0),VLOOKUP(INDEX(英雄装备!$F:$BZ,MATCH($H45,英雄装备!$F:$F,0),MATCH(M$2,英雄装备!$1:$1,0)-4),装备属性!$A:$C,3,0),VLOOKUP(INDEX(英雄装备!$F:$BZ,MATCH($H45,英雄装备!$F:$F,0),MATCH(M$2,英雄装备!$1:$1,0)-3),装备属性!$A:$C,3,0),VLOOKUP(INDEX(英雄装备!$F:$BZ,MATCH($H45,英雄装备!$F:$F,0),MATCH(M$2,英雄装备!$1:$1,0)-2),装备属性!$A:$C,3,0),VLOOKUP(INDEX(英雄装备!$F:$BZ,MATCH($H45,英雄装备!$F:$F,0),MATCH(M$2,英雄装备!$1:$1,0)-1),装备属性!$A:$C,3,0),VLOOKUP(INDEX(英雄装备!$F:$BZ,MATCH($H45,英雄装备!$F:$F,0),MATCH(M$2,英雄装备!$1:$1,0)),装备属性!$A:$C,3,0))</f>
        <v>43</v>
      </c>
      <c r="N45" s="51">
        <f>MAX(VLOOKUP(INDEX(英雄装备!$F:$BZ,MATCH($H45,英雄装备!$F:$F,0),MATCH(N$2,英雄装备!$1:$1,0)-5),装备属性!$A:$C,3,0),VLOOKUP(INDEX(英雄装备!$F:$BZ,MATCH($H45,英雄装备!$F:$F,0),MATCH(N$2,英雄装备!$1:$1,0)-4),装备属性!$A:$C,3,0),VLOOKUP(INDEX(英雄装备!$F:$BZ,MATCH($H45,英雄装备!$F:$F,0),MATCH(N$2,英雄装备!$1:$1,0)-3),装备属性!$A:$C,3,0),VLOOKUP(INDEX(英雄装备!$F:$BZ,MATCH($H45,英雄装备!$F:$F,0),MATCH(N$2,英雄装备!$1:$1,0)-2),装备属性!$A:$C,3,0),VLOOKUP(INDEX(英雄装备!$F:$BZ,MATCH($H45,英雄装备!$F:$F,0),MATCH(N$2,英雄装备!$1:$1,0)-1),装备属性!$A:$C,3,0),VLOOKUP(INDEX(英雄装备!$F:$BZ,MATCH($H45,英雄装备!$F:$F,0),MATCH(N$2,英雄装备!$1:$1,0)),装备属性!$A:$C,3,0))</f>
        <v>51</v>
      </c>
      <c r="O45" s="51">
        <f>MAX(VLOOKUP(INDEX(英雄装备!$F:$BZ,MATCH($H45,英雄装备!$F:$F,0),MATCH(O$2,英雄装备!$1:$1,0)-5),装备属性!$A:$C,3,0),VLOOKUP(INDEX(英雄装备!$F:$BZ,MATCH($H45,英雄装备!$F:$F,0),MATCH(O$2,英雄装备!$1:$1,0)-4),装备属性!$A:$C,3,0),VLOOKUP(INDEX(英雄装备!$F:$BZ,MATCH($H45,英雄装备!$F:$F,0),MATCH(O$2,英雄装备!$1:$1,0)-3),装备属性!$A:$C,3,0),VLOOKUP(INDEX(英雄装备!$F:$BZ,MATCH($H45,英雄装备!$F:$F,0),MATCH(O$2,英雄装备!$1:$1,0)-2),装备属性!$A:$C,3,0),VLOOKUP(INDEX(英雄装备!$F:$BZ,MATCH($H45,英雄装备!$F:$F,0),MATCH(O$2,英雄装备!$1:$1,0)-1),装备属性!$A:$C,3,0),VLOOKUP(INDEX(英雄装备!$F:$BZ,MATCH($H45,英雄装备!$F:$F,0),MATCH(O$2,英雄装备!$1:$1,0)),装备属性!$A:$C,3,0))</f>
        <v>60</v>
      </c>
      <c r="P45" s="51">
        <f>MAX(VLOOKUP(INDEX(英雄装备!$F:$BZ,MATCH($H45,英雄装备!$F:$F,0),MATCH(P$2,英雄装备!$1:$1,0)-5),装备属性!$A:$C,3,0),VLOOKUP(INDEX(英雄装备!$F:$BZ,MATCH($H45,英雄装备!$F:$F,0),MATCH(P$2,英雄装备!$1:$1,0)-4),装备属性!$A:$C,3,0),VLOOKUP(INDEX(英雄装备!$F:$BZ,MATCH($H45,英雄装备!$F:$F,0),MATCH(P$2,英雄装备!$1:$1,0)-3),装备属性!$A:$C,3,0),VLOOKUP(INDEX(英雄装备!$F:$BZ,MATCH($H45,英雄装备!$F:$F,0),MATCH(P$2,英雄装备!$1:$1,0)-2),装备属性!$A:$C,3,0),VLOOKUP(INDEX(英雄装备!$F:$BZ,MATCH($H45,英雄装备!$F:$F,0),MATCH(P$2,英雄装备!$1:$1,0)-1),装备属性!$A:$C,3,0),VLOOKUP(INDEX(英雄装备!$F:$BZ,MATCH($H45,英雄装备!$F:$F,0),MATCH(P$2,英雄装备!$1:$1,0)),装备属性!$A:$C,3,0))</f>
        <v>70</v>
      </c>
      <c r="Q45" s="51">
        <f>MAX(VLOOKUP(INDEX(英雄装备!$F:$BZ,MATCH($H45,英雄装备!$F:$F,0),MATCH(Q$2,英雄装备!$1:$1,0)-5),装备属性!$A:$C,3,0),VLOOKUP(INDEX(英雄装备!$F:$BZ,MATCH($H45,英雄装备!$F:$F,0),MATCH(Q$2,英雄装备!$1:$1,0)-4),装备属性!$A:$C,3,0),VLOOKUP(INDEX(英雄装备!$F:$BZ,MATCH($H45,英雄装备!$F:$F,0),MATCH(Q$2,英雄装备!$1:$1,0)-3),装备属性!$A:$C,3,0),VLOOKUP(INDEX(英雄装备!$F:$BZ,MATCH($H45,英雄装备!$F:$F,0),MATCH(Q$2,英雄装备!$1:$1,0)-2),装备属性!$A:$C,3,0),VLOOKUP(INDEX(英雄装备!$F:$BZ,MATCH($H45,英雄装备!$F:$F,0),MATCH(Q$2,英雄装备!$1:$1,0)-1),装备属性!$A:$C,3,0),VLOOKUP(INDEX(英雄装备!$F:$BZ,MATCH($H45,英雄装备!$F:$F,0),MATCH(Q$2,英雄装备!$1:$1,0)),装备属性!$A:$C,3,0))</f>
        <v>78</v>
      </c>
      <c r="R45" s="51">
        <f>MAX(VLOOKUP(INDEX(英雄装备!$F:$BZ,MATCH($H45,英雄装备!$F:$F,0),MATCH(R$2,英雄装备!$1:$1,0)-5),装备属性!$A:$C,3,0),VLOOKUP(INDEX(英雄装备!$F:$BZ,MATCH($H45,英雄装备!$F:$F,0),MATCH(R$2,英雄装备!$1:$1,0)-4),装备属性!$A:$C,3,0),VLOOKUP(INDEX(英雄装备!$F:$BZ,MATCH($H45,英雄装备!$F:$F,0),MATCH(R$2,英雄装备!$1:$1,0)-3),装备属性!$A:$C,3,0),VLOOKUP(INDEX(英雄装备!$F:$BZ,MATCH($H45,英雄装备!$F:$F,0),MATCH(R$2,英雄装备!$1:$1,0)-2),装备属性!$A:$C,3,0),VLOOKUP(INDEX(英雄装备!$F:$BZ,MATCH($H45,英雄装备!$F:$F,0),MATCH(R$2,英雄装备!$1:$1,0)-1),装备属性!$A:$C,3,0),VLOOKUP(INDEX(英雄装备!$F:$BZ,MATCH($H45,英雄装备!$F:$F,0),MATCH(R$2,英雄装备!$1:$1,0)),装备属性!$A:$C,3,0))</f>
        <v>80</v>
      </c>
      <c r="S45" s="51">
        <f>MAX(VLOOKUP(INDEX(英雄装备!$F:$BZ,MATCH($H45,英雄装备!$F:$F,0),MATCH(S$2,英雄装备!$1:$1,0)-5),装备属性!$A:$C,3,0),VLOOKUP(INDEX(英雄装备!$F:$BZ,MATCH($H45,英雄装备!$F:$F,0),MATCH(S$2,英雄装备!$1:$1,0)-4),装备属性!$A:$C,3,0),VLOOKUP(INDEX(英雄装备!$F:$BZ,MATCH($H45,英雄装备!$F:$F,0),MATCH(S$2,英雄装备!$1:$1,0)-3),装备属性!$A:$C,3,0),VLOOKUP(INDEX(英雄装备!$F:$BZ,MATCH($H45,英雄装备!$F:$F,0),MATCH(S$2,英雄装备!$1:$1,0)-2),装备属性!$A:$C,3,0),VLOOKUP(INDEX(英雄装备!$F:$BZ,MATCH($H45,英雄装备!$F:$F,0),MATCH(S$2,英雄装备!$1:$1,0)-1),装备属性!$A:$C,3,0),VLOOKUP(INDEX(英雄装备!$F:$BZ,MATCH($H45,英雄装备!$F:$F,0),MATCH(S$2,英雄装备!$1:$1,0)),装备属性!$A:$C,3,0))</f>
        <v>85</v>
      </c>
      <c r="T45" s="51">
        <f>MAX(VLOOKUP(INDEX(英雄装备!$F:$BZ,MATCH($H45,英雄装备!$F:$F,0),MATCH(T$2,英雄装备!$1:$1,0)-5),装备属性!$A:$C,3,0),VLOOKUP(INDEX(英雄装备!$F:$BZ,MATCH($H45,英雄装备!$F:$F,0),MATCH(T$2,英雄装备!$1:$1,0)-4),装备属性!$A:$C,3,0),VLOOKUP(INDEX(英雄装备!$F:$BZ,MATCH($H45,英雄装备!$F:$F,0),MATCH(T$2,英雄装备!$1:$1,0)-3),装备属性!$A:$C,3,0),VLOOKUP(INDEX(英雄装备!$F:$BZ,MATCH($H45,英雄装备!$F:$F,0),MATCH(T$2,英雄装备!$1:$1,0)-2),装备属性!$A:$C,3,0),VLOOKUP(INDEX(英雄装备!$F:$BZ,MATCH($H45,英雄装备!$F:$F,0),MATCH(T$2,英雄装备!$1:$1,0)-1),装备属性!$A:$C,3,0))</f>
        <v>88</v>
      </c>
      <c r="V45" s="151">
        <v>4</v>
      </c>
      <c r="W45" s="151" t="str">
        <f>IF($V$2&lt;4,"","蓝")</f>
        <v>蓝</v>
      </c>
      <c r="X45" s="151" t="str">
        <f t="shared" si="6"/>
        <v>洛萨</v>
      </c>
      <c r="Y45" s="151" t="str">
        <f t="shared" si="6"/>
        <v>鬼手</v>
      </c>
      <c r="Z45" s="151" t="str">
        <f t="shared" si="6"/>
        <v>标枪</v>
      </c>
      <c r="AA45" s="151" t="str">
        <f t="shared" si="6"/>
        <v>冲锋盾</v>
      </c>
      <c r="AB45" s="151" t="str">
        <f t="shared" si="6"/>
        <v>力量腰带</v>
      </c>
      <c r="AC45" s="151" t="str">
        <f t="shared" si="6"/>
        <v>相位鞋</v>
      </c>
      <c r="AF45" s="151">
        <v>4</v>
      </c>
      <c r="AG45" s="151" t="str">
        <f>AB4</f>
        <v>力量腰带</v>
      </c>
      <c r="AH45" s="151">
        <f>VLOOKUP($AG45,装备属性!$A:$Y,5,0)</f>
        <v>6</v>
      </c>
      <c r="AI45" s="151">
        <f>VLOOKUP($AG45,装备属性!$A:$Y,6,0)</f>
        <v>0</v>
      </c>
      <c r="AJ45" s="151">
        <f>VLOOKUP($AG45,装备属性!$A:$Y,7,0)</f>
        <v>0</v>
      </c>
      <c r="AK45" s="151">
        <f>VLOOKUP($AG45,装备属性!$A:$Y,8,0)</f>
        <v>0</v>
      </c>
      <c r="AL45" s="151">
        <f>VLOOKUP($AG45,装备属性!$A:$Y,9,0)</f>
        <v>0</v>
      </c>
      <c r="AM45" s="151">
        <f>VLOOKUP($AG45,装备属性!$A:$Y,10,0)</f>
        <v>0</v>
      </c>
      <c r="AN45" s="151">
        <f>VLOOKUP($AG45,装备属性!$A:$Y,11,0)</f>
        <v>0</v>
      </c>
      <c r="AO45" s="151">
        <f>VLOOKUP($AG45,装备属性!$A:$Y,12,0)</f>
        <v>0</v>
      </c>
      <c r="AP45" s="151">
        <f>VLOOKUP($AG45,装备属性!$A:$Y,13,0)</f>
        <v>0</v>
      </c>
      <c r="AQ45" s="151">
        <f>VLOOKUP($AG45,装备属性!$A:$Y,14,0)</f>
        <v>0</v>
      </c>
      <c r="AR45" s="151">
        <f>VLOOKUP($AG45,装备属性!$A:$Y,15,0)</f>
        <v>0</v>
      </c>
      <c r="AS45" s="151">
        <f>VLOOKUP($AG45,装备属性!$A:$Y,16,0)</f>
        <v>0</v>
      </c>
      <c r="AT45" s="151">
        <f>VLOOKUP($AG45,装备属性!$A:$Y,17,0)</f>
        <v>0</v>
      </c>
      <c r="AU45" s="151">
        <f>VLOOKUP($AG45,装备属性!$A:$Y,18,0)</f>
        <v>0</v>
      </c>
      <c r="AV45" s="151">
        <f>VLOOKUP($AG45,装备属性!$A:$Y,19,0)</f>
        <v>0</v>
      </c>
      <c r="AW45" s="151">
        <f>VLOOKUP($AG45,装备属性!$A:$Y,20,0)</f>
        <v>0</v>
      </c>
      <c r="AX45" s="151">
        <f>VLOOKUP($AG45,装备属性!$A:$Y,21,0)</f>
        <v>0</v>
      </c>
      <c r="AY45" s="151">
        <f>VLOOKUP($AG45,装备属性!$A:$Y,22,0)</f>
        <v>0</v>
      </c>
      <c r="AZ45" s="151">
        <f>VLOOKUP($AG45,装备属性!$A:$Y,23,0)</f>
        <v>0</v>
      </c>
      <c r="BA45" s="151">
        <f>VLOOKUP($AG45,装备属性!$A:$Y,24,0)</f>
        <v>0</v>
      </c>
      <c r="BB45" s="151">
        <f>VLOOKUP($AG45,装备属性!$A:$Y,25,0)</f>
        <v>0</v>
      </c>
    </row>
    <row r="46" spans="2:54">
      <c r="B46" s="151" t="str">
        <f>英雄初始!A47</f>
        <v>宙斯</v>
      </c>
      <c r="H46" s="54" t="s">
        <v>199</v>
      </c>
      <c r="I46" s="51">
        <f>MAX(VLOOKUP(INDEX(英雄装备!$F:$BZ,MATCH($H46,英雄装备!$F:$F,0),MATCH(I$2,英雄装备!$1:$1,0)-5),装备属性!$A:$C,3,0),VLOOKUP(INDEX(英雄装备!$F:$BZ,MATCH($H46,英雄装备!$F:$F,0),MATCH(I$2,英雄装备!$1:$1,0)-4),装备属性!$A:$C,3,0),VLOOKUP(INDEX(英雄装备!$F:$BZ,MATCH($H46,英雄装备!$F:$F,0),MATCH(I$2,英雄装备!$1:$1,0)-3),装备属性!$A:$C,3,0),VLOOKUP(INDEX(英雄装备!$F:$BZ,MATCH($H46,英雄装备!$F:$F,0),MATCH(I$2,英雄装备!$1:$1,0)-2),装备属性!$A:$C,3,0),VLOOKUP(INDEX(英雄装备!$F:$BZ,MATCH($H46,英雄装备!$F:$F,0),MATCH(I$2,英雄装备!$1:$1,0)-1),装备属性!$A:$C,3,0),VLOOKUP(INDEX(英雄装备!$F:$BZ,MATCH($H46,英雄装备!$F:$F,0),MATCH(I$2,英雄装备!$1:$1,0)),装备属性!$A:$C,3,0))</f>
        <v>2</v>
      </c>
      <c r="J46" s="51">
        <f>MAX(VLOOKUP(INDEX(英雄装备!$F:$BZ,MATCH($H46,英雄装备!$F:$F,0),MATCH(J$2,英雄装备!$1:$1,0)-5),装备属性!$A:$C,3,0),VLOOKUP(INDEX(英雄装备!$F:$BZ,MATCH($H46,英雄装备!$F:$F,0),MATCH(J$2,英雄装备!$1:$1,0)-4),装备属性!$A:$C,3,0),VLOOKUP(INDEX(英雄装备!$F:$BZ,MATCH($H46,英雄装备!$F:$F,0),MATCH(J$2,英雄装备!$1:$1,0)-3),装备属性!$A:$C,3,0),VLOOKUP(INDEX(英雄装备!$F:$BZ,MATCH($H46,英雄装备!$F:$F,0),MATCH(J$2,英雄装备!$1:$1,0)-2),装备属性!$A:$C,3,0),VLOOKUP(INDEX(英雄装备!$F:$BZ,MATCH($H46,英雄装备!$F:$F,0),MATCH(J$2,英雄装备!$1:$1,0)-1),装备属性!$A:$C,3,0),VLOOKUP(INDEX(英雄装备!$F:$BZ,MATCH($H46,英雄装备!$F:$F,0),MATCH(J$2,英雄装备!$1:$1,0)),装备属性!$A:$C,3,0))</f>
        <v>11</v>
      </c>
      <c r="K46" s="51">
        <f>MAX(VLOOKUP(INDEX(英雄装备!$F:$BZ,MATCH($H46,英雄装备!$F:$F,0),MATCH(K$2,英雄装备!$1:$1,0)-5),装备属性!$A:$C,3,0),VLOOKUP(INDEX(英雄装备!$F:$BZ,MATCH($H46,英雄装备!$F:$F,0),MATCH(K$2,英雄装备!$1:$1,0)-4),装备属性!$A:$C,3,0),VLOOKUP(INDEX(英雄装备!$F:$BZ,MATCH($H46,英雄装备!$F:$F,0),MATCH(K$2,英雄装备!$1:$1,0)-3),装备属性!$A:$C,3,0),VLOOKUP(INDEX(英雄装备!$F:$BZ,MATCH($H46,英雄装备!$F:$F,0),MATCH(K$2,英雄装备!$1:$1,0)-2),装备属性!$A:$C,3,0),VLOOKUP(INDEX(英雄装备!$F:$BZ,MATCH($H46,英雄装备!$F:$F,0),MATCH(K$2,英雄装备!$1:$1,0)-1),装备属性!$A:$C,3,0),VLOOKUP(INDEX(英雄装备!$F:$BZ,MATCH($H46,英雄装备!$F:$F,0),MATCH(K$2,英雄装备!$1:$1,0)),装备属性!$A:$C,3,0))</f>
        <v>21</v>
      </c>
      <c r="L46" s="51">
        <f>MAX(VLOOKUP(INDEX(英雄装备!$F:$BZ,MATCH($H46,英雄装备!$F:$F,0),MATCH(L$2,英雄装备!$1:$1,0)-5),装备属性!$A:$C,3,0),VLOOKUP(INDEX(英雄装备!$F:$BZ,MATCH($H46,英雄装备!$F:$F,0),MATCH(L$2,英雄装备!$1:$1,0)-4),装备属性!$A:$C,3,0),VLOOKUP(INDEX(英雄装备!$F:$BZ,MATCH($H46,英雄装备!$F:$F,0),MATCH(L$2,英雄装备!$1:$1,0)-3),装备属性!$A:$C,3,0),VLOOKUP(INDEX(英雄装备!$F:$BZ,MATCH($H46,英雄装备!$F:$F,0),MATCH(L$2,英雄装备!$1:$1,0)-2),装备属性!$A:$C,3,0),VLOOKUP(INDEX(英雄装备!$F:$BZ,MATCH($H46,英雄装备!$F:$F,0),MATCH(L$2,英雄装备!$1:$1,0)-1),装备属性!$A:$C,3,0),VLOOKUP(INDEX(英雄装备!$F:$BZ,MATCH($H46,英雄装备!$F:$F,0),MATCH(L$2,英雄装备!$1:$1,0)),装备属性!$A:$C,3,0))</f>
        <v>35</v>
      </c>
      <c r="M46" s="51">
        <f>MAX(VLOOKUP(INDEX(英雄装备!$F:$BZ,MATCH($H46,英雄装备!$F:$F,0),MATCH(M$2,英雄装备!$1:$1,0)-5),装备属性!$A:$C,3,0),VLOOKUP(INDEX(英雄装备!$F:$BZ,MATCH($H46,英雄装备!$F:$F,0),MATCH(M$2,英雄装备!$1:$1,0)-4),装备属性!$A:$C,3,0),VLOOKUP(INDEX(英雄装备!$F:$BZ,MATCH($H46,英雄装备!$F:$F,0),MATCH(M$2,英雄装备!$1:$1,0)-3),装备属性!$A:$C,3,0),VLOOKUP(INDEX(英雄装备!$F:$BZ,MATCH($H46,英雄装备!$F:$F,0),MATCH(M$2,英雄装备!$1:$1,0)-2),装备属性!$A:$C,3,0),VLOOKUP(INDEX(英雄装备!$F:$BZ,MATCH($H46,英雄装备!$F:$F,0),MATCH(M$2,英雄装备!$1:$1,0)-1),装备属性!$A:$C,3,0),VLOOKUP(INDEX(英雄装备!$F:$BZ,MATCH($H46,英雄装备!$F:$F,0),MATCH(M$2,英雄装备!$1:$1,0)),装备属性!$A:$C,3,0))</f>
        <v>41</v>
      </c>
      <c r="N46" s="51">
        <f>MAX(VLOOKUP(INDEX(英雄装备!$F:$BZ,MATCH($H46,英雄装备!$F:$F,0),MATCH(N$2,英雄装备!$1:$1,0)-5),装备属性!$A:$C,3,0),VLOOKUP(INDEX(英雄装备!$F:$BZ,MATCH($H46,英雄装备!$F:$F,0),MATCH(N$2,英雄装备!$1:$1,0)-4),装备属性!$A:$C,3,0),VLOOKUP(INDEX(英雄装备!$F:$BZ,MATCH($H46,英雄装备!$F:$F,0),MATCH(N$2,英雄装备!$1:$1,0)-3),装备属性!$A:$C,3,0),VLOOKUP(INDEX(英雄装备!$F:$BZ,MATCH($H46,英雄装备!$F:$F,0),MATCH(N$2,英雄装备!$1:$1,0)-2),装备属性!$A:$C,3,0),VLOOKUP(INDEX(英雄装备!$F:$BZ,MATCH($H46,英雄装备!$F:$F,0),MATCH(N$2,英雄装备!$1:$1,0)-1),装备属性!$A:$C,3,0),VLOOKUP(INDEX(英雄装备!$F:$BZ,MATCH($H46,英雄装备!$F:$F,0),MATCH(N$2,英雄装备!$1:$1,0)),装备属性!$A:$C,3,0))</f>
        <v>52</v>
      </c>
      <c r="O46" s="51">
        <f>MAX(VLOOKUP(INDEX(英雄装备!$F:$BZ,MATCH($H46,英雄装备!$F:$F,0),MATCH(O$2,英雄装备!$1:$1,0)-5),装备属性!$A:$C,3,0),VLOOKUP(INDEX(英雄装备!$F:$BZ,MATCH($H46,英雄装备!$F:$F,0),MATCH(O$2,英雄装备!$1:$1,0)-4),装备属性!$A:$C,3,0),VLOOKUP(INDEX(英雄装备!$F:$BZ,MATCH($H46,英雄装备!$F:$F,0),MATCH(O$2,英雄装备!$1:$1,0)-3),装备属性!$A:$C,3,0),VLOOKUP(INDEX(英雄装备!$F:$BZ,MATCH($H46,英雄装备!$F:$F,0),MATCH(O$2,英雄装备!$1:$1,0)-2),装备属性!$A:$C,3,0),VLOOKUP(INDEX(英雄装备!$F:$BZ,MATCH($H46,英雄装备!$F:$F,0),MATCH(O$2,英雄装备!$1:$1,0)-1),装备属性!$A:$C,3,0),VLOOKUP(INDEX(英雄装备!$F:$BZ,MATCH($H46,英雄装备!$F:$F,0),MATCH(O$2,英雄装备!$1:$1,0)),装备属性!$A:$C,3,0))</f>
        <v>62</v>
      </c>
      <c r="P46" s="51">
        <f>MAX(VLOOKUP(INDEX(英雄装备!$F:$BZ,MATCH($H46,英雄装备!$F:$F,0),MATCH(P$2,英雄装备!$1:$1,0)-5),装备属性!$A:$C,3,0),VLOOKUP(INDEX(英雄装备!$F:$BZ,MATCH($H46,英雄装备!$F:$F,0),MATCH(P$2,英雄装备!$1:$1,0)-4),装备属性!$A:$C,3,0),VLOOKUP(INDEX(英雄装备!$F:$BZ,MATCH($H46,英雄装备!$F:$F,0),MATCH(P$2,英雄装备!$1:$1,0)-3),装备属性!$A:$C,3,0),VLOOKUP(INDEX(英雄装备!$F:$BZ,MATCH($H46,英雄装备!$F:$F,0),MATCH(P$2,英雄装备!$1:$1,0)-2),装备属性!$A:$C,3,0),VLOOKUP(INDEX(英雄装备!$F:$BZ,MATCH($H46,英雄装备!$F:$F,0),MATCH(P$2,英雄装备!$1:$1,0)-1),装备属性!$A:$C,3,0),VLOOKUP(INDEX(英雄装备!$F:$BZ,MATCH($H46,英雄装备!$F:$F,0),MATCH(P$2,英雄装备!$1:$1,0)),装备属性!$A:$C,3,0))</f>
        <v>72</v>
      </c>
      <c r="Q46" s="51">
        <f>MAX(VLOOKUP(INDEX(英雄装备!$F:$BZ,MATCH($H46,英雄装备!$F:$F,0),MATCH(Q$2,英雄装备!$1:$1,0)-5),装备属性!$A:$C,3,0),VLOOKUP(INDEX(英雄装备!$F:$BZ,MATCH($H46,英雄装备!$F:$F,0),MATCH(Q$2,英雄装备!$1:$1,0)-4),装备属性!$A:$C,3,0),VLOOKUP(INDEX(英雄装备!$F:$BZ,MATCH($H46,英雄装备!$F:$F,0),MATCH(Q$2,英雄装备!$1:$1,0)-3),装备属性!$A:$C,3,0),VLOOKUP(INDEX(英雄装备!$F:$BZ,MATCH($H46,英雄装备!$F:$F,0),MATCH(Q$2,英雄装备!$1:$1,0)-2),装备属性!$A:$C,3,0),VLOOKUP(INDEX(英雄装备!$F:$BZ,MATCH($H46,英雄装备!$F:$F,0),MATCH(Q$2,英雄装备!$1:$1,0)-1),装备属性!$A:$C,3,0),VLOOKUP(INDEX(英雄装备!$F:$BZ,MATCH($H46,英雄装备!$F:$F,0),MATCH(Q$2,英雄装备!$1:$1,0)),装备属性!$A:$C,3,0))</f>
        <v>77</v>
      </c>
      <c r="R46" s="51">
        <f>MAX(VLOOKUP(INDEX(英雄装备!$F:$BZ,MATCH($H46,英雄装备!$F:$F,0),MATCH(R$2,英雄装备!$1:$1,0)-5),装备属性!$A:$C,3,0),VLOOKUP(INDEX(英雄装备!$F:$BZ,MATCH($H46,英雄装备!$F:$F,0),MATCH(R$2,英雄装备!$1:$1,0)-4),装备属性!$A:$C,3,0),VLOOKUP(INDEX(英雄装备!$F:$BZ,MATCH($H46,英雄装备!$F:$F,0),MATCH(R$2,英雄装备!$1:$1,0)-3),装备属性!$A:$C,3,0),VLOOKUP(INDEX(英雄装备!$F:$BZ,MATCH($H46,英雄装备!$F:$F,0),MATCH(R$2,英雄装备!$1:$1,0)-2),装备属性!$A:$C,3,0),VLOOKUP(INDEX(英雄装备!$F:$BZ,MATCH($H46,英雄装备!$F:$F,0),MATCH(R$2,英雄装备!$1:$1,0)-1),装备属性!$A:$C,3,0),VLOOKUP(INDEX(英雄装备!$F:$BZ,MATCH($H46,英雄装备!$F:$F,0),MATCH(R$2,英雄装备!$1:$1,0)),装备属性!$A:$C,3,0))</f>
        <v>70</v>
      </c>
      <c r="S46" s="51">
        <f>MAX(VLOOKUP(INDEX(英雄装备!$F:$BZ,MATCH($H46,英雄装备!$F:$F,0),MATCH(S$2,英雄装备!$1:$1,0)-5),装备属性!$A:$C,3,0),VLOOKUP(INDEX(英雄装备!$F:$BZ,MATCH($H46,英雄装备!$F:$F,0),MATCH(S$2,英雄装备!$1:$1,0)-4),装备属性!$A:$C,3,0),VLOOKUP(INDEX(英雄装备!$F:$BZ,MATCH($H46,英雄装备!$F:$F,0),MATCH(S$2,英雄装备!$1:$1,0)-3),装备属性!$A:$C,3,0),VLOOKUP(INDEX(英雄装备!$F:$BZ,MATCH($H46,英雄装备!$F:$F,0),MATCH(S$2,英雄装备!$1:$1,0)-2),装备属性!$A:$C,3,0),VLOOKUP(INDEX(英雄装备!$F:$BZ,MATCH($H46,英雄装备!$F:$F,0),MATCH(S$2,英雄装备!$1:$1,0)-1),装备属性!$A:$C,3,0),VLOOKUP(INDEX(英雄装备!$F:$BZ,MATCH($H46,英雄装备!$F:$F,0),MATCH(S$2,英雄装备!$1:$1,0)),装备属性!$A:$C,3,0))</f>
        <v>84</v>
      </c>
      <c r="T46" s="51">
        <f>MAX(VLOOKUP(INDEX(英雄装备!$F:$BZ,MATCH($H46,英雄装备!$F:$F,0),MATCH(T$2,英雄装备!$1:$1,0)-5),装备属性!$A:$C,3,0),VLOOKUP(INDEX(英雄装备!$F:$BZ,MATCH($H46,英雄装备!$F:$F,0),MATCH(T$2,英雄装备!$1:$1,0)-4),装备属性!$A:$C,3,0),VLOOKUP(INDEX(英雄装备!$F:$BZ,MATCH($H46,英雄装备!$F:$F,0),MATCH(T$2,英雄装备!$1:$1,0)-3),装备属性!$A:$C,3,0),VLOOKUP(INDEX(英雄装备!$F:$BZ,MATCH($H46,英雄装备!$F:$F,0),MATCH(T$2,英雄装备!$1:$1,0)-2),装备属性!$A:$C,3,0),VLOOKUP(INDEX(英雄装备!$F:$BZ,MATCH($H46,英雄装备!$F:$F,0),MATCH(T$2,英雄装备!$1:$1,0)-1),装备属性!$A:$C,3,0))</f>
        <v>88</v>
      </c>
      <c r="V46" s="151">
        <v>5</v>
      </c>
      <c r="W46" s="151" t="str">
        <f>IF($V$2&lt;5,"","蓝+1")</f>
        <v>蓝+1</v>
      </c>
      <c r="X46" s="151" t="str">
        <f t="shared" si="6"/>
        <v>碎骨锤</v>
      </c>
      <c r="Y46" s="151" t="str">
        <f t="shared" si="6"/>
        <v>黑黄</v>
      </c>
      <c r="Z46" s="151" t="str">
        <f t="shared" si="6"/>
        <v>散华</v>
      </c>
      <c r="AA46" s="151" t="str">
        <f t="shared" si="6"/>
        <v>魔抗头巾</v>
      </c>
      <c r="AB46" s="151" t="str">
        <f t="shared" si="6"/>
        <v>天鹰之戒</v>
      </c>
      <c r="AC46" s="151" t="str">
        <f t="shared" si="6"/>
        <v>相位鞋</v>
      </c>
      <c r="AF46" s="151">
        <v>4</v>
      </c>
      <c r="AG46" s="151" t="str">
        <f>AC4</f>
        <v>相位鞋</v>
      </c>
      <c r="AH46" s="151">
        <f>VLOOKUP($AG46,装备属性!$A:$Y,5,0)</f>
        <v>9</v>
      </c>
      <c r="AI46" s="151">
        <f>VLOOKUP($AG46,装备属性!$A:$Y,6,0)</f>
        <v>9</v>
      </c>
      <c r="AJ46" s="151">
        <f>VLOOKUP($AG46,装备属性!$A:$Y,7,0)</f>
        <v>9</v>
      </c>
      <c r="AK46" s="151">
        <f>VLOOKUP($AG46,装备属性!$A:$Y,8,0)</f>
        <v>0</v>
      </c>
      <c r="AL46" s="151">
        <f>VLOOKUP($AG46,装备属性!$A:$Y,9,0)</f>
        <v>24</v>
      </c>
      <c r="AM46" s="151">
        <f>VLOOKUP($AG46,装备属性!$A:$Y,10,0)</f>
        <v>0</v>
      </c>
      <c r="AN46" s="151">
        <f>VLOOKUP($AG46,装备属性!$A:$Y,11,0)</f>
        <v>0</v>
      </c>
      <c r="AO46" s="151">
        <f>VLOOKUP($AG46,装备属性!$A:$Y,12,0)</f>
        <v>0</v>
      </c>
      <c r="AP46" s="151">
        <f>VLOOKUP($AG46,装备属性!$A:$Y,13,0)</f>
        <v>0</v>
      </c>
      <c r="AQ46" s="151">
        <f>VLOOKUP($AG46,装备属性!$A:$Y,14,0)</f>
        <v>0</v>
      </c>
      <c r="AR46" s="151">
        <f>VLOOKUP($AG46,装备属性!$A:$Y,15,0)</f>
        <v>0</v>
      </c>
      <c r="AS46" s="151">
        <f>VLOOKUP($AG46,装备属性!$A:$Y,16,0)</f>
        <v>0</v>
      </c>
      <c r="AT46" s="151">
        <f>VLOOKUP($AG46,装备属性!$A:$Y,17,0)</f>
        <v>0</v>
      </c>
      <c r="AU46" s="151">
        <f>VLOOKUP($AG46,装备属性!$A:$Y,18,0)</f>
        <v>0</v>
      </c>
      <c r="AV46" s="151">
        <f>VLOOKUP($AG46,装备属性!$A:$Y,19,0)</f>
        <v>0</v>
      </c>
      <c r="AW46" s="151">
        <f>VLOOKUP($AG46,装备属性!$A:$Y,20,0)</f>
        <v>0</v>
      </c>
      <c r="AX46" s="151">
        <f>VLOOKUP($AG46,装备属性!$A:$Y,21,0)</f>
        <v>0</v>
      </c>
      <c r="AY46" s="151">
        <f>VLOOKUP($AG46,装备属性!$A:$Y,22,0)</f>
        <v>0</v>
      </c>
      <c r="AZ46" s="151">
        <f>VLOOKUP($AG46,装备属性!$A:$Y,23,0)</f>
        <v>0</v>
      </c>
      <c r="BA46" s="151">
        <f>VLOOKUP($AG46,装备属性!$A:$Y,24,0)</f>
        <v>0</v>
      </c>
      <c r="BB46" s="151">
        <f>VLOOKUP($AG46,装备属性!$A:$Y,25,0)</f>
        <v>0</v>
      </c>
    </row>
    <row r="47" spans="2:54">
      <c r="B47" s="151" t="s">
        <v>1306</v>
      </c>
      <c r="H47" s="54" t="s">
        <v>200</v>
      </c>
      <c r="I47" s="51">
        <f>MAX(VLOOKUP(INDEX(英雄装备!$F:$BZ,MATCH($H47,英雄装备!$F:$F,0),MATCH(I$2,英雄装备!$1:$1,0)-5),装备属性!$A:$C,3,0),VLOOKUP(INDEX(英雄装备!$F:$BZ,MATCH($H47,英雄装备!$F:$F,0),MATCH(I$2,英雄装备!$1:$1,0)-4),装备属性!$A:$C,3,0),VLOOKUP(INDEX(英雄装备!$F:$BZ,MATCH($H47,英雄装备!$F:$F,0),MATCH(I$2,英雄装备!$1:$1,0)-3),装备属性!$A:$C,3,0),VLOOKUP(INDEX(英雄装备!$F:$BZ,MATCH($H47,英雄装备!$F:$F,0),MATCH(I$2,英雄装备!$1:$1,0)-2),装备属性!$A:$C,3,0),VLOOKUP(INDEX(英雄装备!$F:$BZ,MATCH($H47,英雄装备!$F:$F,0),MATCH(I$2,英雄装备!$1:$1,0)-1),装备属性!$A:$C,3,0),VLOOKUP(INDEX(英雄装备!$F:$BZ,MATCH($H47,英雄装备!$F:$F,0),MATCH(I$2,英雄装备!$1:$1,0)),装备属性!$A:$C,3,0))</f>
        <v>2</v>
      </c>
      <c r="J47" s="51">
        <f>MAX(VLOOKUP(INDEX(英雄装备!$F:$BZ,MATCH($H47,英雄装备!$F:$F,0),MATCH(J$2,英雄装备!$1:$1,0)-5),装备属性!$A:$C,3,0),VLOOKUP(INDEX(英雄装备!$F:$BZ,MATCH($H47,英雄装备!$F:$F,0),MATCH(J$2,英雄装备!$1:$1,0)-4),装备属性!$A:$C,3,0),VLOOKUP(INDEX(英雄装备!$F:$BZ,MATCH($H47,英雄装备!$F:$F,0),MATCH(J$2,英雄装备!$1:$1,0)-3),装备属性!$A:$C,3,0),VLOOKUP(INDEX(英雄装备!$F:$BZ,MATCH($H47,英雄装备!$F:$F,0),MATCH(J$2,英雄装备!$1:$1,0)-2),装备属性!$A:$C,3,0),VLOOKUP(INDEX(英雄装备!$F:$BZ,MATCH($H47,英雄装备!$F:$F,0),MATCH(J$2,英雄装备!$1:$1,0)-1),装备属性!$A:$C,3,0),VLOOKUP(INDEX(英雄装备!$F:$BZ,MATCH($H47,英雄装备!$F:$F,0),MATCH(J$2,英雄装备!$1:$1,0)),装备属性!$A:$C,3,0))</f>
        <v>10</v>
      </c>
      <c r="K47" s="51">
        <f>MAX(VLOOKUP(INDEX(英雄装备!$F:$BZ,MATCH($H47,英雄装备!$F:$F,0),MATCH(K$2,英雄装备!$1:$1,0)-5),装备属性!$A:$C,3,0),VLOOKUP(INDEX(英雄装备!$F:$BZ,MATCH($H47,英雄装备!$F:$F,0),MATCH(K$2,英雄装备!$1:$1,0)-4),装备属性!$A:$C,3,0),VLOOKUP(INDEX(英雄装备!$F:$BZ,MATCH($H47,英雄装备!$F:$F,0),MATCH(K$2,英雄装备!$1:$1,0)-3),装备属性!$A:$C,3,0),VLOOKUP(INDEX(英雄装备!$F:$BZ,MATCH($H47,英雄装备!$F:$F,0),MATCH(K$2,英雄装备!$1:$1,0)-2),装备属性!$A:$C,3,0),VLOOKUP(INDEX(英雄装备!$F:$BZ,MATCH($H47,英雄装备!$F:$F,0),MATCH(K$2,英雄装备!$1:$1,0)-1),装备属性!$A:$C,3,0),VLOOKUP(INDEX(英雄装备!$F:$BZ,MATCH($H47,英雄装备!$F:$F,0),MATCH(K$2,英雄装备!$1:$1,0)),装备属性!$A:$C,3,0))</f>
        <v>20</v>
      </c>
      <c r="L47" s="51">
        <f>MAX(VLOOKUP(INDEX(英雄装备!$F:$BZ,MATCH($H47,英雄装备!$F:$F,0),MATCH(L$2,英雄装备!$1:$1,0)-5),装备属性!$A:$C,3,0),VLOOKUP(INDEX(英雄装备!$F:$BZ,MATCH($H47,英雄装备!$F:$F,0),MATCH(L$2,英雄装备!$1:$1,0)-4),装备属性!$A:$C,3,0),VLOOKUP(INDEX(英雄装备!$F:$BZ,MATCH($H47,英雄装备!$F:$F,0),MATCH(L$2,英雄装备!$1:$1,0)-3),装备属性!$A:$C,3,0),VLOOKUP(INDEX(英雄装备!$F:$BZ,MATCH($H47,英雄装备!$F:$F,0),MATCH(L$2,英雄装备!$1:$1,0)-2),装备属性!$A:$C,3,0),VLOOKUP(INDEX(英雄装备!$F:$BZ,MATCH($H47,英雄装备!$F:$F,0),MATCH(L$2,英雄装备!$1:$1,0)-1),装备属性!$A:$C,3,0),VLOOKUP(INDEX(英雄装备!$F:$BZ,MATCH($H47,英雄装备!$F:$F,0),MATCH(L$2,英雄装备!$1:$1,0)),装备属性!$A:$C,3,0))</f>
        <v>33</v>
      </c>
      <c r="M47" s="51">
        <f>MAX(VLOOKUP(INDEX(英雄装备!$F:$BZ,MATCH($H47,英雄装备!$F:$F,0),MATCH(M$2,英雄装备!$1:$1,0)-5),装备属性!$A:$C,3,0),VLOOKUP(INDEX(英雄装备!$F:$BZ,MATCH($H47,英雄装备!$F:$F,0),MATCH(M$2,英雄装备!$1:$1,0)-4),装备属性!$A:$C,3,0),VLOOKUP(INDEX(英雄装备!$F:$BZ,MATCH($H47,英雄装备!$F:$F,0),MATCH(M$2,英雄装备!$1:$1,0)-3),装备属性!$A:$C,3,0),VLOOKUP(INDEX(英雄装备!$F:$BZ,MATCH($H47,英雄装备!$F:$F,0),MATCH(M$2,英雄装备!$1:$1,0)-2),装备属性!$A:$C,3,0),VLOOKUP(INDEX(英雄装备!$F:$BZ,MATCH($H47,英雄装备!$F:$F,0),MATCH(M$2,英雄装备!$1:$1,0)-1),装备属性!$A:$C,3,0),VLOOKUP(INDEX(英雄装备!$F:$BZ,MATCH($H47,英雄装备!$F:$F,0),MATCH(M$2,英雄装备!$1:$1,0)),装备属性!$A:$C,3,0))</f>
        <v>34</v>
      </c>
      <c r="N47" s="51">
        <f>MAX(VLOOKUP(INDEX(英雄装备!$F:$BZ,MATCH($H47,英雄装备!$F:$F,0),MATCH(N$2,英雄装备!$1:$1,0)-5),装备属性!$A:$C,3,0),VLOOKUP(INDEX(英雄装备!$F:$BZ,MATCH($H47,英雄装备!$F:$F,0),MATCH(N$2,英雄装备!$1:$1,0)-4),装备属性!$A:$C,3,0),VLOOKUP(INDEX(英雄装备!$F:$BZ,MATCH($H47,英雄装备!$F:$F,0),MATCH(N$2,英雄装备!$1:$1,0)-3),装备属性!$A:$C,3,0),VLOOKUP(INDEX(英雄装备!$F:$BZ,MATCH($H47,英雄装备!$F:$F,0),MATCH(N$2,英雄装备!$1:$1,0)-2),装备属性!$A:$C,3,0),VLOOKUP(INDEX(英雄装备!$F:$BZ,MATCH($H47,英雄装备!$F:$F,0),MATCH(N$2,英雄装备!$1:$1,0)-1),装备属性!$A:$C,3,0),VLOOKUP(INDEX(英雄装备!$F:$BZ,MATCH($H47,英雄装备!$F:$F,0),MATCH(N$2,英雄装备!$1:$1,0)),装备属性!$A:$C,3,0))</f>
        <v>53</v>
      </c>
      <c r="O47" s="51">
        <f>MAX(VLOOKUP(INDEX(英雄装备!$F:$BZ,MATCH($H47,英雄装备!$F:$F,0),MATCH(O$2,英雄装备!$1:$1,0)-5),装备属性!$A:$C,3,0),VLOOKUP(INDEX(英雄装备!$F:$BZ,MATCH($H47,英雄装备!$F:$F,0),MATCH(O$2,英雄装备!$1:$1,0)-4),装备属性!$A:$C,3,0),VLOOKUP(INDEX(英雄装备!$F:$BZ,MATCH($H47,英雄装备!$F:$F,0),MATCH(O$2,英雄装备!$1:$1,0)-3),装备属性!$A:$C,3,0),VLOOKUP(INDEX(英雄装备!$F:$BZ,MATCH($H47,英雄装备!$F:$F,0),MATCH(O$2,英雄装备!$1:$1,0)-2),装备属性!$A:$C,3,0),VLOOKUP(INDEX(英雄装备!$F:$BZ,MATCH($H47,英雄装备!$F:$F,0),MATCH(O$2,英雄装备!$1:$1,0)-1),装备属性!$A:$C,3,0),VLOOKUP(INDEX(英雄装备!$F:$BZ,MATCH($H47,英雄装备!$F:$F,0),MATCH(O$2,英雄装备!$1:$1,0)),装备属性!$A:$C,3,0))</f>
        <v>59</v>
      </c>
      <c r="P47" s="51">
        <f>MAX(VLOOKUP(INDEX(英雄装备!$F:$BZ,MATCH($H47,英雄装备!$F:$F,0),MATCH(P$2,英雄装备!$1:$1,0)-5),装备属性!$A:$C,3,0),VLOOKUP(INDEX(英雄装备!$F:$BZ,MATCH($H47,英雄装备!$F:$F,0),MATCH(P$2,英雄装备!$1:$1,0)-4),装备属性!$A:$C,3,0),VLOOKUP(INDEX(英雄装备!$F:$BZ,MATCH($H47,英雄装备!$F:$F,0),MATCH(P$2,英雄装备!$1:$1,0)-3),装备属性!$A:$C,3,0),VLOOKUP(INDEX(英雄装备!$F:$BZ,MATCH($H47,英雄装备!$F:$F,0),MATCH(P$2,英雄装备!$1:$1,0)-2),装备属性!$A:$C,3,0),VLOOKUP(INDEX(英雄装备!$F:$BZ,MATCH($H47,英雄装备!$F:$F,0),MATCH(P$2,英雄装备!$1:$1,0)-1),装备属性!$A:$C,3,0),VLOOKUP(INDEX(英雄装备!$F:$BZ,MATCH($H47,英雄装备!$F:$F,0),MATCH(P$2,英雄装备!$1:$1,0)),装备属性!$A:$C,3,0))</f>
        <v>70</v>
      </c>
      <c r="Q47" s="51">
        <f>MAX(VLOOKUP(INDEX(英雄装备!$F:$BZ,MATCH($H47,英雄装备!$F:$F,0),MATCH(Q$2,英雄装备!$1:$1,0)-5),装备属性!$A:$C,3,0),VLOOKUP(INDEX(英雄装备!$F:$BZ,MATCH($H47,英雄装备!$F:$F,0),MATCH(Q$2,英雄装备!$1:$1,0)-4),装备属性!$A:$C,3,0),VLOOKUP(INDEX(英雄装备!$F:$BZ,MATCH($H47,英雄装备!$F:$F,0),MATCH(Q$2,英雄装备!$1:$1,0)-3),装备属性!$A:$C,3,0),VLOOKUP(INDEX(英雄装备!$F:$BZ,MATCH($H47,英雄装备!$F:$F,0),MATCH(Q$2,英雄装备!$1:$1,0)-2),装备属性!$A:$C,3,0),VLOOKUP(INDEX(英雄装备!$F:$BZ,MATCH($H47,英雄装备!$F:$F,0),MATCH(Q$2,英雄装备!$1:$1,0)-1),装备属性!$A:$C,3,0),VLOOKUP(INDEX(英雄装备!$F:$BZ,MATCH($H47,英雄装备!$F:$F,0),MATCH(Q$2,英雄装备!$1:$1,0)),装备属性!$A:$C,3,0))</f>
        <v>78</v>
      </c>
      <c r="R47" s="51">
        <f>MAX(VLOOKUP(INDEX(英雄装备!$F:$BZ,MATCH($H47,英雄装备!$F:$F,0),MATCH(R$2,英雄装备!$1:$1,0)-5),装备属性!$A:$C,3,0),VLOOKUP(INDEX(英雄装备!$F:$BZ,MATCH($H47,英雄装备!$F:$F,0),MATCH(R$2,英雄装备!$1:$1,0)-4),装备属性!$A:$C,3,0),VLOOKUP(INDEX(英雄装备!$F:$BZ,MATCH($H47,英雄装备!$F:$F,0),MATCH(R$2,英雄装备!$1:$1,0)-3),装备属性!$A:$C,3,0),VLOOKUP(INDEX(英雄装备!$F:$BZ,MATCH($H47,英雄装备!$F:$F,0),MATCH(R$2,英雄装备!$1:$1,0)-2),装备属性!$A:$C,3,0),VLOOKUP(INDEX(英雄装备!$F:$BZ,MATCH($H47,英雄装备!$F:$F,0),MATCH(R$2,英雄装备!$1:$1,0)-1),装备属性!$A:$C,3,0),VLOOKUP(INDEX(英雄装备!$F:$BZ,MATCH($H47,英雄装备!$F:$F,0),MATCH(R$2,英雄装备!$1:$1,0)),装备属性!$A:$C,3,0))</f>
        <v>80</v>
      </c>
      <c r="S47" s="51">
        <f>MAX(VLOOKUP(INDEX(英雄装备!$F:$BZ,MATCH($H47,英雄装备!$F:$F,0),MATCH(S$2,英雄装备!$1:$1,0)-5),装备属性!$A:$C,3,0),VLOOKUP(INDEX(英雄装备!$F:$BZ,MATCH($H47,英雄装备!$F:$F,0),MATCH(S$2,英雄装备!$1:$1,0)-4),装备属性!$A:$C,3,0),VLOOKUP(INDEX(英雄装备!$F:$BZ,MATCH($H47,英雄装备!$F:$F,0),MATCH(S$2,英雄装备!$1:$1,0)-3),装备属性!$A:$C,3,0),VLOOKUP(INDEX(英雄装备!$F:$BZ,MATCH($H47,英雄装备!$F:$F,0),MATCH(S$2,英雄装备!$1:$1,0)-2),装备属性!$A:$C,3,0),VLOOKUP(INDEX(英雄装备!$F:$BZ,MATCH($H47,英雄装备!$F:$F,0),MATCH(S$2,英雄装备!$1:$1,0)-1),装备属性!$A:$C,3,0),VLOOKUP(INDEX(英雄装备!$F:$BZ,MATCH($H47,英雄装备!$F:$F,0),MATCH(S$2,英雄装备!$1:$1,0)),装备属性!$A:$C,3,0))</f>
        <v>85</v>
      </c>
      <c r="T47" s="51">
        <f>MAX(VLOOKUP(INDEX(英雄装备!$F:$BZ,MATCH($H47,英雄装备!$F:$F,0),MATCH(T$2,英雄装备!$1:$1,0)-5),装备属性!$A:$C,3,0),VLOOKUP(INDEX(英雄装备!$F:$BZ,MATCH($H47,英雄装备!$F:$F,0),MATCH(T$2,英雄装备!$1:$1,0)-4),装备属性!$A:$C,3,0),VLOOKUP(INDEX(英雄装备!$F:$BZ,MATCH($H47,英雄装备!$F:$F,0),MATCH(T$2,英雄装备!$1:$1,0)-3),装备属性!$A:$C,3,0),VLOOKUP(INDEX(英雄装备!$F:$BZ,MATCH($H47,英雄装备!$F:$F,0),MATCH(T$2,英雄装备!$1:$1,0)-2),装备属性!$A:$C,3,0),VLOOKUP(INDEX(英雄装备!$F:$BZ,MATCH($H47,英雄装备!$F:$F,0),MATCH(T$2,英雄装备!$1:$1,0)-1),装备属性!$A:$C,3,0))</f>
        <v>88</v>
      </c>
      <c r="V47" s="151">
        <v>6</v>
      </c>
      <c r="W47" s="151" t="str">
        <f>IF($V$2&lt;6,"","蓝+2")</f>
        <v>蓝+2</v>
      </c>
      <c r="X47" s="151" t="str">
        <f t="shared" si="6"/>
        <v>分身斧</v>
      </c>
      <c r="Y47" s="151" t="str">
        <f t="shared" si="6"/>
        <v>暗灭</v>
      </c>
      <c r="Z47" s="151" t="str">
        <f t="shared" si="6"/>
        <v>双刀</v>
      </c>
      <c r="AA47" s="151" t="str">
        <f t="shared" si="6"/>
        <v>板甲</v>
      </c>
      <c r="AB47" s="151" t="str">
        <f t="shared" si="6"/>
        <v>祭品</v>
      </c>
      <c r="AC47" s="151" t="str">
        <f t="shared" si="6"/>
        <v>相位鞋</v>
      </c>
      <c r="AF47" s="151">
        <v>5</v>
      </c>
      <c r="AG47" s="151" t="str">
        <f>X5</f>
        <v>碎骨锤</v>
      </c>
      <c r="AH47" s="151">
        <f>VLOOKUP($AG47,装备属性!$A:$Y,5,0)</f>
        <v>3</v>
      </c>
      <c r="AI47" s="151">
        <f>VLOOKUP($AG47,装备属性!$A:$Y,6,0)</f>
        <v>0</v>
      </c>
      <c r="AJ47" s="151">
        <f>VLOOKUP($AG47,装备属性!$A:$Y,7,0)</f>
        <v>0</v>
      </c>
      <c r="AK47" s="151">
        <f>VLOOKUP($AG47,装备属性!$A:$Y,8,0)</f>
        <v>0</v>
      </c>
      <c r="AL47" s="151">
        <f>VLOOKUP($AG47,装备属性!$A:$Y,9,0)</f>
        <v>40</v>
      </c>
      <c r="AM47" s="151">
        <f>VLOOKUP($AG47,装备属性!$A:$Y,10,0)</f>
        <v>0</v>
      </c>
      <c r="AN47" s="151">
        <f>VLOOKUP($AG47,装备属性!$A:$Y,11,0)</f>
        <v>0</v>
      </c>
      <c r="AO47" s="151">
        <f>VLOOKUP($AG47,装备属性!$A:$Y,12,0)</f>
        <v>0</v>
      </c>
      <c r="AP47" s="151">
        <f>VLOOKUP($AG47,装备属性!$A:$Y,13,0)</f>
        <v>10</v>
      </c>
      <c r="AQ47" s="151">
        <f>VLOOKUP($AG47,装备属性!$A:$Y,14,0)</f>
        <v>0</v>
      </c>
      <c r="AR47" s="151">
        <f>VLOOKUP($AG47,装备属性!$A:$Y,15,0)</f>
        <v>0</v>
      </c>
      <c r="AS47" s="151">
        <f>VLOOKUP($AG47,装备属性!$A:$Y,16,0)</f>
        <v>0</v>
      </c>
      <c r="AT47" s="151">
        <f>VLOOKUP($AG47,装备属性!$A:$Y,17,0)</f>
        <v>0</v>
      </c>
      <c r="AU47" s="151">
        <f>VLOOKUP($AG47,装备属性!$A:$Y,18,0)</f>
        <v>0</v>
      </c>
      <c r="AV47" s="151">
        <f>VLOOKUP($AG47,装备属性!$A:$Y,19,0)</f>
        <v>0</v>
      </c>
      <c r="AW47" s="151">
        <f>VLOOKUP($AG47,装备属性!$A:$Y,20,0)</f>
        <v>0</v>
      </c>
      <c r="AX47" s="151">
        <f>VLOOKUP($AG47,装备属性!$A:$Y,21,0)</f>
        <v>0</v>
      </c>
      <c r="AY47" s="151">
        <f>VLOOKUP($AG47,装备属性!$A:$Y,22,0)</f>
        <v>0</v>
      </c>
      <c r="AZ47" s="151">
        <f>VLOOKUP($AG47,装备属性!$A:$Y,23,0)</f>
        <v>0</v>
      </c>
      <c r="BA47" s="151">
        <f>VLOOKUP($AG47,装备属性!$A:$Y,24,0)</f>
        <v>0</v>
      </c>
      <c r="BB47" s="151">
        <f>VLOOKUP($AG47,装备属性!$A:$Y,25,0)</f>
        <v>0</v>
      </c>
    </row>
    <row r="48" spans="2:54">
      <c r="B48" s="108" t="s">
        <v>1346</v>
      </c>
      <c r="H48" s="54" t="s">
        <v>201</v>
      </c>
      <c r="I48" s="51">
        <f>MAX(VLOOKUP(INDEX(英雄装备!$F:$BZ,MATCH($H48,英雄装备!$F:$F,0),MATCH(I$2,英雄装备!$1:$1,0)-5),装备属性!$A:$C,3,0),VLOOKUP(INDEX(英雄装备!$F:$BZ,MATCH($H48,英雄装备!$F:$F,0),MATCH(I$2,英雄装备!$1:$1,0)-4),装备属性!$A:$C,3,0),VLOOKUP(INDEX(英雄装备!$F:$BZ,MATCH($H48,英雄装备!$F:$F,0),MATCH(I$2,英雄装备!$1:$1,0)-3),装备属性!$A:$C,3,0),VLOOKUP(INDEX(英雄装备!$F:$BZ,MATCH($H48,英雄装备!$F:$F,0),MATCH(I$2,英雄装备!$1:$1,0)-2),装备属性!$A:$C,3,0),VLOOKUP(INDEX(英雄装备!$F:$BZ,MATCH($H48,英雄装备!$F:$F,0),MATCH(I$2,英雄装备!$1:$1,0)-1),装备属性!$A:$C,3,0),VLOOKUP(INDEX(英雄装备!$F:$BZ,MATCH($H48,英雄装备!$F:$F,0),MATCH(I$2,英雄装备!$1:$1,0)),装备属性!$A:$C,3,0))</f>
        <v>2</v>
      </c>
      <c r="J48" s="51">
        <f>MAX(VLOOKUP(INDEX(英雄装备!$F:$BZ,MATCH($H48,英雄装备!$F:$F,0),MATCH(J$2,英雄装备!$1:$1,0)-5),装备属性!$A:$C,3,0),VLOOKUP(INDEX(英雄装备!$F:$BZ,MATCH($H48,英雄装备!$F:$F,0),MATCH(J$2,英雄装备!$1:$1,0)-4),装备属性!$A:$C,3,0),VLOOKUP(INDEX(英雄装备!$F:$BZ,MATCH($H48,英雄装备!$F:$F,0),MATCH(J$2,英雄装备!$1:$1,0)-3),装备属性!$A:$C,3,0),VLOOKUP(INDEX(英雄装备!$F:$BZ,MATCH($H48,英雄装备!$F:$F,0),MATCH(J$2,英雄装备!$1:$1,0)-2),装备属性!$A:$C,3,0),VLOOKUP(INDEX(英雄装备!$F:$BZ,MATCH($H48,英雄装备!$F:$F,0),MATCH(J$2,英雄装备!$1:$1,0)-1),装备属性!$A:$C,3,0),VLOOKUP(INDEX(英雄装备!$F:$BZ,MATCH($H48,英雄装备!$F:$F,0),MATCH(J$2,英雄装备!$1:$1,0)),装备属性!$A:$C,3,0))</f>
        <v>11</v>
      </c>
      <c r="K48" s="51">
        <f>MAX(VLOOKUP(INDEX(英雄装备!$F:$BZ,MATCH($H48,英雄装备!$F:$F,0),MATCH(K$2,英雄装备!$1:$1,0)-5),装备属性!$A:$C,3,0),VLOOKUP(INDEX(英雄装备!$F:$BZ,MATCH($H48,英雄装备!$F:$F,0),MATCH(K$2,英雄装备!$1:$1,0)-4),装备属性!$A:$C,3,0),VLOOKUP(INDEX(英雄装备!$F:$BZ,MATCH($H48,英雄装备!$F:$F,0),MATCH(K$2,英雄装备!$1:$1,0)-3),装备属性!$A:$C,3,0),VLOOKUP(INDEX(英雄装备!$F:$BZ,MATCH($H48,英雄装备!$F:$F,0),MATCH(K$2,英雄装备!$1:$1,0)-2),装备属性!$A:$C,3,0),VLOOKUP(INDEX(英雄装备!$F:$BZ,MATCH($H48,英雄装备!$F:$F,0),MATCH(K$2,英雄装备!$1:$1,0)-1),装备属性!$A:$C,3,0),VLOOKUP(INDEX(英雄装备!$F:$BZ,MATCH($H48,英雄装备!$F:$F,0),MATCH(K$2,英雄装备!$1:$1,0)),装备属性!$A:$C,3,0))</f>
        <v>20</v>
      </c>
      <c r="L48" s="51">
        <f>MAX(VLOOKUP(INDEX(英雄装备!$F:$BZ,MATCH($H48,英雄装备!$F:$F,0),MATCH(L$2,英雄装备!$1:$1,0)-5),装备属性!$A:$C,3,0),VLOOKUP(INDEX(英雄装备!$F:$BZ,MATCH($H48,英雄装备!$F:$F,0),MATCH(L$2,英雄装备!$1:$1,0)-4),装备属性!$A:$C,3,0),VLOOKUP(INDEX(英雄装备!$F:$BZ,MATCH($H48,英雄装备!$F:$F,0),MATCH(L$2,英雄装备!$1:$1,0)-3),装备属性!$A:$C,3,0),VLOOKUP(INDEX(英雄装备!$F:$BZ,MATCH($H48,英雄装备!$F:$F,0),MATCH(L$2,英雄装备!$1:$1,0)-2),装备属性!$A:$C,3,0),VLOOKUP(INDEX(英雄装备!$F:$BZ,MATCH($H48,英雄装备!$F:$F,0),MATCH(L$2,英雄装备!$1:$1,0)-1),装备属性!$A:$C,3,0),VLOOKUP(INDEX(英雄装备!$F:$BZ,MATCH($H48,英雄装备!$F:$F,0),MATCH(L$2,英雄装备!$1:$1,0)),装备属性!$A:$C,3,0))</f>
        <v>35</v>
      </c>
      <c r="M48" s="51">
        <f>MAX(VLOOKUP(INDEX(英雄装备!$F:$BZ,MATCH($H48,英雄装备!$F:$F,0),MATCH(M$2,英雄装备!$1:$1,0)-5),装备属性!$A:$C,3,0),VLOOKUP(INDEX(英雄装备!$F:$BZ,MATCH($H48,英雄装备!$F:$F,0),MATCH(M$2,英雄装备!$1:$1,0)-4),装备属性!$A:$C,3,0),VLOOKUP(INDEX(英雄装备!$F:$BZ,MATCH($H48,英雄装备!$F:$F,0),MATCH(M$2,英雄装备!$1:$1,0)-3),装备属性!$A:$C,3,0),VLOOKUP(INDEX(英雄装备!$F:$BZ,MATCH($H48,英雄装备!$F:$F,0),MATCH(M$2,英雄装备!$1:$1,0)-2),装备属性!$A:$C,3,0),VLOOKUP(INDEX(英雄装备!$F:$BZ,MATCH($H48,英雄装备!$F:$F,0),MATCH(M$2,英雄装备!$1:$1,0)-1),装备属性!$A:$C,3,0),VLOOKUP(INDEX(英雄装备!$F:$BZ,MATCH($H48,英雄装备!$F:$F,0),MATCH(M$2,英雄装备!$1:$1,0)),装备属性!$A:$C,3,0))</f>
        <v>43</v>
      </c>
      <c r="N48" s="51">
        <f>MAX(VLOOKUP(INDEX(英雄装备!$F:$BZ,MATCH($H48,英雄装备!$F:$F,0),MATCH(N$2,英雄装备!$1:$1,0)-5),装备属性!$A:$C,3,0),VLOOKUP(INDEX(英雄装备!$F:$BZ,MATCH($H48,英雄装备!$F:$F,0),MATCH(N$2,英雄装备!$1:$1,0)-4),装备属性!$A:$C,3,0),VLOOKUP(INDEX(英雄装备!$F:$BZ,MATCH($H48,英雄装备!$F:$F,0),MATCH(N$2,英雄装备!$1:$1,0)-3),装备属性!$A:$C,3,0),VLOOKUP(INDEX(英雄装备!$F:$BZ,MATCH($H48,英雄装备!$F:$F,0),MATCH(N$2,英雄装备!$1:$1,0)-2),装备属性!$A:$C,3,0),VLOOKUP(INDEX(英雄装备!$F:$BZ,MATCH($H48,英雄装备!$F:$F,0),MATCH(N$2,英雄装备!$1:$1,0)-1),装备属性!$A:$C,3,0),VLOOKUP(INDEX(英雄装备!$F:$BZ,MATCH($H48,英雄装备!$F:$F,0),MATCH(N$2,英雄装备!$1:$1,0)),装备属性!$A:$C,3,0))</f>
        <v>49</v>
      </c>
      <c r="O48" s="51">
        <f>MAX(VLOOKUP(INDEX(英雄装备!$F:$BZ,MATCH($H48,英雄装备!$F:$F,0),MATCH(O$2,英雄装备!$1:$1,0)-5),装备属性!$A:$C,3,0),VLOOKUP(INDEX(英雄装备!$F:$BZ,MATCH($H48,英雄装备!$F:$F,0),MATCH(O$2,英雄装备!$1:$1,0)-4),装备属性!$A:$C,3,0),VLOOKUP(INDEX(英雄装备!$F:$BZ,MATCH($H48,英雄装备!$F:$F,0),MATCH(O$2,英雄装备!$1:$1,0)-3),装备属性!$A:$C,3,0),VLOOKUP(INDEX(英雄装备!$F:$BZ,MATCH($H48,英雄装备!$F:$F,0),MATCH(O$2,英雄装备!$1:$1,0)-2),装备属性!$A:$C,3,0),VLOOKUP(INDEX(英雄装备!$F:$BZ,MATCH($H48,英雄装备!$F:$F,0),MATCH(O$2,英雄装备!$1:$1,0)-1),装备属性!$A:$C,3,0),VLOOKUP(INDEX(英雄装备!$F:$BZ,MATCH($H48,英雄装备!$F:$F,0),MATCH(O$2,英雄装备!$1:$1,0)),装备属性!$A:$C,3,0))</f>
        <v>63</v>
      </c>
      <c r="P48" s="51">
        <f>MAX(VLOOKUP(INDEX(英雄装备!$F:$BZ,MATCH($H48,英雄装备!$F:$F,0),MATCH(P$2,英雄装备!$1:$1,0)-5),装备属性!$A:$C,3,0),VLOOKUP(INDEX(英雄装备!$F:$BZ,MATCH($H48,英雄装备!$F:$F,0),MATCH(P$2,英雄装备!$1:$1,0)-4),装备属性!$A:$C,3,0),VLOOKUP(INDEX(英雄装备!$F:$BZ,MATCH($H48,英雄装备!$F:$F,0),MATCH(P$2,英雄装备!$1:$1,0)-3),装备属性!$A:$C,3,0),VLOOKUP(INDEX(英雄装备!$F:$BZ,MATCH($H48,英雄装备!$F:$F,0),MATCH(P$2,英雄装备!$1:$1,0)-2),装备属性!$A:$C,3,0),VLOOKUP(INDEX(英雄装备!$F:$BZ,MATCH($H48,英雄装备!$F:$F,0),MATCH(P$2,英雄装备!$1:$1,0)-1),装备属性!$A:$C,3,0),VLOOKUP(INDEX(英雄装备!$F:$BZ,MATCH($H48,英雄装备!$F:$F,0),MATCH(P$2,英雄装备!$1:$1,0)),装备属性!$A:$C,3,0))</f>
        <v>74</v>
      </c>
      <c r="Q48" s="51">
        <f>MAX(VLOOKUP(INDEX(英雄装备!$F:$BZ,MATCH($H48,英雄装备!$F:$F,0),MATCH(Q$2,英雄装备!$1:$1,0)-5),装备属性!$A:$C,3,0),VLOOKUP(INDEX(英雄装备!$F:$BZ,MATCH($H48,英雄装备!$F:$F,0),MATCH(Q$2,英雄装备!$1:$1,0)-4),装备属性!$A:$C,3,0),VLOOKUP(INDEX(英雄装备!$F:$BZ,MATCH($H48,英雄装备!$F:$F,0),MATCH(Q$2,英雄装备!$1:$1,0)-3),装备属性!$A:$C,3,0),VLOOKUP(INDEX(英雄装备!$F:$BZ,MATCH($H48,英雄装备!$F:$F,0),MATCH(Q$2,英雄装备!$1:$1,0)-2),装备属性!$A:$C,3,0),VLOOKUP(INDEX(英雄装备!$F:$BZ,MATCH($H48,英雄装备!$F:$F,0),MATCH(Q$2,英雄装备!$1:$1,0)-1),装备属性!$A:$C,3,0),VLOOKUP(INDEX(英雄装备!$F:$BZ,MATCH($H48,英雄装备!$F:$F,0),MATCH(Q$2,英雄装备!$1:$1,0)),装备属性!$A:$C,3,0))</f>
        <v>78</v>
      </c>
      <c r="R48" s="51">
        <f>MAX(VLOOKUP(INDEX(英雄装备!$F:$BZ,MATCH($H48,英雄装备!$F:$F,0),MATCH(R$2,英雄装备!$1:$1,0)-5),装备属性!$A:$C,3,0),VLOOKUP(INDEX(英雄装备!$F:$BZ,MATCH($H48,英雄装备!$F:$F,0),MATCH(R$2,英雄装备!$1:$1,0)-4),装备属性!$A:$C,3,0),VLOOKUP(INDEX(英雄装备!$F:$BZ,MATCH($H48,英雄装备!$F:$F,0),MATCH(R$2,英雄装备!$1:$1,0)-3),装备属性!$A:$C,3,0),VLOOKUP(INDEX(英雄装备!$F:$BZ,MATCH($H48,英雄装备!$F:$F,0),MATCH(R$2,英雄装备!$1:$1,0)-2),装备属性!$A:$C,3,0),VLOOKUP(INDEX(英雄装备!$F:$BZ,MATCH($H48,英雄装备!$F:$F,0),MATCH(R$2,英雄装备!$1:$1,0)-1),装备属性!$A:$C,3,0),VLOOKUP(INDEX(英雄装备!$F:$BZ,MATCH($H48,英雄装备!$F:$F,0),MATCH(R$2,英雄装备!$1:$1,0)),装备属性!$A:$C,3,0))</f>
        <v>72</v>
      </c>
      <c r="S48" s="51">
        <f>MAX(VLOOKUP(INDEX(英雄装备!$F:$BZ,MATCH($H48,英雄装备!$F:$F,0),MATCH(S$2,英雄装备!$1:$1,0)-5),装备属性!$A:$C,3,0),VLOOKUP(INDEX(英雄装备!$F:$BZ,MATCH($H48,英雄装备!$F:$F,0),MATCH(S$2,英雄装备!$1:$1,0)-4),装备属性!$A:$C,3,0),VLOOKUP(INDEX(英雄装备!$F:$BZ,MATCH($H48,英雄装备!$F:$F,0),MATCH(S$2,英雄装备!$1:$1,0)-3),装备属性!$A:$C,3,0),VLOOKUP(INDEX(英雄装备!$F:$BZ,MATCH($H48,英雄装备!$F:$F,0),MATCH(S$2,英雄装备!$1:$1,0)-2),装备属性!$A:$C,3,0),VLOOKUP(INDEX(英雄装备!$F:$BZ,MATCH($H48,英雄装备!$F:$F,0),MATCH(S$2,英雄装备!$1:$1,0)-1),装备属性!$A:$C,3,0),VLOOKUP(INDEX(英雄装备!$F:$BZ,MATCH($H48,英雄装备!$F:$F,0),MATCH(S$2,英雄装备!$1:$1,0)),装备属性!$A:$C,3,0))</f>
        <v>85</v>
      </c>
      <c r="T48" s="51">
        <f>MAX(VLOOKUP(INDEX(英雄装备!$F:$BZ,MATCH($H48,英雄装备!$F:$F,0),MATCH(T$2,英雄装备!$1:$1,0)-5),装备属性!$A:$C,3,0),VLOOKUP(INDEX(英雄装备!$F:$BZ,MATCH($H48,英雄装备!$F:$F,0),MATCH(T$2,英雄装备!$1:$1,0)-4),装备属性!$A:$C,3,0),VLOOKUP(INDEX(英雄装备!$F:$BZ,MATCH($H48,英雄装备!$F:$F,0),MATCH(T$2,英雄装备!$1:$1,0)-3),装备属性!$A:$C,3,0),VLOOKUP(INDEX(英雄装备!$F:$BZ,MATCH($H48,英雄装备!$F:$F,0),MATCH(T$2,英雄装备!$1:$1,0)-2),装备属性!$A:$C,3,0),VLOOKUP(INDEX(英雄装备!$F:$BZ,MATCH($H48,英雄装备!$F:$F,0),MATCH(T$2,英雄装备!$1:$1,0)-1),装备属性!$A:$C,3,0))</f>
        <v>87</v>
      </c>
      <c r="V48" s="151">
        <v>7</v>
      </c>
      <c r="W48" s="151" t="str">
        <f>IF($V$2&lt;7,"","紫")</f>
        <v>紫</v>
      </c>
      <c r="X48" s="151" t="str">
        <f t="shared" si="6"/>
        <v>魔王刀锋</v>
      </c>
      <c r="Y48" s="151" t="str">
        <f t="shared" si="6"/>
        <v>强袭</v>
      </c>
      <c r="Z48" s="151" t="str">
        <f t="shared" si="6"/>
        <v>林肯</v>
      </c>
      <c r="AA48" s="151" t="str">
        <f t="shared" si="6"/>
        <v>冲锋盾</v>
      </c>
      <c r="AB48" s="151" t="str">
        <f t="shared" si="6"/>
        <v>圣殿指环</v>
      </c>
      <c r="AC48" s="151" t="str">
        <f t="shared" si="6"/>
        <v>飞鞋</v>
      </c>
      <c r="AF48" s="151">
        <v>5</v>
      </c>
      <c r="AG48" s="151" t="str">
        <f>Y5</f>
        <v>黑黄</v>
      </c>
      <c r="AH48" s="151">
        <f>VLOOKUP($AG48,装备属性!$A:$Y,5,0)</f>
        <v>10</v>
      </c>
      <c r="AI48" s="151">
        <f>VLOOKUP($AG48,装备属性!$A:$Y,6,0)</f>
        <v>0</v>
      </c>
      <c r="AJ48" s="151">
        <f>VLOOKUP($AG48,装备属性!$A:$Y,7,0)</f>
        <v>0</v>
      </c>
      <c r="AK48" s="151">
        <f>VLOOKUP($AG48,装备属性!$A:$Y,8,0)</f>
        <v>0</v>
      </c>
      <c r="AL48" s="151">
        <f>VLOOKUP($AG48,装备属性!$A:$Y,9,0)</f>
        <v>24</v>
      </c>
      <c r="AM48" s="151">
        <f>VLOOKUP($AG48,装备属性!$A:$Y,10,0)</f>
        <v>0</v>
      </c>
      <c r="AN48" s="151">
        <f>VLOOKUP($AG48,装备属性!$A:$Y,11,0)</f>
        <v>0</v>
      </c>
      <c r="AO48" s="151">
        <f>VLOOKUP($AG48,装备属性!$A:$Y,12,0)</f>
        <v>10</v>
      </c>
      <c r="AP48" s="151">
        <f>VLOOKUP($AG48,装备属性!$A:$Y,13,0)</f>
        <v>0</v>
      </c>
      <c r="AQ48" s="151">
        <f>VLOOKUP($AG48,装备属性!$A:$Y,14,0)</f>
        <v>0</v>
      </c>
      <c r="AR48" s="151">
        <f>VLOOKUP($AG48,装备属性!$A:$Y,15,0)</f>
        <v>0</v>
      </c>
      <c r="AS48" s="151">
        <f>VLOOKUP($AG48,装备属性!$A:$Y,16,0)</f>
        <v>0</v>
      </c>
      <c r="AT48" s="151">
        <f>VLOOKUP($AG48,装备属性!$A:$Y,17,0)</f>
        <v>0</v>
      </c>
      <c r="AU48" s="151">
        <f>VLOOKUP($AG48,装备属性!$A:$Y,18,0)</f>
        <v>0</v>
      </c>
      <c r="AV48" s="151">
        <f>VLOOKUP($AG48,装备属性!$A:$Y,19,0)</f>
        <v>0</v>
      </c>
      <c r="AW48" s="151">
        <f>VLOOKUP($AG48,装备属性!$A:$Y,20,0)</f>
        <v>0</v>
      </c>
      <c r="AX48" s="151">
        <f>VLOOKUP($AG48,装备属性!$A:$Y,21,0)</f>
        <v>0</v>
      </c>
      <c r="AY48" s="151">
        <f>VLOOKUP($AG48,装备属性!$A:$Y,22,0)</f>
        <v>0</v>
      </c>
      <c r="AZ48" s="151">
        <f>VLOOKUP($AG48,装备属性!$A:$Y,23,0)</f>
        <v>0</v>
      </c>
      <c r="BA48" s="151">
        <f>VLOOKUP($AG48,装备属性!$A:$Y,24,0)</f>
        <v>0</v>
      </c>
      <c r="BB48" s="151">
        <f>VLOOKUP($AG48,装备属性!$A:$Y,25,0)</f>
        <v>0</v>
      </c>
    </row>
    <row r="49" spans="2:54">
      <c r="B49" s="151" t="s">
        <v>1814</v>
      </c>
      <c r="H49" s="50" t="s">
        <v>1306</v>
      </c>
      <c r="I49" s="51">
        <f>MAX(VLOOKUP(INDEX(英雄装备!$F:$BZ,MATCH($H49,英雄装备!$F:$F,0),MATCH(I$2,英雄装备!$1:$1,0)-5),装备属性!$A:$C,3,0),VLOOKUP(INDEX(英雄装备!$F:$BZ,MATCH($H49,英雄装备!$F:$F,0),MATCH(I$2,英雄装备!$1:$1,0)-4),装备属性!$A:$C,3,0),VLOOKUP(INDEX(英雄装备!$F:$BZ,MATCH($H49,英雄装备!$F:$F,0),MATCH(I$2,英雄装备!$1:$1,0)-3),装备属性!$A:$C,3,0),VLOOKUP(INDEX(英雄装备!$F:$BZ,MATCH($H49,英雄装备!$F:$F,0),MATCH(I$2,英雄装备!$1:$1,0)-2),装备属性!$A:$C,3,0),VLOOKUP(INDEX(英雄装备!$F:$BZ,MATCH($H49,英雄装备!$F:$F,0),MATCH(I$2,英雄装备!$1:$1,0)-1),装备属性!$A:$C,3,0),VLOOKUP(INDEX(英雄装备!$F:$BZ,MATCH($H49,英雄装备!$F:$F,0),MATCH(I$2,英雄装备!$1:$1,0)),装备属性!$A:$C,3,0))</f>
        <v>2</v>
      </c>
      <c r="J49" s="51">
        <f>MAX(VLOOKUP(INDEX(英雄装备!$F:$BZ,MATCH($H49,英雄装备!$F:$F,0),MATCH(J$2,英雄装备!$1:$1,0)-5),装备属性!$A:$C,3,0),VLOOKUP(INDEX(英雄装备!$F:$BZ,MATCH($H49,英雄装备!$F:$F,0),MATCH(J$2,英雄装备!$1:$1,0)-4),装备属性!$A:$C,3,0),VLOOKUP(INDEX(英雄装备!$F:$BZ,MATCH($H49,英雄装备!$F:$F,0),MATCH(J$2,英雄装备!$1:$1,0)-3),装备属性!$A:$C,3,0),VLOOKUP(INDEX(英雄装备!$F:$BZ,MATCH($H49,英雄装备!$F:$F,0),MATCH(J$2,英雄装备!$1:$1,0)-2),装备属性!$A:$C,3,0),VLOOKUP(INDEX(英雄装备!$F:$BZ,MATCH($H49,英雄装备!$F:$F,0),MATCH(J$2,英雄装备!$1:$1,0)-1),装备属性!$A:$C,3,0),VLOOKUP(INDEX(英雄装备!$F:$BZ,MATCH($H49,英雄装备!$F:$F,0),MATCH(J$2,英雄装备!$1:$1,0)),装备属性!$A:$C,3,0))</f>
        <v>10</v>
      </c>
      <c r="K49" s="51">
        <f>MAX(VLOOKUP(INDEX(英雄装备!$F:$BZ,MATCH($H49,英雄装备!$F:$F,0),MATCH(K$2,英雄装备!$1:$1,0)-5),装备属性!$A:$C,3,0),VLOOKUP(INDEX(英雄装备!$F:$BZ,MATCH($H49,英雄装备!$F:$F,0),MATCH(K$2,英雄装备!$1:$1,0)-4),装备属性!$A:$C,3,0),VLOOKUP(INDEX(英雄装备!$F:$BZ,MATCH($H49,英雄装备!$F:$F,0),MATCH(K$2,英雄装备!$1:$1,0)-3),装备属性!$A:$C,3,0),VLOOKUP(INDEX(英雄装备!$F:$BZ,MATCH($H49,英雄装备!$F:$F,0),MATCH(K$2,英雄装备!$1:$1,0)-2),装备属性!$A:$C,3,0),VLOOKUP(INDEX(英雄装备!$F:$BZ,MATCH($H49,英雄装备!$F:$F,0),MATCH(K$2,英雄装备!$1:$1,0)-1),装备属性!$A:$C,3,0),VLOOKUP(INDEX(英雄装备!$F:$BZ,MATCH($H49,英雄装备!$F:$F,0),MATCH(K$2,英雄装备!$1:$1,0)),装备属性!$A:$C,3,0))</f>
        <v>20</v>
      </c>
      <c r="L49" s="51">
        <f>MAX(VLOOKUP(INDEX(英雄装备!$F:$BZ,MATCH($H49,英雄装备!$F:$F,0),MATCH(L$2,英雄装备!$1:$1,0)-5),装备属性!$A:$C,3,0),VLOOKUP(INDEX(英雄装备!$F:$BZ,MATCH($H49,英雄装备!$F:$F,0),MATCH(L$2,英雄装备!$1:$1,0)-4),装备属性!$A:$C,3,0),VLOOKUP(INDEX(英雄装备!$F:$BZ,MATCH($H49,英雄装备!$F:$F,0),MATCH(L$2,英雄装备!$1:$1,0)-3),装备属性!$A:$C,3,0),VLOOKUP(INDEX(英雄装备!$F:$BZ,MATCH($H49,英雄装备!$F:$F,0),MATCH(L$2,英雄装备!$1:$1,0)-2),装备属性!$A:$C,3,0),VLOOKUP(INDEX(英雄装备!$F:$BZ,MATCH($H49,英雄装备!$F:$F,0),MATCH(L$2,英雄装备!$1:$1,0)-1),装备属性!$A:$C,3,0),VLOOKUP(INDEX(英雄装备!$F:$BZ,MATCH($H49,英雄装备!$F:$F,0),MATCH(L$2,英雄装备!$1:$1,0)),装备属性!$A:$C,3,0))</f>
        <v>36</v>
      </c>
      <c r="M49" s="51">
        <f>MAX(VLOOKUP(INDEX(英雄装备!$F:$BZ,MATCH($H49,英雄装备!$F:$F,0),MATCH(M$2,英雄装备!$1:$1,0)-5),装备属性!$A:$C,3,0),VLOOKUP(INDEX(英雄装备!$F:$BZ,MATCH($H49,英雄装备!$F:$F,0),MATCH(M$2,英雄装备!$1:$1,0)-4),装备属性!$A:$C,3,0),VLOOKUP(INDEX(英雄装备!$F:$BZ,MATCH($H49,英雄装备!$F:$F,0),MATCH(M$2,英雄装备!$1:$1,0)-3),装备属性!$A:$C,3,0),VLOOKUP(INDEX(英雄装备!$F:$BZ,MATCH($H49,英雄装备!$F:$F,0),MATCH(M$2,英雄装备!$1:$1,0)-2),装备属性!$A:$C,3,0),VLOOKUP(INDEX(英雄装备!$F:$BZ,MATCH($H49,英雄装备!$F:$F,0),MATCH(M$2,英雄装备!$1:$1,0)-1),装备属性!$A:$C,3,0),VLOOKUP(INDEX(英雄装备!$F:$BZ,MATCH($H49,英雄装备!$F:$F,0),MATCH(M$2,英雄装备!$1:$1,0)),装备属性!$A:$C,3,0))</f>
        <v>43</v>
      </c>
      <c r="N49" s="51">
        <f>MAX(VLOOKUP(INDEX(英雄装备!$F:$BZ,MATCH($H49,英雄装备!$F:$F,0),MATCH(N$2,英雄装备!$1:$1,0)-5),装备属性!$A:$C,3,0),VLOOKUP(INDEX(英雄装备!$F:$BZ,MATCH($H49,英雄装备!$F:$F,0),MATCH(N$2,英雄装备!$1:$1,0)-4),装备属性!$A:$C,3,0),VLOOKUP(INDEX(英雄装备!$F:$BZ,MATCH($H49,英雄装备!$F:$F,0),MATCH(N$2,英雄装备!$1:$1,0)-3),装备属性!$A:$C,3,0),VLOOKUP(INDEX(英雄装备!$F:$BZ,MATCH($H49,英雄装备!$F:$F,0),MATCH(N$2,英雄装备!$1:$1,0)-2),装备属性!$A:$C,3,0),VLOOKUP(INDEX(英雄装备!$F:$BZ,MATCH($H49,英雄装备!$F:$F,0),MATCH(N$2,英雄装备!$1:$1,0)-1),装备属性!$A:$C,3,0),VLOOKUP(INDEX(英雄装备!$F:$BZ,MATCH($H49,英雄装备!$F:$F,0),MATCH(N$2,英雄装备!$1:$1,0)),装备属性!$A:$C,3,0))</f>
        <v>51</v>
      </c>
      <c r="O49" s="51">
        <f>MAX(VLOOKUP(INDEX(英雄装备!$F:$BZ,MATCH($H49,英雄装备!$F:$F,0),MATCH(O$2,英雄装备!$1:$1,0)-5),装备属性!$A:$C,3,0),VLOOKUP(INDEX(英雄装备!$F:$BZ,MATCH($H49,英雄装备!$F:$F,0),MATCH(O$2,英雄装备!$1:$1,0)-4),装备属性!$A:$C,3,0),VLOOKUP(INDEX(英雄装备!$F:$BZ,MATCH($H49,英雄装备!$F:$F,0),MATCH(O$2,英雄装备!$1:$1,0)-3),装备属性!$A:$C,3,0),VLOOKUP(INDEX(英雄装备!$F:$BZ,MATCH($H49,英雄装备!$F:$F,0),MATCH(O$2,英雄装备!$1:$1,0)-2),装备属性!$A:$C,3,0),VLOOKUP(INDEX(英雄装备!$F:$BZ,MATCH($H49,英雄装备!$F:$F,0),MATCH(O$2,英雄装备!$1:$1,0)-1),装备属性!$A:$C,3,0),VLOOKUP(INDEX(英雄装备!$F:$BZ,MATCH($H49,英雄装备!$F:$F,0),MATCH(O$2,英雄装备!$1:$1,0)),装备属性!$A:$C,3,0))</f>
        <v>59</v>
      </c>
      <c r="P49" s="51">
        <f>MAX(VLOOKUP(INDEX(英雄装备!$F:$BZ,MATCH($H49,英雄装备!$F:$F,0),MATCH(P$2,英雄装备!$1:$1,0)-5),装备属性!$A:$C,3,0),VLOOKUP(INDEX(英雄装备!$F:$BZ,MATCH($H49,英雄装备!$F:$F,0),MATCH(P$2,英雄装备!$1:$1,0)-4),装备属性!$A:$C,3,0),VLOOKUP(INDEX(英雄装备!$F:$BZ,MATCH($H49,英雄装备!$F:$F,0),MATCH(P$2,英雄装备!$1:$1,0)-3),装备属性!$A:$C,3,0),VLOOKUP(INDEX(英雄装备!$F:$BZ,MATCH($H49,英雄装备!$F:$F,0),MATCH(P$2,英雄装备!$1:$1,0)-2),装备属性!$A:$C,3,0),VLOOKUP(INDEX(英雄装备!$F:$BZ,MATCH($H49,英雄装备!$F:$F,0),MATCH(P$2,英雄装备!$1:$1,0)-1),装备属性!$A:$C,3,0),VLOOKUP(INDEX(英雄装备!$F:$BZ,MATCH($H49,英雄装备!$F:$F,0),MATCH(P$2,英雄装备!$1:$1,0)),装备属性!$A:$C,3,0))</f>
        <v>72</v>
      </c>
      <c r="Q49" s="51">
        <f>MAX(VLOOKUP(INDEX(英雄装备!$F:$BZ,MATCH($H49,英雄装备!$F:$F,0),MATCH(Q$2,英雄装备!$1:$1,0)-5),装备属性!$A:$C,3,0),VLOOKUP(INDEX(英雄装备!$F:$BZ,MATCH($H49,英雄装备!$F:$F,0),MATCH(Q$2,英雄装备!$1:$1,0)-4),装备属性!$A:$C,3,0),VLOOKUP(INDEX(英雄装备!$F:$BZ,MATCH($H49,英雄装备!$F:$F,0),MATCH(Q$2,英雄装备!$1:$1,0)-3),装备属性!$A:$C,3,0),VLOOKUP(INDEX(英雄装备!$F:$BZ,MATCH($H49,英雄装备!$F:$F,0),MATCH(Q$2,英雄装备!$1:$1,0)-2),装备属性!$A:$C,3,0),VLOOKUP(INDEX(英雄装备!$F:$BZ,MATCH($H49,英雄装备!$F:$F,0),MATCH(Q$2,英雄装备!$1:$1,0)-1),装备属性!$A:$C,3,0),VLOOKUP(INDEX(英雄装备!$F:$BZ,MATCH($H49,英雄装备!$F:$F,0),MATCH(Q$2,英雄装备!$1:$1,0)),装备属性!$A:$C,3,0))</f>
        <v>80</v>
      </c>
      <c r="R49" s="51">
        <f>MAX(VLOOKUP(INDEX(英雄装备!$F:$BZ,MATCH($H49,英雄装备!$F:$F,0),MATCH(R$2,英雄装备!$1:$1,0)-5),装备属性!$A:$C,3,0),VLOOKUP(INDEX(英雄装备!$F:$BZ,MATCH($H49,英雄装备!$F:$F,0),MATCH(R$2,英雄装备!$1:$1,0)-4),装备属性!$A:$C,3,0),VLOOKUP(INDEX(英雄装备!$F:$BZ,MATCH($H49,英雄装备!$F:$F,0),MATCH(R$2,英雄装备!$1:$1,0)-3),装备属性!$A:$C,3,0),VLOOKUP(INDEX(英雄装备!$F:$BZ,MATCH($H49,英雄装备!$F:$F,0),MATCH(R$2,英雄装备!$1:$1,0)-2),装备属性!$A:$C,3,0),VLOOKUP(INDEX(英雄装备!$F:$BZ,MATCH($H49,英雄装备!$F:$F,0),MATCH(R$2,英雄装备!$1:$1,0)-1),装备属性!$A:$C,3,0),VLOOKUP(INDEX(英雄装备!$F:$BZ,MATCH($H49,英雄装备!$F:$F,0),MATCH(R$2,英雄装备!$1:$1,0)),装备属性!$A:$C,3,0))</f>
        <v>80</v>
      </c>
      <c r="S49" s="51">
        <f>MAX(VLOOKUP(INDEX(英雄装备!$F:$BZ,MATCH($H49,英雄装备!$F:$F,0),MATCH(S$2,英雄装备!$1:$1,0)-5),装备属性!$A:$C,3,0),VLOOKUP(INDEX(英雄装备!$F:$BZ,MATCH($H49,英雄装备!$F:$F,0),MATCH(S$2,英雄装备!$1:$1,0)-4),装备属性!$A:$C,3,0),VLOOKUP(INDEX(英雄装备!$F:$BZ,MATCH($H49,英雄装备!$F:$F,0),MATCH(S$2,英雄装备!$1:$1,0)-3),装备属性!$A:$C,3,0),VLOOKUP(INDEX(英雄装备!$F:$BZ,MATCH($H49,英雄装备!$F:$F,0),MATCH(S$2,英雄装备!$1:$1,0)-2),装备属性!$A:$C,3,0),VLOOKUP(INDEX(英雄装备!$F:$BZ,MATCH($H49,英雄装备!$F:$F,0),MATCH(S$2,英雄装备!$1:$1,0)-1),装备属性!$A:$C,3,0),VLOOKUP(INDEX(英雄装备!$F:$BZ,MATCH($H49,英雄装备!$F:$F,0),MATCH(S$2,英雄装备!$1:$1,0)),装备属性!$A:$C,3,0))</f>
        <v>85</v>
      </c>
      <c r="T49" s="51">
        <f>MAX(VLOOKUP(INDEX(英雄装备!$F:$BZ,MATCH($H49,英雄装备!$F:$F,0),MATCH(T$2,英雄装备!$1:$1,0)-5),装备属性!$A:$C,3,0),VLOOKUP(INDEX(英雄装备!$F:$BZ,MATCH($H49,英雄装备!$F:$F,0),MATCH(T$2,英雄装备!$1:$1,0)-4),装备属性!$A:$C,3,0),VLOOKUP(INDEX(英雄装备!$F:$BZ,MATCH($H49,英雄装备!$F:$F,0),MATCH(T$2,英雄装备!$1:$1,0)-3),装备属性!$A:$C,3,0),VLOOKUP(INDEX(英雄装备!$F:$BZ,MATCH($H49,英雄装备!$F:$F,0),MATCH(T$2,英雄装备!$1:$1,0)-2),装备属性!$A:$C,3,0),VLOOKUP(INDEX(英雄装备!$F:$BZ,MATCH($H49,英雄装备!$F:$F,0),MATCH(T$2,英雄装备!$1:$1,0)-1),装备属性!$A:$C,3,0))</f>
        <v>88</v>
      </c>
      <c r="V49" s="151">
        <v>8</v>
      </c>
      <c r="W49" s="151" t="str">
        <f>IF($V$2&lt;8,"","紫+1")</f>
        <v>紫+1</v>
      </c>
      <c r="X49" s="151" t="str">
        <f t="shared" si="6"/>
        <v>蝴蝶</v>
      </c>
      <c r="Y49" s="151" t="str">
        <f t="shared" si="6"/>
        <v>鬼手</v>
      </c>
      <c r="Z49" s="151" t="str">
        <f t="shared" si="6"/>
        <v>狂战斧</v>
      </c>
      <c r="AA49" s="151" t="str">
        <f t="shared" si="6"/>
        <v>暗灭</v>
      </c>
      <c r="AB49" s="151" t="str">
        <f t="shared" si="6"/>
        <v>阔剑</v>
      </c>
      <c r="AC49" s="151" t="str">
        <f t="shared" si="6"/>
        <v>飞鞋</v>
      </c>
      <c r="AF49" s="151">
        <v>5</v>
      </c>
      <c r="AG49" s="151" t="str">
        <f>Z5</f>
        <v>散华</v>
      </c>
      <c r="AH49" s="151">
        <f>VLOOKUP($AG49,装备属性!$A:$Y,5,0)</f>
        <v>16</v>
      </c>
      <c r="AI49" s="151">
        <f>VLOOKUP($AG49,装备属性!$A:$Y,6,0)</f>
        <v>0</v>
      </c>
      <c r="AJ49" s="151">
        <f>VLOOKUP($AG49,装备属性!$A:$Y,7,0)</f>
        <v>0</v>
      </c>
      <c r="AK49" s="151">
        <f>VLOOKUP($AG49,装备属性!$A:$Y,8,0)</f>
        <v>0</v>
      </c>
      <c r="AL49" s="151">
        <f>VLOOKUP($AG49,装备属性!$A:$Y,9,0)</f>
        <v>10</v>
      </c>
      <c r="AM49" s="151">
        <f>VLOOKUP($AG49,装备属性!$A:$Y,10,0)</f>
        <v>0</v>
      </c>
      <c r="AN49" s="151">
        <f>VLOOKUP($AG49,装备属性!$A:$Y,11,0)</f>
        <v>0</v>
      </c>
      <c r="AO49" s="151">
        <f>VLOOKUP($AG49,装备属性!$A:$Y,12,0)</f>
        <v>0</v>
      </c>
      <c r="AP49" s="151">
        <f>VLOOKUP($AG49,装备属性!$A:$Y,13,0)</f>
        <v>0</v>
      </c>
      <c r="AQ49" s="151">
        <f>VLOOKUP($AG49,装备属性!$A:$Y,14,0)</f>
        <v>0</v>
      </c>
      <c r="AR49" s="151">
        <f>VLOOKUP($AG49,装备属性!$A:$Y,15,0)</f>
        <v>0</v>
      </c>
      <c r="AS49" s="151">
        <f>VLOOKUP($AG49,装备属性!$A:$Y,16,0)</f>
        <v>0</v>
      </c>
      <c r="AT49" s="151">
        <f>VLOOKUP($AG49,装备属性!$A:$Y,17,0)</f>
        <v>0</v>
      </c>
      <c r="AU49" s="151">
        <f>VLOOKUP($AG49,装备属性!$A:$Y,18,0)</f>
        <v>0</v>
      </c>
      <c r="AV49" s="151">
        <f>VLOOKUP($AG49,装备属性!$A:$Y,19,0)</f>
        <v>0</v>
      </c>
      <c r="AW49" s="151">
        <f>VLOOKUP($AG49,装备属性!$A:$Y,20,0)</f>
        <v>0</v>
      </c>
      <c r="AX49" s="151">
        <f>VLOOKUP($AG49,装备属性!$A:$Y,21,0)</f>
        <v>0</v>
      </c>
      <c r="AY49" s="151">
        <f>VLOOKUP($AG49,装备属性!$A:$Y,22,0)</f>
        <v>0</v>
      </c>
      <c r="AZ49" s="151">
        <f>VLOOKUP($AG49,装备属性!$A:$Y,23,0)</f>
        <v>0</v>
      </c>
      <c r="BA49" s="151">
        <f>VLOOKUP($AG49,装备属性!$A:$Y,24,0)</f>
        <v>0</v>
      </c>
      <c r="BB49" s="151">
        <f>VLOOKUP($AG49,装备属性!$A:$Y,25,0)</f>
        <v>0</v>
      </c>
    </row>
    <row r="50" spans="2:54">
      <c r="B50" s="151" t="s">
        <v>2012</v>
      </c>
      <c r="H50" s="109" t="s">
        <v>1346</v>
      </c>
      <c r="I50" s="51">
        <f>MAX(VLOOKUP(INDEX(英雄装备!$F:$BZ,MATCH($H50,英雄装备!$F:$F,0),MATCH(I$2,英雄装备!$1:$1,0)-5),装备属性!$A:$C,3,0),VLOOKUP(INDEX(英雄装备!$F:$BZ,MATCH($H50,英雄装备!$F:$F,0),MATCH(I$2,英雄装备!$1:$1,0)-4),装备属性!$A:$C,3,0),VLOOKUP(INDEX(英雄装备!$F:$BZ,MATCH($H50,英雄装备!$F:$F,0),MATCH(I$2,英雄装备!$1:$1,0)-3),装备属性!$A:$C,3,0),VLOOKUP(INDEX(英雄装备!$F:$BZ,MATCH($H50,英雄装备!$F:$F,0),MATCH(I$2,英雄装备!$1:$1,0)-2),装备属性!$A:$C,3,0),VLOOKUP(INDEX(英雄装备!$F:$BZ,MATCH($H50,英雄装备!$F:$F,0),MATCH(I$2,英雄装备!$1:$1,0)-1),装备属性!$A:$C,3,0),VLOOKUP(INDEX(英雄装备!$F:$BZ,MATCH($H50,英雄装备!$F:$F,0),MATCH(I$2,英雄装备!$1:$1,0)),装备属性!$A:$C,3,0))</f>
        <v>2</v>
      </c>
      <c r="J50" s="51">
        <f>MAX(VLOOKUP(INDEX(英雄装备!$F:$BZ,MATCH($H50,英雄装备!$F:$F,0),MATCH(J$2,英雄装备!$1:$1,0)-5),装备属性!$A:$C,3,0),VLOOKUP(INDEX(英雄装备!$F:$BZ,MATCH($H50,英雄装备!$F:$F,0),MATCH(J$2,英雄装备!$1:$1,0)-4),装备属性!$A:$C,3,0),VLOOKUP(INDEX(英雄装备!$F:$BZ,MATCH($H50,英雄装备!$F:$F,0),MATCH(J$2,英雄装备!$1:$1,0)-3),装备属性!$A:$C,3,0),VLOOKUP(INDEX(英雄装备!$F:$BZ,MATCH($H50,英雄装备!$F:$F,0),MATCH(J$2,英雄装备!$1:$1,0)-2),装备属性!$A:$C,3,0),VLOOKUP(INDEX(英雄装备!$F:$BZ,MATCH($H50,英雄装备!$F:$F,0),MATCH(J$2,英雄装备!$1:$1,0)-1),装备属性!$A:$C,3,0),VLOOKUP(INDEX(英雄装备!$F:$BZ,MATCH($H50,英雄装备!$F:$F,0),MATCH(J$2,英雄装备!$1:$1,0)),装备属性!$A:$C,3,0))</f>
        <v>11</v>
      </c>
      <c r="K50" s="51">
        <f>MAX(VLOOKUP(INDEX(英雄装备!$F:$BZ,MATCH($H50,英雄装备!$F:$F,0),MATCH(K$2,英雄装备!$1:$1,0)-5),装备属性!$A:$C,3,0),VLOOKUP(INDEX(英雄装备!$F:$BZ,MATCH($H50,英雄装备!$F:$F,0),MATCH(K$2,英雄装备!$1:$1,0)-4),装备属性!$A:$C,3,0),VLOOKUP(INDEX(英雄装备!$F:$BZ,MATCH($H50,英雄装备!$F:$F,0),MATCH(K$2,英雄装备!$1:$1,0)-3),装备属性!$A:$C,3,0),VLOOKUP(INDEX(英雄装备!$F:$BZ,MATCH($H50,英雄装备!$F:$F,0),MATCH(K$2,英雄装备!$1:$1,0)-2),装备属性!$A:$C,3,0),VLOOKUP(INDEX(英雄装备!$F:$BZ,MATCH($H50,英雄装备!$F:$F,0),MATCH(K$2,英雄装备!$1:$1,0)-1),装备属性!$A:$C,3,0),VLOOKUP(INDEX(英雄装备!$F:$BZ,MATCH($H50,英雄装备!$F:$F,0),MATCH(K$2,英雄装备!$1:$1,0)),装备属性!$A:$C,3,0))</f>
        <v>24</v>
      </c>
      <c r="L50" s="51">
        <f>MAX(VLOOKUP(INDEX(英雄装备!$F:$BZ,MATCH($H50,英雄装备!$F:$F,0),MATCH(L$2,英雄装备!$1:$1,0)-5),装备属性!$A:$C,3,0),VLOOKUP(INDEX(英雄装备!$F:$BZ,MATCH($H50,英雄装备!$F:$F,0),MATCH(L$2,英雄装备!$1:$1,0)-4),装备属性!$A:$C,3,0),VLOOKUP(INDEX(英雄装备!$F:$BZ,MATCH($H50,英雄装备!$F:$F,0),MATCH(L$2,英雄装备!$1:$1,0)-3),装备属性!$A:$C,3,0),VLOOKUP(INDEX(英雄装备!$F:$BZ,MATCH($H50,英雄装备!$F:$F,0),MATCH(L$2,英雄装备!$1:$1,0)-2),装备属性!$A:$C,3,0),VLOOKUP(INDEX(英雄装备!$F:$BZ,MATCH($H50,英雄装备!$F:$F,0),MATCH(L$2,英雄装备!$1:$1,0)-1),装备属性!$A:$C,3,0),VLOOKUP(INDEX(英雄装备!$F:$BZ,MATCH($H50,英雄装备!$F:$F,0),MATCH(L$2,英雄装备!$1:$1,0)),装备属性!$A:$C,3,0))</f>
        <v>37</v>
      </c>
      <c r="M50" s="51">
        <f>MAX(VLOOKUP(INDEX(英雄装备!$F:$BZ,MATCH($H50,英雄装备!$F:$F,0),MATCH(M$2,英雄装备!$1:$1,0)-5),装备属性!$A:$C,3,0),VLOOKUP(INDEX(英雄装备!$F:$BZ,MATCH($H50,英雄装备!$F:$F,0),MATCH(M$2,英雄装备!$1:$1,0)-4),装备属性!$A:$C,3,0),VLOOKUP(INDEX(英雄装备!$F:$BZ,MATCH($H50,英雄装备!$F:$F,0),MATCH(M$2,英雄装备!$1:$1,0)-3),装备属性!$A:$C,3,0),VLOOKUP(INDEX(英雄装备!$F:$BZ,MATCH($H50,英雄装备!$F:$F,0),MATCH(M$2,英雄装备!$1:$1,0)-2),装备属性!$A:$C,3,0),VLOOKUP(INDEX(英雄装备!$F:$BZ,MATCH($H50,英雄装备!$F:$F,0),MATCH(M$2,英雄装备!$1:$1,0)-1),装备属性!$A:$C,3,0),VLOOKUP(INDEX(英雄装备!$F:$BZ,MATCH($H50,英雄装备!$F:$F,0),MATCH(M$2,英雄装备!$1:$1,0)),装备属性!$A:$C,3,0))</f>
        <v>44</v>
      </c>
      <c r="N50" s="51">
        <f>MAX(VLOOKUP(INDEX(英雄装备!$F:$BZ,MATCH($H50,英雄装备!$F:$F,0),MATCH(N$2,英雄装备!$1:$1,0)-5),装备属性!$A:$C,3,0),VLOOKUP(INDEX(英雄装备!$F:$BZ,MATCH($H50,英雄装备!$F:$F,0),MATCH(N$2,英雄装备!$1:$1,0)-4),装备属性!$A:$C,3,0),VLOOKUP(INDEX(英雄装备!$F:$BZ,MATCH($H50,英雄装备!$F:$F,0),MATCH(N$2,英雄装备!$1:$1,0)-3),装备属性!$A:$C,3,0),VLOOKUP(INDEX(英雄装备!$F:$BZ,MATCH($H50,英雄装备!$F:$F,0),MATCH(N$2,英雄装备!$1:$1,0)-2),装备属性!$A:$C,3,0),VLOOKUP(INDEX(英雄装备!$F:$BZ,MATCH($H50,英雄装备!$F:$F,0),MATCH(N$2,英雄装备!$1:$1,0)-1),装备属性!$A:$C,3,0),VLOOKUP(INDEX(英雄装备!$F:$BZ,MATCH($H50,英雄装备!$F:$F,0),MATCH(N$2,英雄装备!$1:$1,0)),装备属性!$A:$C,3,0))</f>
        <v>53</v>
      </c>
      <c r="O50" s="51">
        <f>MAX(VLOOKUP(INDEX(英雄装备!$F:$BZ,MATCH($H50,英雄装备!$F:$F,0),MATCH(O$2,英雄装备!$1:$1,0)-5),装备属性!$A:$C,3,0),VLOOKUP(INDEX(英雄装备!$F:$BZ,MATCH($H50,英雄装备!$F:$F,0),MATCH(O$2,英雄装备!$1:$1,0)-4),装备属性!$A:$C,3,0),VLOOKUP(INDEX(英雄装备!$F:$BZ,MATCH($H50,英雄装备!$F:$F,0),MATCH(O$2,英雄装备!$1:$1,0)-3),装备属性!$A:$C,3,0),VLOOKUP(INDEX(英雄装备!$F:$BZ,MATCH($H50,英雄装备!$F:$F,0),MATCH(O$2,英雄装备!$1:$1,0)-2),装备属性!$A:$C,3,0),VLOOKUP(INDEX(英雄装备!$F:$BZ,MATCH($H50,英雄装备!$F:$F,0),MATCH(O$2,英雄装备!$1:$1,0)-1),装备属性!$A:$C,3,0),VLOOKUP(INDEX(英雄装备!$F:$BZ,MATCH($H50,英雄装备!$F:$F,0),MATCH(O$2,英雄装备!$1:$1,0)),装备属性!$A:$C,3,0))</f>
        <v>64</v>
      </c>
      <c r="P50" s="51">
        <f>MAX(VLOOKUP(INDEX(英雄装备!$F:$BZ,MATCH($H50,英雄装备!$F:$F,0),MATCH(P$2,英雄装备!$1:$1,0)-5),装备属性!$A:$C,3,0),VLOOKUP(INDEX(英雄装备!$F:$BZ,MATCH($H50,英雄装备!$F:$F,0),MATCH(P$2,英雄装备!$1:$1,0)-4),装备属性!$A:$C,3,0),VLOOKUP(INDEX(英雄装备!$F:$BZ,MATCH($H50,英雄装备!$F:$F,0),MATCH(P$2,英雄装备!$1:$1,0)-3),装备属性!$A:$C,3,0),VLOOKUP(INDEX(英雄装备!$F:$BZ,MATCH($H50,英雄装备!$F:$F,0),MATCH(P$2,英雄装备!$1:$1,0)-2),装备属性!$A:$C,3,0),VLOOKUP(INDEX(英雄装备!$F:$BZ,MATCH($H50,英雄装备!$F:$F,0),MATCH(P$2,英雄装备!$1:$1,0)-1),装备属性!$A:$C,3,0),VLOOKUP(INDEX(英雄装备!$F:$BZ,MATCH($H50,英雄装备!$F:$F,0),MATCH(P$2,英雄装备!$1:$1,0)),装备属性!$A:$C,3,0))</f>
        <v>73</v>
      </c>
      <c r="Q50" s="51">
        <f>MAX(VLOOKUP(INDEX(英雄装备!$F:$BZ,MATCH($H50,英雄装备!$F:$F,0),MATCH(Q$2,英雄装备!$1:$1,0)-5),装备属性!$A:$C,3,0),VLOOKUP(INDEX(英雄装备!$F:$BZ,MATCH($H50,英雄装备!$F:$F,0),MATCH(Q$2,英雄装备!$1:$1,0)-4),装备属性!$A:$C,3,0),VLOOKUP(INDEX(英雄装备!$F:$BZ,MATCH($H50,英雄装备!$F:$F,0),MATCH(Q$2,英雄装备!$1:$1,0)-3),装备属性!$A:$C,3,0),VLOOKUP(INDEX(英雄装备!$F:$BZ,MATCH($H50,英雄装备!$F:$F,0),MATCH(Q$2,英雄装备!$1:$1,0)-2),装备属性!$A:$C,3,0),VLOOKUP(INDEX(英雄装备!$F:$BZ,MATCH($H50,英雄装备!$F:$F,0),MATCH(Q$2,英雄装备!$1:$1,0)-1),装备属性!$A:$C,3,0),VLOOKUP(INDEX(英雄装备!$F:$BZ,MATCH($H50,英雄装备!$F:$F,0),MATCH(Q$2,英雄装备!$1:$1,0)),装备属性!$A:$C,3,0))</f>
        <v>80</v>
      </c>
      <c r="R50" s="51">
        <f>MAX(VLOOKUP(INDEX(英雄装备!$F:$BZ,MATCH($H50,英雄装备!$F:$F,0),MATCH(R$2,英雄装备!$1:$1,0)-5),装备属性!$A:$C,3,0),VLOOKUP(INDEX(英雄装备!$F:$BZ,MATCH($H50,英雄装备!$F:$F,0),MATCH(R$2,英雄装备!$1:$1,0)-4),装备属性!$A:$C,3,0),VLOOKUP(INDEX(英雄装备!$F:$BZ,MATCH($H50,英雄装备!$F:$F,0),MATCH(R$2,英雄装备!$1:$1,0)-3),装备属性!$A:$C,3,0),VLOOKUP(INDEX(英雄装备!$F:$BZ,MATCH($H50,英雄装备!$F:$F,0),MATCH(R$2,英雄装备!$1:$1,0)-2),装备属性!$A:$C,3,0),VLOOKUP(INDEX(英雄装备!$F:$BZ,MATCH($H50,英雄装备!$F:$F,0),MATCH(R$2,英雄装备!$1:$1,0)-1),装备属性!$A:$C,3,0),VLOOKUP(INDEX(英雄装备!$F:$BZ,MATCH($H50,英雄装备!$F:$F,0),MATCH(R$2,英雄装备!$1:$1,0)),装备属性!$A:$C,3,0))</f>
        <v>79</v>
      </c>
      <c r="S50" s="51">
        <f>MAX(VLOOKUP(INDEX(英雄装备!$F:$BZ,MATCH($H50,英雄装备!$F:$F,0),MATCH(S$2,英雄装备!$1:$1,0)-5),装备属性!$A:$C,3,0),VLOOKUP(INDEX(英雄装备!$F:$BZ,MATCH($H50,英雄装备!$F:$F,0),MATCH(S$2,英雄装备!$1:$1,0)-4),装备属性!$A:$C,3,0),VLOOKUP(INDEX(英雄装备!$F:$BZ,MATCH($H50,英雄装备!$F:$F,0),MATCH(S$2,英雄装备!$1:$1,0)-3),装备属性!$A:$C,3,0),VLOOKUP(INDEX(英雄装备!$F:$BZ,MATCH($H50,英雄装备!$F:$F,0),MATCH(S$2,英雄装备!$1:$1,0)-2),装备属性!$A:$C,3,0),VLOOKUP(INDEX(英雄装备!$F:$BZ,MATCH($H50,英雄装备!$F:$F,0),MATCH(S$2,英雄装备!$1:$1,0)-1),装备属性!$A:$C,3,0),VLOOKUP(INDEX(英雄装备!$F:$BZ,MATCH($H50,英雄装备!$F:$F,0),MATCH(S$2,英雄装备!$1:$1,0)),装备属性!$A:$C,3,0))</f>
        <v>85</v>
      </c>
      <c r="T50" s="51">
        <f>MAX(VLOOKUP(INDEX(英雄装备!$F:$BZ,MATCH($H50,英雄装备!$F:$F,0),MATCH(T$2,英雄装备!$1:$1,0)-5),装备属性!$A:$C,3,0),VLOOKUP(INDEX(英雄装备!$F:$BZ,MATCH($H50,英雄装备!$F:$F,0),MATCH(T$2,英雄装备!$1:$1,0)-4),装备属性!$A:$C,3,0),VLOOKUP(INDEX(英雄装备!$F:$BZ,MATCH($H50,英雄装备!$F:$F,0),MATCH(T$2,英雄装备!$1:$1,0)-3),装备属性!$A:$C,3,0),VLOOKUP(INDEX(英雄装备!$F:$BZ,MATCH($H50,英雄装备!$F:$F,0),MATCH(T$2,英雄装备!$1:$1,0)-2),装备属性!$A:$C,3,0),VLOOKUP(INDEX(英雄装备!$F:$BZ,MATCH($H50,英雄装备!$F:$F,0),MATCH(T$2,英雄装备!$1:$1,0)-1),装备属性!$A:$C,3,0))</f>
        <v>89</v>
      </c>
      <c r="V50" s="151">
        <v>9</v>
      </c>
      <c r="W50" s="151" t="str">
        <f>IF($V$2&lt;9,"","紫+2")</f>
        <v>紫+2</v>
      </c>
      <c r="X50" s="151" t="str">
        <f t="shared" si="6"/>
        <v>长笛</v>
      </c>
      <c r="Y50" s="151" t="str">
        <f t="shared" si="6"/>
        <v>深渊之刃</v>
      </c>
      <c r="Z50" s="151" t="str">
        <f t="shared" si="6"/>
        <v>秘银锤</v>
      </c>
      <c r="AA50" s="151" t="str">
        <f t="shared" si="6"/>
        <v>洛萨</v>
      </c>
      <c r="AB50" s="151" t="str">
        <f t="shared" si="6"/>
        <v>祭品</v>
      </c>
      <c r="AC50" s="151" t="str">
        <f t="shared" si="6"/>
        <v>飞鞋</v>
      </c>
      <c r="AF50" s="151">
        <v>5</v>
      </c>
      <c r="AG50" s="151" t="str">
        <f>AA5</f>
        <v>魔抗头巾</v>
      </c>
      <c r="AH50" s="151">
        <f>VLOOKUP($AG50,装备属性!$A:$Y,5,0)</f>
        <v>0</v>
      </c>
      <c r="AI50" s="151">
        <f>VLOOKUP($AG50,装备属性!$A:$Y,6,0)</f>
        <v>0</v>
      </c>
      <c r="AJ50" s="151">
        <f>VLOOKUP($AG50,装备属性!$A:$Y,7,0)</f>
        <v>0</v>
      </c>
      <c r="AK50" s="151">
        <f>VLOOKUP($AG50,装备属性!$A:$Y,8,0)</f>
        <v>0</v>
      </c>
      <c r="AL50" s="151">
        <f>VLOOKUP($AG50,装备属性!$A:$Y,9,0)</f>
        <v>0</v>
      </c>
      <c r="AM50" s="151">
        <f>VLOOKUP($AG50,装备属性!$A:$Y,10,0)</f>
        <v>0</v>
      </c>
      <c r="AN50" s="151">
        <f>VLOOKUP($AG50,装备属性!$A:$Y,11,0)</f>
        <v>0</v>
      </c>
      <c r="AO50" s="151">
        <f>VLOOKUP($AG50,装备属性!$A:$Y,12,0)</f>
        <v>12</v>
      </c>
      <c r="AP50" s="151">
        <f>VLOOKUP($AG50,装备属性!$A:$Y,13,0)</f>
        <v>0</v>
      </c>
      <c r="AQ50" s="151">
        <f>VLOOKUP($AG50,装备属性!$A:$Y,14,0)</f>
        <v>0</v>
      </c>
      <c r="AR50" s="151">
        <f>VLOOKUP($AG50,装备属性!$A:$Y,15,0)</f>
        <v>0</v>
      </c>
      <c r="AS50" s="151">
        <f>VLOOKUP($AG50,装备属性!$A:$Y,16,0)</f>
        <v>0</v>
      </c>
      <c r="AT50" s="151">
        <f>VLOOKUP($AG50,装备属性!$A:$Y,17,0)</f>
        <v>0</v>
      </c>
      <c r="AU50" s="151">
        <f>VLOOKUP($AG50,装备属性!$A:$Y,18,0)</f>
        <v>0</v>
      </c>
      <c r="AV50" s="151">
        <f>VLOOKUP($AG50,装备属性!$A:$Y,19,0)</f>
        <v>0</v>
      </c>
      <c r="AW50" s="151">
        <f>VLOOKUP($AG50,装备属性!$A:$Y,20,0)</f>
        <v>180</v>
      </c>
      <c r="AX50" s="151">
        <f>VLOOKUP($AG50,装备属性!$A:$Y,21,0)</f>
        <v>0</v>
      </c>
      <c r="AY50" s="151">
        <f>VLOOKUP($AG50,装备属性!$A:$Y,22,0)</f>
        <v>0</v>
      </c>
      <c r="AZ50" s="151">
        <f>VLOOKUP($AG50,装备属性!$A:$Y,23,0)</f>
        <v>0</v>
      </c>
      <c r="BA50" s="151">
        <f>VLOOKUP($AG50,装备属性!$A:$Y,24,0)</f>
        <v>0</v>
      </c>
      <c r="BB50" s="151">
        <f>VLOOKUP($AG50,装备属性!$A:$Y,25,0)</f>
        <v>0</v>
      </c>
    </row>
    <row r="51" spans="2:54">
      <c r="B51" s="186" t="s">
        <v>2129</v>
      </c>
      <c r="H51" s="119" t="s">
        <v>1814</v>
      </c>
      <c r="I51" s="51">
        <f>MAX(VLOOKUP(INDEX(英雄装备!$F:$BZ,MATCH($H51,英雄装备!$F:$F,0),MATCH(I$2,英雄装备!$1:$1,0)-5),装备属性!$A:$C,3,0),VLOOKUP(INDEX(英雄装备!$F:$BZ,MATCH($H51,英雄装备!$F:$F,0),MATCH(I$2,英雄装备!$1:$1,0)-4),装备属性!$A:$C,3,0),VLOOKUP(INDEX(英雄装备!$F:$BZ,MATCH($H51,英雄装备!$F:$F,0),MATCH(I$2,英雄装备!$1:$1,0)-3),装备属性!$A:$C,3,0),VLOOKUP(INDEX(英雄装备!$F:$BZ,MATCH($H51,英雄装备!$F:$F,0),MATCH(I$2,英雄装备!$1:$1,0)-2),装备属性!$A:$C,3,0),VLOOKUP(INDEX(英雄装备!$F:$BZ,MATCH($H51,英雄装备!$F:$F,0),MATCH(I$2,英雄装备!$1:$1,0)-1),装备属性!$A:$C,3,0),VLOOKUP(INDEX(英雄装备!$F:$BZ,MATCH($H51,英雄装备!$F:$F,0),MATCH(I$2,英雄装备!$1:$1,0)),装备属性!$A:$C,3,0))</f>
        <v>2</v>
      </c>
      <c r="J51" s="51">
        <f>MAX(VLOOKUP(INDEX(英雄装备!$F:$BZ,MATCH($H51,英雄装备!$F:$F,0),MATCH(J$2,英雄装备!$1:$1,0)-5),装备属性!$A:$C,3,0),VLOOKUP(INDEX(英雄装备!$F:$BZ,MATCH($H51,英雄装备!$F:$F,0),MATCH(J$2,英雄装备!$1:$1,0)-4),装备属性!$A:$C,3,0),VLOOKUP(INDEX(英雄装备!$F:$BZ,MATCH($H51,英雄装备!$F:$F,0),MATCH(J$2,英雄装备!$1:$1,0)-3),装备属性!$A:$C,3,0),VLOOKUP(INDEX(英雄装备!$F:$BZ,MATCH($H51,英雄装备!$F:$F,0),MATCH(J$2,英雄装备!$1:$1,0)-2),装备属性!$A:$C,3,0),VLOOKUP(INDEX(英雄装备!$F:$BZ,MATCH($H51,英雄装备!$F:$F,0),MATCH(J$2,英雄装备!$1:$1,0)-1),装备属性!$A:$C,3,0),VLOOKUP(INDEX(英雄装备!$F:$BZ,MATCH($H51,英雄装备!$F:$F,0),MATCH(J$2,英雄装备!$1:$1,0)),装备属性!$A:$C,3,0))</f>
        <v>12</v>
      </c>
      <c r="K51" s="51">
        <f>MAX(VLOOKUP(INDEX(英雄装备!$F:$BZ,MATCH($H51,英雄装备!$F:$F,0),MATCH(K$2,英雄装备!$1:$1,0)-5),装备属性!$A:$C,3,0),VLOOKUP(INDEX(英雄装备!$F:$BZ,MATCH($H51,英雄装备!$F:$F,0),MATCH(K$2,英雄装备!$1:$1,0)-4),装备属性!$A:$C,3,0),VLOOKUP(INDEX(英雄装备!$F:$BZ,MATCH($H51,英雄装备!$F:$F,0),MATCH(K$2,英雄装备!$1:$1,0)-3),装备属性!$A:$C,3,0),VLOOKUP(INDEX(英雄装备!$F:$BZ,MATCH($H51,英雄装备!$F:$F,0),MATCH(K$2,英雄装备!$1:$1,0)-2),装备属性!$A:$C,3,0),VLOOKUP(INDEX(英雄装备!$F:$BZ,MATCH($H51,英雄装备!$F:$F,0),MATCH(K$2,英雄装备!$1:$1,0)-1),装备属性!$A:$C,3,0),VLOOKUP(INDEX(英雄装备!$F:$BZ,MATCH($H51,英雄装备!$F:$F,0),MATCH(K$2,英雄装备!$1:$1,0)),装备属性!$A:$C,3,0))</f>
        <v>20</v>
      </c>
      <c r="L51" s="51">
        <f>MAX(VLOOKUP(INDEX(英雄装备!$F:$BZ,MATCH($H51,英雄装备!$F:$F,0),MATCH(L$2,英雄装备!$1:$1,0)-5),装备属性!$A:$C,3,0),VLOOKUP(INDEX(英雄装备!$F:$BZ,MATCH($H51,英雄装备!$F:$F,0),MATCH(L$2,英雄装备!$1:$1,0)-4),装备属性!$A:$C,3,0),VLOOKUP(INDEX(英雄装备!$F:$BZ,MATCH($H51,英雄装备!$F:$F,0),MATCH(L$2,英雄装备!$1:$1,0)-3),装备属性!$A:$C,3,0),VLOOKUP(INDEX(英雄装备!$F:$BZ,MATCH($H51,英雄装备!$F:$F,0),MATCH(L$2,英雄装备!$1:$1,0)-2),装备属性!$A:$C,3,0),VLOOKUP(INDEX(英雄装备!$F:$BZ,MATCH($H51,英雄装备!$F:$F,0),MATCH(L$2,英雄装备!$1:$1,0)-1),装备属性!$A:$C,3,0),VLOOKUP(INDEX(英雄装备!$F:$BZ,MATCH($H51,英雄装备!$F:$F,0),MATCH(L$2,英雄装备!$1:$1,0)),装备属性!$A:$C,3,0))</f>
        <v>36</v>
      </c>
      <c r="M51" s="51">
        <f>MAX(VLOOKUP(INDEX(英雄装备!$F:$BZ,MATCH($H51,英雄装备!$F:$F,0),MATCH(M$2,英雄装备!$1:$1,0)-5),装备属性!$A:$C,3,0),VLOOKUP(INDEX(英雄装备!$F:$BZ,MATCH($H51,英雄装备!$F:$F,0),MATCH(M$2,英雄装备!$1:$1,0)-4),装备属性!$A:$C,3,0),VLOOKUP(INDEX(英雄装备!$F:$BZ,MATCH($H51,英雄装备!$F:$F,0),MATCH(M$2,英雄装备!$1:$1,0)-3),装备属性!$A:$C,3,0),VLOOKUP(INDEX(英雄装备!$F:$BZ,MATCH($H51,英雄装备!$F:$F,0),MATCH(M$2,英雄装备!$1:$1,0)-2),装备属性!$A:$C,3,0),VLOOKUP(INDEX(英雄装备!$F:$BZ,MATCH($H51,英雄装备!$F:$F,0),MATCH(M$2,英雄装备!$1:$1,0)-1),装备属性!$A:$C,3,0),VLOOKUP(INDEX(英雄装备!$F:$BZ,MATCH($H51,英雄装备!$F:$F,0),MATCH(M$2,英雄装备!$1:$1,0)),装备属性!$A:$C,3,0))</f>
        <v>43</v>
      </c>
      <c r="N51" s="51">
        <f>MAX(VLOOKUP(INDEX(英雄装备!$F:$BZ,MATCH($H51,英雄装备!$F:$F,0),MATCH(N$2,英雄装备!$1:$1,0)-5),装备属性!$A:$C,3,0),VLOOKUP(INDEX(英雄装备!$F:$BZ,MATCH($H51,英雄装备!$F:$F,0),MATCH(N$2,英雄装备!$1:$1,0)-4),装备属性!$A:$C,3,0),VLOOKUP(INDEX(英雄装备!$F:$BZ,MATCH($H51,英雄装备!$F:$F,0),MATCH(N$2,英雄装备!$1:$1,0)-3),装备属性!$A:$C,3,0),VLOOKUP(INDEX(英雄装备!$F:$BZ,MATCH($H51,英雄装备!$F:$F,0),MATCH(N$2,英雄装备!$1:$1,0)-2),装备属性!$A:$C,3,0),VLOOKUP(INDEX(英雄装备!$F:$BZ,MATCH($H51,英雄装备!$F:$F,0),MATCH(N$2,英雄装备!$1:$1,0)-1),装备属性!$A:$C,3,0),VLOOKUP(INDEX(英雄装备!$F:$BZ,MATCH($H51,英雄装备!$F:$F,0),MATCH(N$2,英雄装备!$1:$1,0)),装备属性!$A:$C,3,0))</f>
        <v>51</v>
      </c>
      <c r="O51" s="51">
        <f>MAX(VLOOKUP(INDEX(英雄装备!$F:$BZ,MATCH($H51,英雄装备!$F:$F,0),MATCH(O$2,英雄装备!$1:$1,0)-5),装备属性!$A:$C,3,0),VLOOKUP(INDEX(英雄装备!$F:$BZ,MATCH($H51,英雄装备!$F:$F,0),MATCH(O$2,英雄装备!$1:$1,0)-4),装备属性!$A:$C,3,0),VLOOKUP(INDEX(英雄装备!$F:$BZ,MATCH($H51,英雄装备!$F:$F,0),MATCH(O$2,英雄装备!$1:$1,0)-3),装备属性!$A:$C,3,0),VLOOKUP(INDEX(英雄装备!$F:$BZ,MATCH($H51,英雄装备!$F:$F,0),MATCH(O$2,英雄装备!$1:$1,0)-2),装备属性!$A:$C,3,0),VLOOKUP(INDEX(英雄装备!$F:$BZ,MATCH($H51,英雄装备!$F:$F,0),MATCH(O$2,英雄装备!$1:$1,0)-1),装备属性!$A:$C,3,0),VLOOKUP(INDEX(英雄装备!$F:$BZ,MATCH($H51,英雄装备!$F:$F,0),MATCH(O$2,英雄装备!$1:$1,0)),装备属性!$A:$C,3,0))</f>
        <v>59</v>
      </c>
      <c r="P51" s="51">
        <f>MAX(VLOOKUP(INDEX(英雄装备!$F:$BZ,MATCH($H51,英雄装备!$F:$F,0),MATCH(P$2,英雄装备!$1:$1,0)-5),装备属性!$A:$C,3,0),VLOOKUP(INDEX(英雄装备!$F:$BZ,MATCH($H51,英雄装备!$F:$F,0),MATCH(P$2,英雄装备!$1:$1,0)-4),装备属性!$A:$C,3,0),VLOOKUP(INDEX(英雄装备!$F:$BZ,MATCH($H51,英雄装备!$F:$F,0),MATCH(P$2,英雄装备!$1:$1,0)-3),装备属性!$A:$C,3,0),VLOOKUP(INDEX(英雄装备!$F:$BZ,MATCH($H51,英雄装备!$F:$F,0),MATCH(P$2,英雄装备!$1:$1,0)-2),装备属性!$A:$C,3,0),VLOOKUP(INDEX(英雄装备!$F:$BZ,MATCH($H51,英雄装备!$F:$F,0),MATCH(P$2,英雄装备!$1:$1,0)-1),装备属性!$A:$C,3,0),VLOOKUP(INDEX(英雄装备!$F:$BZ,MATCH($H51,英雄装备!$F:$F,0),MATCH(P$2,英雄装备!$1:$1,0)),装备属性!$A:$C,3,0))</f>
        <v>70</v>
      </c>
      <c r="Q51" s="51">
        <f>MAX(VLOOKUP(INDEX(英雄装备!$F:$BZ,MATCH($H51,英雄装备!$F:$F,0),MATCH(Q$2,英雄装备!$1:$1,0)-5),装备属性!$A:$C,3,0),VLOOKUP(INDEX(英雄装备!$F:$BZ,MATCH($H51,英雄装备!$F:$F,0),MATCH(Q$2,英雄装备!$1:$1,0)-4),装备属性!$A:$C,3,0),VLOOKUP(INDEX(英雄装备!$F:$BZ,MATCH($H51,英雄装备!$F:$F,0),MATCH(Q$2,英雄装备!$1:$1,0)-3),装备属性!$A:$C,3,0),VLOOKUP(INDEX(英雄装备!$F:$BZ,MATCH($H51,英雄装备!$F:$F,0),MATCH(Q$2,英雄装备!$1:$1,0)-2),装备属性!$A:$C,3,0),VLOOKUP(INDEX(英雄装备!$F:$BZ,MATCH($H51,英雄装备!$F:$F,0),MATCH(Q$2,英雄装备!$1:$1,0)-1),装备属性!$A:$C,3,0),VLOOKUP(INDEX(英雄装备!$F:$BZ,MATCH($H51,英雄装备!$F:$F,0),MATCH(Q$2,英雄装备!$1:$1,0)),装备属性!$A:$C,3,0))</f>
        <v>80</v>
      </c>
      <c r="R51" s="51">
        <f>MAX(VLOOKUP(INDEX(英雄装备!$F:$BZ,MATCH($H51,英雄装备!$F:$F,0),MATCH(R$2,英雄装备!$1:$1,0)-5),装备属性!$A:$C,3,0),VLOOKUP(INDEX(英雄装备!$F:$BZ,MATCH($H51,英雄装备!$F:$F,0),MATCH(R$2,英雄装备!$1:$1,0)-4),装备属性!$A:$C,3,0),VLOOKUP(INDEX(英雄装备!$F:$BZ,MATCH($H51,英雄装备!$F:$F,0),MATCH(R$2,英雄装备!$1:$1,0)-3),装备属性!$A:$C,3,0),VLOOKUP(INDEX(英雄装备!$F:$BZ,MATCH($H51,英雄装备!$F:$F,0),MATCH(R$2,英雄装备!$1:$1,0)-2),装备属性!$A:$C,3,0),VLOOKUP(INDEX(英雄装备!$F:$BZ,MATCH($H51,英雄装备!$F:$F,0),MATCH(R$2,英雄装备!$1:$1,0)-1),装备属性!$A:$C,3,0),VLOOKUP(INDEX(英雄装备!$F:$BZ,MATCH($H51,英雄装备!$F:$F,0),MATCH(R$2,英雄装备!$1:$1,0)),装备属性!$A:$C,3,0))</f>
        <v>80</v>
      </c>
      <c r="S51" s="51">
        <f>MAX(VLOOKUP(INDEX(英雄装备!$F:$BZ,MATCH($H51,英雄装备!$F:$F,0),MATCH(S$2,英雄装备!$1:$1,0)-5),装备属性!$A:$C,3,0),VLOOKUP(INDEX(英雄装备!$F:$BZ,MATCH($H51,英雄装备!$F:$F,0),MATCH(S$2,英雄装备!$1:$1,0)-4),装备属性!$A:$C,3,0),VLOOKUP(INDEX(英雄装备!$F:$BZ,MATCH($H51,英雄装备!$F:$F,0),MATCH(S$2,英雄装备!$1:$1,0)-3),装备属性!$A:$C,3,0),VLOOKUP(INDEX(英雄装备!$F:$BZ,MATCH($H51,英雄装备!$F:$F,0),MATCH(S$2,英雄装备!$1:$1,0)-2),装备属性!$A:$C,3,0),VLOOKUP(INDEX(英雄装备!$F:$BZ,MATCH($H51,英雄装备!$F:$F,0),MATCH(S$2,英雄装备!$1:$1,0)-1),装备属性!$A:$C,3,0),VLOOKUP(INDEX(英雄装备!$F:$BZ,MATCH($H51,英雄装备!$F:$F,0),MATCH(S$2,英雄装备!$1:$1,0)),装备属性!$A:$C,3,0))</f>
        <v>85</v>
      </c>
      <c r="T51" s="51">
        <f>MAX(VLOOKUP(INDEX(英雄装备!$F:$BZ,MATCH($H51,英雄装备!$F:$F,0),MATCH(T$2,英雄装备!$1:$1,0)-5),装备属性!$A:$C,3,0),VLOOKUP(INDEX(英雄装备!$F:$BZ,MATCH($H51,英雄装备!$F:$F,0),MATCH(T$2,英雄装备!$1:$1,0)-4),装备属性!$A:$C,3,0),VLOOKUP(INDEX(英雄装备!$F:$BZ,MATCH($H51,英雄装备!$F:$F,0),MATCH(T$2,英雄装备!$1:$1,0)-3),装备属性!$A:$C,3,0),VLOOKUP(INDEX(英雄装备!$F:$BZ,MATCH($H51,英雄装备!$F:$F,0),MATCH(T$2,英雄装备!$1:$1,0)-2),装备属性!$A:$C,3,0),VLOOKUP(INDEX(英雄装备!$F:$BZ,MATCH($H51,英雄装备!$F:$F,0),MATCH(T$2,英雄装备!$1:$1,0)-1),装备属性!$A:$C,3,0))</f>
        <v>88</v>
      </c>
      <c r="V51" s="151">
        <v>10</v>
      </c>
      <c r="W51" s="151" t="str">
        <f>IF($V$2&lt;10,"","紫+3")</f>
        <v>紫+3</v>
      </c>
      <c r="X51" s="151" t="str">
        <f t="shared" si="6"/>
        <v>大炮</v>
      </c>
      <c r="Y51" s="151" t="str">
        <f t="shared" si="6"/>
        <v>金箍棒</v>
      </c>
      <c r="Z51" s="151" t="str">
        <f t="shared" si="6"/>
        <v>龙心</v>
      </c>
      <c r="AA51" s="151" t="str">
        <f t="shared" si="6"/>
        <v>黑黄</v>
      </c>
      <c r="AB51" s="151" t="str">
        <f t="shared" si="6"/>
        <v>冲锋盾</v>
      </c>
      <c r="AC51" s="151" t="str">
        <f t="shared" si="6"/>
        <v>飞鞋</v>
      </c>
      <c r="AF51" s="151">
        <v>5</v>
      </c>
      <c r="AG51" s="151" t="str">
        <f>AB5</f>
        <v>天鹰之戒</v>
      </c>
      <c r="AH51" s="151">
        <f>VLOOKUP($AG51,装备属性!$A:$Y,5,0)</f>
        <v>3</v>
      </c>
      <c r="AI51" s="151">
        <f>VLOOKUP($AG51,装备属性!$A:$Y,6,0)</f>
        <v>3</v>
      </c>
      <c r="AJ51" s="151">
        <f>VLOOKUP($AG51,装备属性!$A:$Y,7,0)</f>
        <v>3</v>
      </c>
      <c r="AK51" s="151">
        <f>VLOOKUP($AG51,装备属性!$A:$Y,8,0)</f>
        <v>0</v>
      </c>
      <c r="AL51" s="151">
        <f>VLOOKUP($AG51,装备属性!$A:$Y,9,0)</f>
        <v>0</v>
      </c>
      <c r="AM51" s="151">
        <f>VLOOKUP($AG51,装备属性!$A:$Y,10,0)</f>
        <v>0</v>
      </c>
      <c r="AN51" s="151">
        <f>VLOOKUP($AG51,装备属性!$A:$Y,11,0)</f>
        <v>3</v>
      </c>
      <c r="AO51" s="151">
        <f>VLOOKUP($AG51,装备属性!$A:$Y,12,0)</f>
        <v>0</v>
      </c>
      <c r="AP51" s="151">
        <f>VLOOKUP($AG51,装备属性!$A:$Y,13,0)</f>
        <v>0</v>
      </c>
      <c r="AQ51" s="151">
        <f>VLOOKUP($AG51,装备属性!$A:$Y,14,0)</f>
        <v>0</v>
      </c>
      <c r="AR51" s="151">
        <f>VLOOKUP($AG51,装备属性!$A:$Y,15,0)</f>
        <v>0</v>
      </c>
      <c r="AS51" s="151">
        <f>VLOOKUP($AG51,装备属性!$A:$Y,16,0)</f>
        <v>0</v>
      </c>
      <c r="AT51" s="151">
        <f>VLOOKUP($AG51,装备属性!$A:$Y,17,0)</f>
        <v>0</v>
      </c>
      <c r="AU51" s="151">
        <f>VLOOKUP($AG51,装备属性!$A:$Y,18,0)</f>
        <v>0</v>
      </c>
      <c r="AV51" s="151">
        <f>VLOOKUP($AG51,装备属性!$A:$Y,19,0)</f>
        <v>0</v>
      </c>
      <c r="AW51" s="151">
        <f>VLOOKUP($AG51,装备属性!$A:$Y,20,0)</f>
        <v>0</v>
      </c>
      <c r="AX51" s="151">
        <f>VLOOKUP($AG51,装备属性!$A:$Y,21,0)</f>
        <v>32</v>
      </c>
      <c r="AY51" s="151">
        <f>VLOOKUP($AG51,装备属性!$A:$Y,22,0)</f>
        <v>0</v>
      </c>
      <c r="AZ51" s="151">
        <f>VLOOKUP($AG51,装备属性!$A:$Y,23,0)</f>
        <v>0</v>
      </c>
      <c r="BA51" s="151">
        <f>VLOOKUP($AG51,装备属性!$A:$Y,24,0)</f>
        <v>0</v>
      </c>
      <c r="BB51" s="151">
        <f>VLOOKUP($AG51,装备属性!$A:$Y,25,0)</f>
        <v>0</v>
      </c>
    </row>
    <row r="52" spans="2:54">
      <c r="H52" s="119" t="s">
        <v>2012</v>
      </c>
      <c r="I52" s="51">
        <f>MAX(VLOOKUP(INDEX(英雄装备!$F:$BZ,MATCH($H52,英雄装备!$F:$F,0),MATCH(I$2,英雄装备!$1:$1,0)-5),装备属性!$A:$C,3,0),VLOOKUP(INDEX(英雄装备!$F:$BZ,MATCH($H52,英雄装备!$F:$F,0),MATCH(I$2,英雄装备!$1:$1,0)-4),装备属性!$A:$C,3,0),VLOOKUP(INDEX(英雄装备!$F:$BZ,MATCH($H52,英雄装备!$F:$F,0),MATCH(I$2,英雄装备!$1:$1,0)-3),装备属性!$A:$C,3,0),VLOOKUP(INDEX(英雄装备!$F:$BZ,MATCH($H52,英雄装备!$F:$F,0),MATCH(I$2,英雄装备!$1:$1,0)-2),装备属性!$A:$C,3,0),VLOOKUP(INDEX(英雄装备!$F:$BZ,MATCH($H52,英雄装备!$F:$F,0),MATCH(I$2,英雄装备!$1:$1,0)-1),装备属性!$A:$C,3,0),VLOOKUP(INDEX(英雄装备!$F:$BZ,MATCH($H52,英雄装备!$F:$F,0),MATCH(I$2,英雄装备!$1:$1,0)),装备属性!$A:$C,3,0))</f>
        <v>2</v>
      </c>
      <c r="J52" s="51">
        <f>MAX(VLOOKUP(INDEX(英雄装备!$F:$BZ,MATCH($H52,英雄装备!$F:$F,0),MATCH(J$2,英雄装备!$1:$1,0)-5),装备属性!$A:$C,3,0),VLOOKUP(INDEX(英雄装备!$F:$BZ,MATCH($H52,英雄装备!$F:$F,0),MATCH(J$2,英雄装备!$1:$1,0)-4),装备属性!$A:$C,3,0),VLOOKUP(INDEX(英雄装备!$F:$BZ,MATCH($H52,英雄装备!$F:$F,0),MATCH(J$2,英雄装备!$1:$1,0)-3),装备属性!$A:$C,3,0),VLOOKUP(INDEX(英雄装备!$F:$BZ,MATCH($H52,英雄装备!$F:$F,0),MATCH(J$2,英雄装备!$1:$1,0)-2),装备属性!$A:$C,3,0),VLOOKUP(INDEX(英雄装备!$F:$BZ,MATCH($H52,英雄装备!$F:$F,0),MATCH(J$2,英雄装备!$1:$1,0)-1),装备属性!$A:$C,3,0),VLOOKUP(INDEX(英雄装备!$F:$BZ,MATCH($H52,英雄装备!$F:$F,0),MATCH(J$2,英雄装备!$1:$1,0)),装备属性!$A:$C,3,0))</f>
        <v>10</v>
      </c>
      <c r="K52" s="51">
        <f>MAX(VLOOKUP(INDEX(英雄装备!$F:$BZ,MATCH($H52,英雄装备!$F:$F,0),MATCH(K$2,英雄装备!$1:$1,0)-5),装备属性!$A:$C,3,0),VLOOKUP(INDEX(英雄装备!$F:$BZ,MATCH($H52,英雄装备!$F:$F,0),MATCH(K$2,英雄装备!$1:$1,0)-4),装备属性!$A:$C,3,0),VLOOKUP(INDEX(英雄装备!$F:$BZ,MATCH($H52,英雄装备!$F:$F,0),MATCH(K$2,英雄装备!$1:$1,0)-3),装备属性!$A:$C,3,0),VLOOKUP(INDEX(英雄装备!$F:$BZ,MATCH($H52,英雄装备!$F:$F,0),MATCH(K$2,英雄装备!$1:$1,0)-2),装备属性!$A:$C,3,0),VLOOKUP(INDEX(英雄装备!$F:$BZ,MATCH($H52,英雄装备!$F:$F,0),MATCH(K$2,英雄装备!$1:$1,0)-1),装备属性!$A:$C,3,0),VLOOKUP(INDEX(英雄装备!$F:$BZ,MATCH($H52,英雄装备!$F:$F,0),MATCH(K$2,英雄装备!$1:$1,0)),装备属性!$A:$C,3,0))</f>
        <v>20</v>
      </c>
      <c r="L52" s="51">
        <f>MAX(VLOOKUP(INDEX(英雄装备!$F:$BZ,MATCH($H52,英雄装备!$F:$F,0),MATCH(L$2,英雄装备!$1:$1,0)-5),装备属性!$A:$C,3,0),VLOOKUP(INDEX(英雄装备!$F:$BZ,MATCH($H52,英雄装备!$F:$F,0),MATCH(L$2,英雄装备!$1:$1,0)-4),装备属性!$A:$C,3,0),VLOOKUP(INDEX(英雄装备!$F:$BZ,MATCH($H52,英雄装备!$F:$F,0),MATCH(L$2,英雄装备!$1:$1,0)-3),装备属性!$A:$C,3,0),VLOOKUP(INDEX(英雄装备!$F:$BZ,MATCH($H52,英雄装备!$F:$F,0),MATCH(L$2,英雄装备!$1:$1,0)-2),装备属性!$A:$C,3,0),VLOOKUP(INDEX(英雄装备!$F:$BZ,MATCH($H52,英雄装备!$F:$F,0),MATCH(L$2,英雄装备!$1:$1,0)-1),装备属性!$A:$C,3,0),VLOOKUP(INDEX(英雄装备!$F:$BZ,MATCH($H52,英雄装备!$F:$F,0),MATCH(L$2,英雄装备!$1:$1,0)),装备属性!$A:$C,3,0))</f>
        <v>35</v>
      </c>
      <c r="M52" s="51">
        <f>MAX(VLOOKUP(INDEX(英雄装备!$F:$BZ,MATCH($H52,英雄装备!$F:$F,0),MATCH(M$2,英雄装备!$1:$1,0)-5),装备属性!$A:$C,3,0),VLOOKUP(INDEX(英雄装备!$F:$BZ,MATCH($H52,英雄装备!$F:$F,0),MATCH(M$2,英雄装备!$1:$1,0)-4),装备属性!$A:$C,3,0),VLOOKUP(INDEX(英雄装备!$F:$BZ,MATCH($H52,英雄装备!$F:$F,0),MATCH(M$2,英雄装备!$1:$1,0)-3),装备属性!$A:$C,3,0),VLOOKUP(INDEX(英雄装备!$F:$BZ,MATCH($H52,英雄装备!$F:$F,0),MATCH(M$2,英雄装备!$1:$1,0)-2),装备属性!$A:$C,3,0),VLOOKUP(INDEX(英雄装备!$F:$BZ,MATCH($H52,英雄装备!$F:$F,0),MATCH(M$2,英雄装备!$1:$1,0)-1),装备属性!$A:$C,3,0),VLOOKUP(INDEX(英雄装备!$F:$BZ,MATCH($H52,英雄装备!$F:$F,0),MATCH(M$2,英雄装备!$1:$1,0)),装备属性!$A:$C,3,0))</f>
        <v>44</v>
      </c>
      <c r="N52" s="51">
        <f>MAX(VLOOKUP(INDEX(英雄装备!$F:$BZ,MATCH($H52,英雄装备!$F:$F,0),MATCH(N$2,英雄装备!$1:$1,0)-5),装备属性!$A:$C,3,0),VLOOKUP(INDEX(英雄装备!$F:$BZ,MATCH($H52,英雄装备!$F:$F,0),MATCH(N$2,英雄装备!$1:$1,0)-4),装备属性!$A:$C,3,0),VLOOKUP(INDEX(英雄装备!$F:$BZ,MATCH($H52,英雄装备!$F:$F,0),MATCH(N$2,英雄装备!$1:$1,0)-3),装备属性!$A:$C,3,0),VLOOKUP(INDEX(英雄装备!$F:$BZ,MATCH($H52,英雄装备!$F:$F,0),MATCH(N$2,英雄装备!$1:$1,0)-2),装备属性!$A:$C,3,0),VLOOKUP(INDEX(英雄装备!$F:$BZ,MATCH($H52,英雄装备!$F:$F,0),MATCH(N$2,英雄装备!$1:$1,0)-1),装备属性!$A:$C,3,0),VLOOKUP(INDEX(英雄装备!$F:$BZ,MATCH($H52,英雄装备!$F:$F,0),MATCH(N$2,英雄装备!$1:$1,0)),装备属性!$A:$C,3,0))</f>
        <v>53</v>
      </c>
      <c r="O52" s="51">
        <f>MAX(VLOOKUP(INDEX(英雄装备!$F:$BZ,MATCH($H52,英雄装备!$F:$F,0),MATCH(O$2,英雄装备!$1:$1,0)-5),装备属性!$A:$C,3,0),VLOOKUP(INDEX(英雄装备!$F:$BZ,MATCH($H52,英雄装备!$F:$F,0),MATCH(O$2,英雄装备!$1:$1,0)-4),装备属性!$A:$C,3,0),VLOOKUP(INDEX(英雄装备!$F:$BZ,MATCH($H52,英雄装备!$F:$F,0),MATCH(O$2,英雄装备!$1:$1,0)-3),装备属性!$A:$C,3,0),VLOOKUP(INDEX(英雄装备!$F:$BZ,MATCH($H52,英雄装备!$F:$F,0),MATCH(O$2,英雄装备!$1:$1,0)-2),装备属性!$A:$C,3,0),VLOOKUP(INDEX(英雄装备!$F:$BZ,MATCH($H52,英雄装备!$F:$F,0),MATCH(O$2,英雄装备!$1:$1,0)-1),装备属性!$A:$C,3,0),VLOOKUP(INDEX(英雄装备!$F:$BZ,MATCH($H52,英雄装备!$F:$F,0),MATCH(O$2,英雄装备!$1:$1,0)),装备属性!$A:$C,3,0))</f>
        <v>64</v>
      </c>
      <c r="P52" s="51">
        <f>MAX(VLOOKUP(INDEX(英雄装备!$F:$BZ,MATCH($H52,英雄装备!$F:$F,0),MATCH(P$2,英雄装备!$1:$1,0)-5),装备属性!$A:$C,3,0),VLOOKUP(INDEX(英雄装备!$F:$BZ,MATCH($H52,英雄装备!$F:$F,0),MATCH(P$2,英雄装备!$1:$1,0)-4),装备属性!$A:$C,3,0),VLOOKUP(INDEX(英雄装备!$F:$BZ,MATCH($H52,英雄装备!$F:$F,0),MATCH(P$2,英雄装备!$1:$1,0)-3),装备属性!$A:$C,3,0),VLOOKUP(INDEX(英雄装备!$F:$BZ,MATCH($H52,英雄装备!$F:$F,0),MATCH(P$2,英雄装备!$1:$1,0)-2),装备属性!$A:$C,3,0),VLOOKUP(INDEX(英雄装备!$F:$BZ,MATCH($H52,英雄装备!$F:$F,0),MATCH(P$2,英雄装备!$1:$1,0)-1),装备属性!$A:$C,3,0),VLOOKUP(INDEX(英雄装备!$F:$BZ,MATCH($H52,英雄装备!$F:$F,0),MATCH(P$2,英雄装备!$1:$1,0)),装备属性!$A:$C,3,0))</f>
        <v>73</v>
      </c>
      <c r="Q52" s="51">
        <f>MAX(VLOOKUP(INDEX(英雄装备!$F:$BZ,MATCH($H52,英雄装备!$F:$F,0),MATCH(Q$2,英雄装备!$1:$1,0)-5),装备属性!$A:$C,3,0),VLOOKUP(INDEX(英雄装备!$F:$BZ,MATCH($H52,英雄装备!$F:$F,0),MATCH(Q$2,英雄装备!$1:$1,0)-4),装备属性!$A:$C,3,0),VLOOKUP(INDEX(英雄装备!$F:$BZ,MATCH($H52,英雄装备!$F:$F,0),MATCH(Q$2,英雄装备!$1:$1,0)-3),装备属性!$A:$C,3,0),VLOOKUP(INDEX(英雄装备!$F:$BZ,MATCH($H52,英雄装备!$F:$F,0),MATCH(Q$2,英雄装备!$1:$1,0)-2),装备属性!$A:$C,3,0),VLOOKUP(INDEX(英雄装备!$F:$BZ,MATCH($H52,英雄装备!$F:$F,0),MATCH(Q$2,英雄装备!$1:$1,0)-1),装备属性!$A:$C,3,0),VLOOKUP(INDEX(英雄装备!$F:$BZ,MATCH($H52,英雄装备!$F:$F,0),MATCH(Q$2,英雄装备!$1:$1,0)),装备属性!$A:$C,3,0))</f>
        <v>79</v>
      </c>
      <c r="R52" s="51">
        <f>MAX(VLOOKUP(INDEX(英雄装备!$F:$BZ,MATCH($H52,英雄装备!$F:$F,0),MATCH(R$2,英雄装备!$1:$1,0)-5),装备属性!$A:$C,3,0),VLOOKUP(INDEX(英雄装备!$F:$BZ,MATCH($H52,英雄装备!$F:$F,0),MATCH(R$2,英雄装备!$1:$1,0)-4),装备属性!$A:$C,3,0),VLOOKUP(INDEX(英雄装备!$F:$BZ,MATCH($H52,英雄装备!$F:$F,0),MATCH(R$2,英雄装备!$1:$1,0)-3),装备属性!$A:$C,3,0),VLOOKUP(INDEX(英雄装备!$F:$BZ,MATCH($H52,英雄装备!$F:$F,0),MATCH(R$2,英雄装备!$1:$1,0)-2),装备属性!$A:$C,3,0),VLOOKUP(INDEX(英雄装备!$F:$BZ,MATCH($H52,英雄装备!$F:$F,0),MATCH(R$2,英雄装备!$1:$1,0)-1),装备属性!$A:$C,3,0),VLOOKUP(INDEX(英雄装备!$F:$BZ,MATCH($H52,英雄装备!$F:$F,0),MATCH(R$2,英雄装备!$1:$1,0)),装备属性!$A:$C,3,0))</f>
        <v>72</v>
      </c>
      <c r="S52" s="51">
        <f>MAX(VLOOKUP(INDEX(英雄装备!$F:$BZ,MATCH($H52,英雄装备!$F:$F,0),MATCH(S$2,英雄装备!$1:$1,0)-5),装备属性!$A:$C,3,0),VLOOKUP(INDEX(英雄装备!$F:$BZ,MATCH($H52,英雄装备!$F:$F,0),MATCH(S$2,英雄装备!$1:$1,0)-4),装备属性!$A:$C,3,0),VLOOKUP(INDEX(英雄装备!$F:$BZ,MATCH($H52,英雄装备!$F:$F,0),MATCH(S$2,英雄装备!$1:$1,0)-3),装备属性!$A:$C,3,0),VLOOKUP(INDEX(英雄装备!$F:$BZ,MATCH($H52,英雄装备!$F:$F,0),MATCH(S$2,英雄装备!$1:$1,0)-2),装备属性!$A:$C,3,0),VLOOKUP(INDEX(英雄装备!$F:$BZ,MATCH($H52,英雄装备!$F:$F,0),MATCH(S$2,英雄装备!$1:$1,0)-1),装备属性!$A:$C,3,0),VLOOKUP(INDEX(英雄装备!$F:$BZ,MATCH($H52,英雄装备!$F:$F,0),MATCH(S$2,英雄装备!$1:$1,0)),装备属性!$A:$C,3,0))</f>
        <v>84</v>
      </c>
      <c r="T52" s="51">
        <f>MAX(VLOOKUP(INDEX(英雄装备!$F:$BZ,MATCH($H52,英雄装备!$F:$F,0),MATCH(T$2,英雄装备!$1:$1,0)-5),装备属性!$A:$C,3,0),VLOOKUP(INDEX(英雄装备!$F:$BZ,MATCH($H52,英雄装备!$F:$F,0),MATCH(T$2,英雄装备!$1:$1,0)-4),装备属性!$A:$C,3,0),VLOOKUP(INDEX(英雄装备!$F:$BZ,MATCH($H52,英雄装备!$F:$F,0),MATCH(T$2,英雄装备!$1:$1,0)-3),装备属性!$A:$C,3,0),VLOOKUP(INDEX(英雄装备!$F:$BZ,MATCH($H52,英雄装备!$F:$F,0),MATCH(T$2,英雄装备!$1:$1,0)-2),装备属性!$A:$C,3,0),VLOOKUP(INDEX(英雄装备!$F:$BZ,MATCH($H52,英雄装备!$F:$F,0),MATCH(T$2,英雄装备!$1:$1,0)-1),装备属性!$A:$C,3,0))</f>
        <v>89</v>
      </c>
      <c r="V52" s="151">
        <v>11</v>
      </c>
      <c r="W52" s="151" t="str">
        <f>IF($V$2&lt;11,"","紫+4")</f>
        <v>紫+4</v>
      </c>
      <c r="X52" s="151" t="str">
        <f t="shared" si="6"/>
        <v>欺诈者之剑</v>
      </c>
      <c r="Y52" s="151" t="str">
        <f t="shared" si="6"/>
        <v>鹰羽指环</v>
      </c>
      <c r="Z52" s="151" t="str">
        <f t="shared" si="6"/>
        <v>撒旦</v>
      </c>
      <c r="AA52" s="151" t="str">
        <f t="shared" si="6"/>
        <v>龙心</v>
      </c>
      <c r="AB52" s="151" t="str">
        <f t="shared" si="6"/>
        <v>射手指环</v>
      </c>
      <c r="AC52" s="151" t="str">
        <f t="shared" si="6"/>
        <v>疾行鞋</v>
      </c>
      <c r="AF52" s="151">
        <v>5</v>
      </c>
      <c r="AG52" s="151" t="str">
        <f>AC5</f>
        <v>相位鞋</v>
      </c>
      <c r="AH52" s="151">
        <f>VLOOKUP($AG52,装备属性!$A:$Y,5,0)</f>
        <v>9</v>
      </c>
      <c r="AI52" s="151">
        <f>VLOOKUP($AG52,装备属性!$A:$Y,6,0)</f>
        <v>9</v>
      </c>
      <c r="AJ52" s="151">
        <f>VLOOKUP($AG52,装备属性!$A:$Y,7,0)</f>
        <v>9</v>
      </c>
      <c r="AK52" s="151">
        <f>VLOOKUP($AG52,装备属性!$A:$Y,8,0)</f>
        <v>0</v>
      </c>
      <c r="AL52" s="151">
        <f>VLOOKUP($AG52,装备属性!$A:$Y,9,0)</f>
        <v>24</v>
      </c>
      <c r="AM52" s="151">
        <f>VLOOKUP($AG52,装备属性!$A:$Y,10,0)</f>
        <v>0</v>
      </c>
      <c r="AN52" s="151">
        <f>VLOOKUP($AG52,装备属性!$A:$Y,11,0)</f>
        <v>0</v>
      </c>
      <c r="AO52" s="151">
        <f>VLOOKUP($AG52,装备属性!$A:$Y,12,0)</f>
        <v>0</v>
      </c>
      <c r="AP52" s="151">
        <f>VLOOKUP($AG52,装备属性!$A:$Y,13,0)</f>
        <v>0</v>
      </c>
      <c r="AQ52" s="151">
        <f>VLOOKUP($AG52,装备属性!$A:$Y,14,0)</f>
        <v>0</v>
      </c>
      <c r="AR52" s="151">
        <f>VLOOKUP($AG52,装备属性!$A:$Y,15,0)</f>
        <v>0</v>
      </c>
      <c r="AS52" s="151">
        <f>VLOOKUP($AG52,装备属性!$A:$Y,16,0)</f>
        <v>0</v>
      </c>
      <c r="AT52" s="151">
        <f>VLOOKUP($AG52,装备属性!$A:$Y,17,0)</f>
        <v>0</v>
      </c>
      <c r="AU52" s="151">
        <f>VLOOKUP($AG52,装备属性!$A:$Y,18,0)</f>
        <v>0</v>
      </c>
      <c r="AV52" s="151">
        <f>VLOOKUP($AG52,装备属性!$A:$Y,19,0)</f>
        <v>0</v>
      </c>
      <c r="AW52" s="151">
        <f>VLOOKUP($AG52,装备属性!$A:$Y,20,0)</f>
        <v>0</v>
      </c>
      <c r="AX52" s="151">
        <f>VLOOKUP($AG52,装备属性!$A:$Y,21,0)</f>
        <v>0</v>
      </c>
      <c r="AY52" s="151">
        <f>VLOOKUP($AG52,装备属性!$A:$Y,22,0)</f>
        <v>0</v>
      </c>
      <c r="AZ52" s="151">
        <f>VLOOKUP($AG52,装备属性!$A:$Y,23,0)</f>
        <v>0</v>
      </c>
      <c r="BA52" s="151">
        <f>VLOOKUP($AG52,装备属性!$A:$Y,24,0)</f>
        <v>0</v>
      </c>
      <c r="BB52" s="151">
        <f>VLOOKUP($AG52,装备属性!$A:$Y,25,0)</f>
        <v>0</v>
      </c>
    </row>
    <row r="53" spans="2:54">
      <c r="H53" s="119" t="s">
        <v>2129</v>
      </c>
      <c r="I53" s="51">
        <f>MAX(VLOOKUP(INDEX(英雄装备!$F:$BZ,MATCH($H53,英雄装备!$F:$F,0),MATCH(I$2,英雄装备!$1:$1,0)-5),装备属性!$A:$C,3,0),VLOOKUP(INDEX(英雄装备!$F:$BZ,MATCH($H53,英雄装备!$F:$F,0),MATCH(I$2,英雄装备!$1:$1,0)-4),装备属性!$A:$C,3,0),VLOOKUP(INDEX(英雄装备!$F:$BZ,MATCH($H53,英雄装备!$F:$F,0),MATCH(I$2,英雄装备!$1:$1,0)-3),装备属性!$A:$C,3,0),VLOOKUP(INDEX(英雄装备!$F:$BZ,MATCH($H53,英雄装备!$F:$F,0),MATCH(I$2,英雄装备!$1:$1,0)-2),装备属性!$A:$C,3,0),VLOOKUP(INDEX(英雄装备!$F:$BZ,MATCH($H53,英雄装备!$F:$F,0),MATCH(I$2,英雄装备!$1:$1,0)-1),装备属性!$A:$C,3,0),VLOOKUP(INDEX(英雄装备!$F:$BZ,MATCH($H53,英雄装备!$F:$F,0),MATCH(I$2,英雄装备!$1:$1,0)),装备属性!$A:$C,3,0))</f>
        <v>2</v>
      </c>
      <c r="J53" s="51">
        <f>MAX(VLOOKUP(INDEX(英雄装备!$F:$BZ,MATCH($H53,英雄装备!$F:$F,0),MATCH(J$2,英雄装备!$1:$1,0)-5),装备属性!$A:$C,3,0),VLOOKUP(INDEX(英雄装备!$F:$BZ,MATCH($H53,英雄装备!$F:$F,0),MATCH(J$2,英雄装备!$1:$1,0)-4),装备属性!$A:$C,3,0),VLOOKUP(INDEX(英雄装备!$F:$BZ,MATCH($H53,英雄装备!$F:$F,0),MATCH(J$2,英雄装备!$1:$1,0)-3),装备属性!$A:$C,3,0),VLOOKUP(INDEX(英雄装备!$F:$BZ,MATCH($H53,英雄装备!$F:$F,0),MATCH(J$2,英雄装备!$1:$1,0)-2),装备属性!$A:$C,3,0),VLOOKUP(INDEX(英雄装备!$F:$BZ,MATCH($H53,英雄装备!$F:$F,0),MATCH(J$2,英雄装备!$1:$1,0)-1),装备属性!$A:$C,3,0),VLOOKUP(INDEX(英雄装备!$F:$BZ,MATCH($H53,英雄装备!$F:$F,0),MATCH(J$2,英雄装备!$1:$1,0)),装备属性!$A:$C,3,0))</f>
        <v>12</v>
      </c>
      <c r="K53" s="51">
        <f>MAX(VLOOKUP(INDEX(英雄装备!$F:$BZ,MATCH($H53,英雄装备!$F:$F,0),MATCH(K$2,英雄装备!$1:$1,0)-5),装备属性!$A:$C,3,0),VLOOKUP(INDEX(英雄装备!$F:$BZ,MATCH($H53,英雄装备!$F:$F,0),MATCH(K$2,英雄装备!$1:$1,0)-4),装备属性!$A:$C,3,0),VLOOKUP(INDEX(英雄装备!$F:$BZ,MATCH($H53,英雄装备!$F:$F,0),MATCH(K$2,英雄装备!$1:$1,0)-3),装备属性!$A:$C,3,0),VLOOKUP(INDEX(英雄装备!$F:$BZ,MATCH($H53,英雄装备!$F:$F,0),MATCH(K$2,英雄装备!$1:$1,0)-2),装备属性!$A:$C,3,0),VLOOKUP(INDEX(英雄装备!$F:$BZ,MATCH($H53,英雄装备!$F:$F,0),MATCH(K$2,英雄装备!$1:$1,0)-1),装备属性!$A:$C,3,0),VLOOKUP(INDEX(英雄装备!$F:$BZ,MATCH($H53,英雄装备!$F:$F,0),MATCH(K$2,英雄装备!$1:$1,0)),装备属性!$A:$C,3,0))</f>
        <v>20</v>
      </c>
      <c r="L53" s="51">
        <f>MAX(VLOOKUP(INDEX(英雄装备!$F:$BZ,MATCH($H53,英雄装备!$F:$F,0),MATCH(L$2,英雄装备!$1:$1,0)-5),装备属性!$A:$C,3,0),VLOOKUP(INDEX(英雄装备!$F:$BZ,MATCH($H53,英雄装备!$F:$F,0),MATCH(L$2,英雄装备!$1:$1,0)-4),装备属性!$A:$C,3,0),VLOOKUP(INDEX(英雄装备!$F:$BZ,MATCH($H53,英雄装备!$F:$F,0),MATCH(L$2,英雄装备!$1:$1,0)-3),装备属性!$A:$C,3,0),VLOOKUP(INDEX(英雄装备!$F:$BZ,MATCH($H53,英雄装备!$F:$F,0),MATCH(L$2,英雄装备!$1:$1,0)-2),装备属性!$A:$C,3,0),VLOOKUP(INDEX(英雄装备!$F:$BZ,MATCH($H53,英雄装备!$F:$F,0),MATCH(L$2,英雄装备!$1:$1,0)-1),装备属性!$A:$C,3,0),VLOOKUP(INDEX(英雄装备!$F:$BZ,MATCH($H53,英雄装备!$F:$F,0),MATCH(L$2,英雄装备!$1:$1,0)),装备属性!$A:$C,3,0))</f>
        <v>35</v>
      </c>
      <c r="M53" s="51">
        <f>MAX(VLOOKUP(INDEX(英雄装备!$F:$BZ,MATCH($H53,英雄装备!$F:$F,0),MATCH(M$2,英雄装备!$1:$1,0)-5),装备属性!$A:$C,3,0),VLOOKUP(INDEX(英雄装备!$F:$BZ,MATCH($H53,英雄装备!$F:$F,0),MATCH(M$2,英雄装备!$1:$1,0)-4),装备属性!$A:$C,3,0),VLOOKUP(INDEX(英雄装备!$F:$BZ,MATCH($H53,英雄装备!$F:$F,0),MATCH(M$2,英雄装备!$1:$1,0)-3),装备属性!$A:$C,3,0),VLOOKUP(INDEX(英雄装备!$F:$BZ,MATCH($H53,英雄装备!$F:$F,0),MATCH(M$2,英雄装备!$1:$1,0)-2),装备属性!$A:$C,3,0),VLOOKUP(INDEX(英雄装备!$F:$BZ,MATCH($H53,英雄装备!$F:$F,0),MATCH(M$2,英雄装备!$1:$1,0)-1),装备属性!$A:$C,3,0),VLOOKUP(INDEX(英雄装备!$F:$BZ,MATCH($H53,英雄装备!$F:$F,0),MATCH(M$2,英雄装备!$1:$1,0)),装备属性!$A:$C,3,0))</f>
        <v>43</v>
      </c>
      <c r="N53" s="51">
        <f>MAX(VLOOKUP(INDEX(英雄装备!$F:$BZ,MATCH($H53,英雄装备!$F:$F,0),MATCH(N$2,英雄装备!$1:$1,0)-5),装备属性!$A:$C,3,0),VLOOKUP(INDEX(英雄装备!$F:$BZ,MATCH($H53,英雄装备!$F:$F,0),MATCH(N$2,英雄装备!$1:$1,0)-4),装备属性!$A:$C,3,0),VLOOKUP(INDEX(英雄装备!$F:$BZ,MATCH($H53,英雄装备!$F:$F,0),MATCH(N$2,英雄装备!$1:$1,0)-3),装备属性!$A:$C,3,0),VLOOKUP(INDEX(英雄装备!$F:$BZ,MATCH($H53,英雄装备!$F:$F,0),MATCH(N$2,英雄装备!$1:$1,0)-2),装备属性!$A:$C,3,0),VLOOKUP(INDEX(英雄装备!$F:$BZ,MATCH($H53,英雄装备!$F:$F,0),MATCH(N$2,英雄装备!$1:$1,0)-1),装备属性!$A:$C,3,0),VLOOKUP(INDEX(英雄装备!$F:$BZ,MATCH($H53,英雄装备!$F:$F,0),MATCH(N$2,英雄装备!$1:$1,0)),装备属性!$A:$C,3,0))</f>
        <v>52</v>
      </c>
      <c r="O53" s="51">
        <f>MAX(VLOOKUP(INDEX(英雄装备!$F:$BZ,MATCH($H53,英雄装备!$F:$F,0),MATCH(O$2,英雄装备!$1:$1,0)-5),装备属性!$A:$C,3,0),VLOOKUP(INDEX(英雄装备!$F:$BZ,MATCH($H53,英雄装备!$F:$F,0),MATCH(O$2,英雄装备!$1:$1,0)-4),装备属性!$A:$C,3,0),VLOOKUP(INDEX(英雄装备!$F:$BZ,MATCH($H53,英雄装备!$F:$F,0),MATCH(O$2,英雄装备!$1:$1,0)-3),装备属性!$A:$C,3,0),VLOOKUP(INDEX(英雄装备!$F:$BZ,MATCH($H53,英雄装备!$F:$F,0),MATCH(O$2,英雄装备!$1:$1,0)-2),装备属性!$A:$C,3,0),VLOOKUP(INDEX(英雄装备!$F:$BZ,MATCH($H53,英雄装备!$F:$F,0),MATCH(O$2,英雄装备!$1:$1,0)-1),装备属性!$A:$C,3,0),VLOOKUP(INDEX(英雄装备!$F:$BZ,MATCH($H53,英雄装备!$F:$F,0),MATCH(O$2,英雄装备!$1:$1,0)),装备属性!$A:$C,3,0))</f>
        <v>59</v>
      </c>
      <c r="P53" s="51">
        <f>MAX(VLOOKUP(INDEX(英雄装备!$F:$BZ,MATCH($H53,英雄装备!$F:$F,0),MATCH(P$2,英雄装备!$1:$1,0)-5),装备属性!$A:$C,3,0),VLOOKUP(INDEX(英雄装备!$F:$BZ,MATCH($H53,英雄装备!$F:$F,0),MATCH(P$2,英雄装备!$1:$1,0)-4),装备属性!$A:$C,3,0),VLOOKUP(INDEX(英雄装备!$F:$BZ,MATCH($H53,英雄装备!$F:$F,0),MATCH(P$2,英雄装备!$1:$1,0)-3),装备属性!$A:$C,3,0),VLOOKUP(INDEX(英雄装备!$F:$BZ,MATCH($H53,英雄装备!$F:$F,0),MATCH(P$2,英雄装备!$1:$1,0)-2),装备属性!$A:$C,3,0),VLOOKUP(INDEX(英雄装备!$F:$BZ,MATCH($H53,英雄装备!$F:$F,0),MATCH(P$2,英雄装备!$1:$1,0)-1),装备属性!$A:$C,3,0),VLOOKUP(INDEX(英雄装备!$F:$BZ,MATCH($H53,英雄装备!$F:$F,0),MATCH(P$2,英雄装备!$1:$1,0)),装备属性!$A:$C,3,0))</f>
        <v>70</v>
      </c>
      <c r="Q53" s="51">
        <f>MAX(VLOOKUP(INDEX(英雄装备!$F:$BZ,MATCH($H53,英雄装备!$F:$F,0),MATCH(Q$2,英雄装备!$1:$1,0)-5),装备属性!$A:$C,3,0),VLOOKUP(INDEX(英雄装备!$F:$BZ,MATCH($H53,英雄装备!$F:$F,0),MATCH(Q$2,英雄装备!$1:$1,0)-4),装备属性!$A:$C,3,0),VLOOKUP(INDEX(英雄装备!$F:$BZ,MATCH($H53,英雄装备!$F:$F,0),MATCH(Q$2,英雄装备!$1:$1,0)-3),装备属性!$A:$C,3,0),VLOOKUP(INDEX(英雄装备!$F:$BZ,MATCH($H53,英雄装备!$F:$F,0),MATCH(Q$2,英雄装备!$1:$1,0)-2),装备属性!$A:$C,3,0),VLOOKUP(INDEX(英雄装备!$F:$BZ,MATCH($H53,英雄装备!$F:$F,0),MATCH(Q$2,英雄装备!$1:$1,0)-1),装备属性!$A:$C,3,0),VLOOKUP(INDEX(英雄装备!$F:$BZ,MATCH($H53,英雄装备!$F:$F,0),MATCH(Q$2,英雄装备!$1:$1,0)),装备属性!$A:$C,3,0))</f>
        <v>78</v>
      </c>
      <c r="R53" s="51">
        <f>MAX(VLOOKUP(INDEX(英雄装备!$F:$BZ,MATCH($H53,英雄装备!$F:$F,0),MATCH(R$2,英雄装备!$1:$1,0)-5),装备属性!$A:$C,3,0),VLOOKUP(INDEX(英雄装备!$F:$BZ,MATCH($H53,英雄装备!$F:$F,0),MATCH(R$2,英雄装备!$1:$1,0)-4),装备属性!$A:$C,3,0),VLOOKUP(INDEX(英雄装备!$F:$BZ,MATCH($H53,英雄装备!$F:$F,0),MATCH(R$2,英雄装备!$1:$1,0)-3),装备属性!$A:$C,3,0),VLOOKUP(INDEX(英雄装备!$F:$BZ,MATCH($H53,英雄装备!$F:$F,0),MATCH(R$2,英雄装备!$1:$1,0)-2),装备属性!$A:$C,3,0),VLOOKUP(INDEX(英雄装备!$F:$BZ,MATCH($H53,英雄装备!$F:$F,0),MATCH(R$2,英雄装备!$1:$1,0)-1),装备属性!$A:$C,3,0),VLOOKUP(INDEX(英雄装备!$F:$BZ,MATCH($H53,英雄装备!$F:$F,0),MATCH(R$2,英雄装备!$1:$1,0)),装备属性!$A:$C,3,0))</f>
        <v>70</v>
      </c>
      <c r="S53" s="51">
        <f>MAX(VLOOKUP(INDEX(英雄装备!$F:$BZ,MATCH($H53,英雄装备!$F:$F,0),MATCH(S$2,英雄装备!$1:$1,0)-5),装备属性!$A:$C,3,0),VLOOKUP(INDEX(英雄装备!$F:$BZ,MATCH($H53,英雄装备!$F:$F,0),MATCH(S$2,英雄装备!$1:$1,0)-4),装备属性!$A:$C,3,0),VLOOKUP(INDEX(英雄装备!$F:$BZ,MATCH($H53,英雄装备!$F:$F,0),MATCH(S$2,英雄装备!$1:$1,0)-3),装备属性!$A:$C,3,0),VLOOKUP(INDEX(英雄装备!$F:$BZ,MATCH($H53,英雄装备!$F:$F,0),MATCH(S$2,英雄装备!$1:$1,0)-2),装备属性!$A:$C,3,0),VLOOKUP(INDEX(英雄装备!$F:$BZ,MATCH($H53,英雄装备!$F:$F,0),MATCH(S$2,英雄装备!$1:$1,0)-1),装备属性!$A:$C,3,0),VLOOKUP(INDEX(英雄装备!$F:$BZ,MATCH($H53,英雄装备!$F:$F,0),MATCH(S$2,英雄装备!$1:$1,0)),装备属性!$A:$C,3,0))</f>
        <v>85</v>
      </c>
      <c r="T53" s="51">
        <f>MAX(VLOOKUP(INDEX(英雄装备!$F:$BZ,MATCH($H53,英雄装备!$F:$F,0),MATCH(T$2,英雄装备!$1:$1,0)-5),装备属性!$A:$C,3,0),VLOOKUP(INDEX(英雄装备!$F:$BZ,MATCH($H53,英雄装备!$F:$F,0),MATCH(T$2,英雄装备!$1:$1,0)-4),装备属性!$A:$C,3,0),VLOOKUP(INDEX(英雄装备!$F:$BZ,MATCH($H53,英雄装备!$F:$F,0),MATCH(T$2,英雄装备!$1:$1,0)-3),装备属性!$A:$C,3,0),VLOOKUP(INDEX(英雄装备!$F:$BZ,MATCH($H53,英雄装备!$F:$F,0),MATCH(T$2,英雄装备!$1:$1,0)-2),装备属性!$A:$C,3,0),VLOOKUP(INDEX(英雄装备!$F:$BZ,MATCH($H53,英雄装备!$F:$F,0),MATCH(T$2,英雄装备!$1:$1,0)-1),装备属性!$A:$C,3,0))</f>
        <v>87</v>
      </c>
      <c r="V53" s="151">
        <v>12</v>
      </c>
      <c r="W53" s="151" t="str">
        <f>IF($V$2&lt;12,"","橙")</f>
        <v>橙</v>
      </c>
      <c r="X53" s="151" t="str">
        <f t="shared" si="6"/>
        <v/>
      </c>
      <c r="Y53" s="151" t="str">
        <f t="shared" si="6"/>
        <v>大天使之剑</v>
      </c>
      <c r="Z53" s="151" t="str">
        <f t="shared" si="6"/>
        <v>林肯</v>
      </c>
      <c r="AA53" s="151" t="str">
        <f t="shared" si="6"/>
        <v>恶魔之矢</v>
      </c>
      <c r="AB53" s="151" t="str">
        <f t="shared" si="6"/>
        <v>疾行鞋</v>
      </c>
      <c r="AC53" s="151" t="str">
        <f t="shared" si="6"/>
        <v>?</v>
      </c>
      <c r="AF53" s="151">
        <v>6</v>
      </c>
      <c r="AG53" s="151" t="str">
        <f>X6</f>
        <v>分身斧</v>
      </c>
      <c r="AH53" s="151">
        <f>VLOOKUP($AG53,装备属性!$A:$Y,5,0)</f>
        <v>10</v>
      </c>
      <c r="AI53" s="151">
        <f>VLOOKUP($AG53,装备属性!$A:$Y,6,0)</f>
        <v>26</v>
      </c>
      <c r="AJ53" s="151">
        <f>VLOOKUP($AG53,装备属性!$A:$Y,7,0)</f>
        <v>10</v>
      </c>
      <c r="AK53" s="151">
        <f>VLOOKUP($AG53,装备属性!$A:$Y,8,0)</f>
        <v>250</v>
      </c>
      <c r="AL53" s="151">
        <f>VLOOKUP($AG53,装备属性!$A:$Y,9,0)</f>
        <v>0</v>
      </c>
      <c r="AM53" s="151">
        <f>VLOOKUP($AG53,装备属性!$A:$Y,10,0)</f>
        <v>0</v>
      </c>
      <c r="AN53" s="151">
        <f>VLOOKUP($AG53,装备属性!$A:$Y,11,0)</f>
        <v>0</v>
      </c>
      <c r="AO53" s="151">
        <f>VLOOKUP($AG53,装备属性!$A:$Y,12,0)</f>
        <v>0</v>
      </c>
      <c r="AP53" s="151">
        <f>VLOOKUP($AG53,装备属性!$A:$Y,13,0)</f>
        <v>16</v>
      </c>
      <c r="AQ53" s="151">
        <f>VLOOKUP($AG53,装备属性!$A:$Y,14,0)</f>
        <v>0</v>
      </c>
      <c r="AR53" s="151">
        <f>VLOOKUP($AG53,装备属性!$A:$Y,15,0)</f>
        <v>0</v>
      </c>
      <c r="AS53" s="151">
        <f>VLOOKUP($AG53,装备属性!$A:$Y,16,0)</f>
        <v>0</v>
      </c>
      <c r="AT53" s="151">
        <f>VLOOKUP($AG53,装备属性!$A:$Y,17,0)</f>
        <v>0</v>
      </c>
      <c r="AU53" s="151">
        <f>VLOOKUP($AG53,装备属性!$A:$Y,18,0)</f>
        <v>0</v>
      </c>
      <c r="AV53" s="151">
        <f>VLOOKUP($AG53,装备属性!$A:$Y,19,0)</f>
        <v>0</v>
      </c>
      <c r="AW53" s="151">
        <f>VLOOKUP($AG53,装备属性!$A:$Y,20,0)</f>
        <v>0</v>
      </c>
      <c r="AX53" s="151">
        <f>VLOOKUP($AG53,装备属性!$A:$Y,21,0)</f>
        <v>0</v>
      </c>
      <c r="AY53" s="151">
        <f>VLOOKUP($AG53,装备属性!$A:$Y,22,0)</f>
        <v>0</v>
      </c>
      <c r="AZ53" s="151">
        <f>VLOOKUP($AG53,装备属性!$A:$Y,23,0)</f>
        <v>0</v>
      </c>
      <c r="BA53" s="151">
        <f>VLOOKUP($AG53,装备属性!$A:$Y,24,0)</f>
        <v>0</v>
      </c>
      <c r="BB53" s="151">
        <f>VLOOKUP($AG53,装备属性!$A:$Y,25,0)</f>
        <v>0</v>
      </c>
    </row>
    <row r="54" spans="2:54">
      <c r="AF54" s="151">
        <v>6</v>
      </c>
      <c r="AG54" s="151" t="str">
        <f>Y6</f>
        <v>暗灭</v>
      </c>
      <c r="AH54" s="151">
        <f>VLOOKUP($AG54,装备属性!$A:$Y,5,0)</f>
        <v>0</v>
      </c>
      <c r="AI54" s="151">
        <f>VLOOKUP($AG54,装备属性!$A:$Y,6,0)</f>
        <v>0</v>
      </c>
      <c r="AJ54" s="151">
        <f>VLOOKUP($AG54,装备属性!$A:$Y,7,0)</f>
        <v>0</v>
      </c>
      <c r="AK54" s="151">
        <f>VLOOKUP($AG54,装备属性!$A:$Y,8,0)</f>
        <v>0</v>
      </c>
      <c r="AL54" s="151">
        <f>VLOOKUP($AG54,装备属性!$A:$Y,9,0)</f>
        <v>60</v>
      </c>
      <c r="AM54" s="151">
        <f>VLOOKUP($AG54,装备属性!$A:$Y,10,0)</f>
        <v>0</v>
      </c>
      <c r="AN54" s="151">
        <f>VLOOKUP($AG54,装备属性!$A:$Y,11,0)</f>
        <v>0</v>
      </c>
      <c r="AO54" s="151">
        <f>VLOOKUP($AG54,装备属性!$A:$Y,12,0)</f>
        <v>0</v>
      </c>
      <c r="AP54" s="151">
        <f>VLOOKUP($AG54,装备属性!$A:$Y,13,0)</f>
        <v>0</v>
      </c>
      <c r="AQ54" s="151">
        <f>VLOOKUP($AG54,装备属性!$A:$Y,14,0)</f>
        <v>7</v>
      </c>
      <c r="AR54" s="151">
        <f>VLOOKUP($AG54,装备属性!$A:$Y,15,0)</f>
        <v>0</v>
      </c>
      <c r="AS54" s="151">
        <f>VLOOKUP($AG54,装备属性!$A:$Y,16,0)</f>
        <v>0</v>
      </c>
      <c r="AT54" s="151">
        <f>VLOOKUP($AG54,装备属性!$A:$Y,17,0)</f>
        <v>0</v>
      </c>
      <c r="AU54" s="151">
        <f>VLOOKUP($AG54,装备属性!$A:$Y,18,0)</f>
        <v>0</v>
      </c>
      <c r="AV54" s="151">
        <f>VLOOKUP($AG54,装备属性!$A:$Y,19,0)</f>
        <v>0</v>
      </c>
      <c r="AW54" s="151">
        <f>VLOOKUP($AG54,装备属性!$A:$Y,20,0)</f>
        <v>0</v>
      </c>
      <c r="AX54" s="151">
        <f>VLOOKUP($AG54,装备属性!$A:$Y,21,0)</f>
        <v>0</v>
      </c>
      <c r="AY54" s="151">
        <f>VLOOKUP($AG54,装备属性!$A:$Y,22,0)</f>
        <v>0</v>
      </c>
      <c r="AZ54" s="151">
        <f>VLOOKUP($AG54,装备属性!$A:$Y,23,0)</f>
        <v>0</v>
      </c>
      <c r="BA54" s="151">
        <f>VLOOKUP($AG54,装备属性!$A:$Y,24,0)</f>
        <v>0</v>
      </c>
      <c r="BB54" s="151">
        <f>VLOOKUP($AG54,装备属性!$A:$Y,25,0)</f>
        <v>0</v>
      </c>
    </row>
    <row r="55" spans="2:54">
      <c r="AF55" s="151">
        <v>6</v>
      </c>
      <c r="AG55" s="151" t="str">
        <f>Z6</f>
        <v>双刀</v>
      </c>
      <c r="AH55" s="151">
        <f>VLOOKUP($AG55,装备属性!$A:$Y,5,0)</f>
        <v>16</v>
      </c>
      <c r="AI55" s="151">
        <f>VLOOKUP($AG55,装备属性!$A:$Y,6,0)</f>
        <v>16</v>
      </c>
      <c r="AJ55" s="151">
        <f>VLOOKUP($AG55,装备属性!$A:$Y,7,0)</f>
        <v>0</v>
      </c>
      <c r="AK55" s="151">
        <f>VLOOKUP($AG55,装备属性!$A:$Y,8,0)</f>
        <v>0</v>
      </c>
      <c r="AL55" s="151">
        <f>VLOOKUP($AG55,装备属性!$A:$Y,9,0)</f>
        <v>12</v>
      </c>
      <c r="AM55" s="151">
        <f>VLOOKUP($AG55,装备属性!$A:$Y,10,0)</f>
        <v>0</v>
      </c>
      <c r="AN55" s="151">
        <f>VLOOKUP($AG55,装备属性!$A:$Y,11,0)</f>
        <v>0</v>
      </c>
      <c r="AO55" s="151">
        <f>VLOOKUP($AG55,装备属性!$A:$Y,12,0)</f>
        <v>0</v>
      </c>
      <c r="AP55" s="151">
        <f>VLOOKUP($AG55,装备属性!$A:$Y,13,0)</f>
        <v>12</v>
      </c>
      <c r="AQ55" s="151">
        <f>VLOOKUP($AG55,装备属性!$A:$Y,14,0)</f>
        <v>0</v>
      </c>
      <c r="AR55" s="151">
        <f>VLOOKUP($AG55,装备属性!$A:$Y,15,0)</f>
        <v>0</v>
      </c>
      <c r="AS55" s="151">
        <f>VLOOKUP($AG55,装备属性!$A:$Y,16,0)</f>
        <v>0</v>
      </c>
      <c r="AT55" s="151">
        <f>VLOOKUP($AG55,装备属性!$A:$Y,17,0)</f>
        <v>0</v>
      </c>
      <c r="AU55" s="151">
        <f>VLOOKUP($AG55,装备属性!$A:$Y,18,0)</f>
        <v>0</v>
      </c>
      <c r="AV55" s="151">
        <f>VLOOKUP($AG55,装备属性!$A:$Y,19,0)</f>
        <v>0</v>
      </c>
      <c r="AW55" s="151">
        <f>VLOOKUP($AG55,装备属性!$A:$Y,20,0)</f>
        <v>0</v>
      </c>
      <c r="AX55" s="151">
        <f>VLOOKUP($AG55,装备属性!$A:$Y,21,0)</f>
        <v>0</v>
      </c>
      <c r="AY55" s="151">
        <f>VLOOKUP($AG55,装备属性!$A:$Y,22,0)</f>
        <v>0</v>
      </c>
      <c r="AZ55" s="151">
        <f>VLOOKUP($AG55,装备属性!$A:$Y,23,0)</f>
        <v>0</v>
      </c>
      <c r="BA55" s="151">
        <f>VLOOKUP($AG55,装备属性!$A:$Y,24,0)</f>
        <v>0</v>
      </c>
      <c r="BB55" s="151">
        <f>VLOOKUP($AG55,装备属性!$A:$Y,25,0)</f>
        <v>0</v>
      </c>
    </row>
    <row r="56" spans="2:54">
      <c r="V56" s="48" t="s">
        <v>1083</v>
      </c>
      <c r="AF56" s="151">
        <v>6</v>
      </c>
      <c r="AG56" s="151" t="str">
        <f>AA6</f>
        <v>板甲</v>
      </c>
      <c r="AH56" s="151">
        <f>VLOOKUP($AG56,装备属性!$A:$Y,5,0)</f>
        <v>0</v>
      </c>
      <c r="AI56" s="151">
        <f>VLOOKUP($AG56,装备属性!$A:$Y,6,0)</f>
        <v>0</v>
      </c>
      <c r="AJ56" s="151">
        <f>VLOOKUP($AG56,装备属性!$A:$Y,7,0)</f>
        <v>0</v>
      </c>
      <c r="AK56" s="151">
        <f>VLOOKUP($AG56,装备属性!$A:$Y,8,0)</f>
        <v>0</v>
      </c>
      <c r="AL56" s="151">
        <f>VLOOKUP($AG56,装备属性!$A:$Y,9,0)</f>
        <v>0</v>
      </c>
      <c r="AM56" s="151">
        <f>VLOOKUP($AG56,装备属性!$A:$Y,10,0)</f>
        <v>0</v>
      </c>
      <c r="AN56" s="151">
        <f>VLOOKUP($AG56,装备属性!$A:$Y,11,0)</f>
        <v>10</v>
      </c>
      <c r="AO56" s="151">
        <f>VLOOKUP($AG56,装备属性!$A:$Y,12,0)</f>
        <v>0</v>
      </c>
      <c r="AP56" s="151">
        <f>VLOOKUP($AG56,装备属性!$A:$Y,13,0)</f>
        <v>0</v>
      </c>
      <c r="AQ56" s="151">
        <f>VLOOKUP($AG56,装备属性!$A:$Y,14,0)</f>
        <v>0</v>
      </c>
      <c r="AR56" s="151">
        <f>VLOOKUP($AG56,装备属性!$A:$Y,15,0)</f>
        <v>0</v>
      </c>
      <c r="AS56" s="151">
        <f>VLOOKUP($AG56,装备属性!$A:$Y,16,0)</f>
        <v>0</v>
      </c>
      <c r="AT56" s="151">
        <f>VLOOKUP($AG56,装备属性!$A:$Y,17,0)</f>
        <v>0</v>
      </c>
      <c r="AU56" s="151">
        <f>VLOOKUP($AG56,装备属性!$A:$Y,18,0)</f>
        <v>0</v>
      </c>
      <c r="AV56" s="151">
        <f>VLOOKUP($AG56,装备属性!$A:$Y,19,0)</f>
        <v>0</v>
      </c>
      <c r="AW56" s="151">
        <f>VLOOKUP($AG56,装备属性!$A:$Y,20,0)</f>
        <v>0</v>
      </c>
      <c r="AX56" s="151">
        <f>VLOOKUP($AG56,装备属性!$A:$Y,21,0)</f>
        <v>0</v>
      </c>
      <c r="AY56" s="151">
        <f>VLOOKUP($AG56,装备属性!$A:$Y,22,0)</f>
        <v>0</v>
      </c>
      <c r="AZ56" s="151">
        <f>VLOOKUP($AG56,装备属性!$A:$Y,23,0)</f>
        <v>0</v>
      </c>
      <c r="BA56" s="151">
        <f>VLOOKUP($AG56,装备属性!$A:$Y,24,0)</f>
        <v>0</v>
      </c>
      <c r="BB56" s="151">
        <f>VLOOKUP($AG56,装备属性!$A:$Y,25,0)</f>
        <v>0</v>
      </c>
    </row>
    <row r="57" spans="2:54">
      <c r="V57" s="151" t="s">
        <v>1074</v>
      </c>
      <c r="W57" s="151" t="s">
        <v>1084</v>
      </c>
      <c r="X57" s="151" t="s">
        <v>1085</v>
      </c>
      <c r="Y57" s="151" t="s">
        <v>1086</v>
      </c>
      <c r="Z57" s="151" t="s">
        <v>1087</v>
      </c>
      <c r="AA57" s="151" t="s">
        <v>1913</v>
      </c>
      <c r="AF57" s="151">
        <v>6</v>
      </c>
      <c r="AG57" s="151" t="str">
        <f>AB6</f>
        <v>祭品</v>
      </c>
      <c r="AH57" s="151">
        <f>VLOOKUP($AG57,装备属性!$A:$Y,5,0)</f>
        <v>0</v>
      </c>
      <c r="AI57" s="151">
        <f>VLOOKUP($AG57,装备属性!$A:$Y,6,0)</f>
        <v>0</v>
      </c>
      <c r="AJ57" s="151">
        <f>VLOOKUP($AG57,装备属性!$A:$Y,7,0)</f>
        <v>0</v>
      </c>
      <c r="AK57" s="151">
        <f>VLOOKUP($AG57,装备属性!$A:$Y,8,0)</f>
        <v>0</v>
      </c>
      <c r="AL57" s="151">
        <f>VLOOKUP($AG57,装备属性!$A:$Y,9,0)</f>
        <v>0</v>
      </c>
      <c r="AM57" s="151">
        <f>VLOOKUP($AG57,装备属性!$A:$Y,10,0)</f>
        <v>0</v>
      </c>
      <c r="AN57" s="151">
        <f>VLOOKUP($AG57,装备属性!$A:$Y,11,0)</f>
        <v>5</v>
      </c>
      <c r="AO57" s="151">
        <f>VLOOKUP($AG57,装备属性!$A:$Y,12,0)</f>
        <v>0</v>
      </c>
      <c r="AP57" s="151">
        <f>VLOOKUP($AG57,装备属性!$A:$Y,13,0)</f>
        <v>15</v>
      </c>
      <c r="AQ57" s="151">
        <f>VLOOKUP($AG57,装备属性!$A:$Y,14,0)</f>
        <v>0</v>
      </c>
      <c r="AR57" s="151">
        <f>VLOOKUP($AG57,装备属性!$A:$Y,15,0)</f>
        <v>0</v>
      </c>
      <c r="AS57" s="151">
        <f>VLOOKUP($AG57,装备属性!$A:$Y,16,0)</f>
        <v>0</v>
      </c>
      <c r="AT57" s="151">
        <f>VLOOKUP($AG57,装备属性!$A:$Y,17,0)</f>
        <v>16</v>
      </c>
      <c r="AU57" s="151">
        <f>VLOOKUP($AG57,装备属性!$A:$Y,18,0)</f>
        <v>0</v>
      </c>
      <c r="AV57" s="151">
        <f>VLOOKUP($AG57,装备属性!$A:$Y,19,0)</f>
        <v>0</v>
      </c>
      <c r="AW57" s="151">
        <f>VLOOKUP($AG57,装备属性!$A:$Y,20,0)</f>
        <v>0</v>
      </c>
      <c r="AX57" s="151">
        <f>VLOOKUP($AG57,装备属性!$A:$Y,21,0)</f>
        <v>40</v>
      </c>
      <c r="AY57" s="151">
        <f>VLOOKUP($AG57,装备属性!$A:$Y,22,0)</f>
        <v>0</v>
      </c>
      <c r="AZ57" s="151">
        <f>VLOOKUP($AG57,装备属性!$A:$Y,23,0)</f>
        <v>0</v>
      </c>
      <c r="BA57" s="151">
        <f>VLOOKUP($AG57,装备属性!$A:$Y,24,0)</f>
        <v>0</v>
      </c>
      <c r="BB57" s="151">
        <f>VLOOKUP($AG57,装备属性!$A:$Y,25,0)</f>
        <v>0</v>
      </c>
    </row>
    <row r="58" spans="2:54">
      <c r="V58" s="151" t="s">
        <v>1091</v>
      </c>
      <c r="W58" s="151" t="s">
        <v>1091</v>
      </c>
      <c r="X58" s="151" t="s">
        <v>1091</v>
      </c>
      <c r="Y58" s="151" t="s">
        <v>1091</v>
      </c>
      <c r="Z58" s="151" t="s">
        <v>1091</v>
      </c>
      <c r="AA58" s="151" t="s">
        <v>1091</v>
      </c>
      <c r="AF58" s="151">
        <v>6</v>
      </c>
      <c r="AG58" s="151" t="str">
        <f>AC6</f>
        <v>相位鞋</v>
      </c>
      <c r="AH58" s="151">
        <f>VLOOKUP($AG58,装备属性!$A:$Y,5,0)</f>
        <v>9</v>
      </c>
      <c r="AI58" s="151">
        <f>VLOOKUP($AG58,装备属性!$A:$Y,6,0)</f>
        <v>9</v>
      </c>
      <c r="AJ58" s="151">
        <f>VLOOKUP($AG58,装备属性!$A:$Y,7,0)</f>
        <v>9</v>
      </c>
      <c r="AK58" s="151">
        <f>VLOOKUP($AG58,装备属性!$A:$Y,8,0)</f>
        <v>0</v>
      </c>
      <c r="AL58" s="151">
        <f>VLOOKUP($AG58,装备属性!$A:$Y,9,0)</f>
        <v>24</v>
      </c>
      <c r="AM58" s="151">
        <f>VLOOKUP($AG58,装备属性!$A:$Y,10,0)</f>
        <v>0</v>
      </c>
      <c r="AN58" s="151">
        <f>VLOOKUP($AG58,装备属性!$A:$Y,11,0)</f>
        <v>0</v>
      </c>
      <c r="AO58" s="151">
        <f>VLOOKUP($AG58,装备属性!$A:$Y,12,0)</f>
        <v>0</v>
      </c>
      <c r="AP58" s="151">
        <f>VLOOKUP($AG58,装备属性!$A:$Y,13,0)</f>
        <v>0</v>
      </c>
      <c r="AQ58" s="151">
        <f>VLOOKUP($AG58,装备属性!$A:$Y,14,0)</f>
        <v>0</v>
      </c>
      <c r="AR58" s="151">
        <f>VLOOKUP($AG58,装备属性!$A:$Y,15,0)</f>
        <v>0</v>
      </c>
      <c r="AS58" s="151">
        <f>VLOOKUP($AG58,装备属性!$A:$Y,16,0)</f>
        <v>0</v>
      </c>
      <c r="AT58" s="151">
        <f>VLOOKUP($AG58,装备属性!$A:$Y,17,0)</f>
        <v>0</v>
      </c>
      <c r="AU58" s="151">
        <f>VLOOKUP($AG58,装备属性!$A:$Y,18,0)</f>
        <v>0</v>
      </c>
      <c r="AV58" s="151">
        <f>VLOOKUP($AG58,装备属性!$A:$Y,19,0)</f>
        <v>0</v>
      </c>
      <c r="AW58" s="151">
        <f>VLOOKUP($AG58,装备属性!$A:$Y,20,0)</f>
        <v>0</v>
      </c>
      <c r="AX58" s="151">
        <f>VLOOKUP($AG58,装备属性!$A:$Y,21,0)</f>
        <v>0</v>
      </c>
      <c r="AY58" s="151">
        <f>VLOOKUP($AG58,装备属性!$A:$Y,22,0)</f>
        <v>0</v>
      </c>
      <c r="AZ58" s="151">
        <f>VLOOKUP($AG58,装备属性!$A:$Y,23,0)</f>
        <v>0</v>
      </c>
      <c r="BA58" s="151">
        <f>VLOOKUP($AG58,装备属性!$A:$Y,24,0)</f>
        <v>0</v>
      </c>
      <c r="BB58" s="151">
        <f>VLOOKUP($AG58,装备属性!$A:$Y,25,0)</f>
        <v>0</v>
      </c>
    </row>
    <row r="59" spans="2:54">
      <c r="X59" s="151" t="s">
        <v>1089</v>
      </c>
      <c r="Y59" s="151" t="s">
        <v>1088</v>
      </c>
      <c r="Z59" s="151" t="s">
        <v>1089</v>
      </c>
      <c r="AA59" s="151" t="s">
        <v>1089</v>
      </c>
      <c r="AF59" s="151">
        <v>7</v>
      </c>
      <c r="AG59" s="151" t="str">
        <f>X7</f>
        <v>魔王刀锋</v>
      </c>
      <c r="AH59" s="151">
        <f>VLOOKUP($AG59,装备属性!$A:$Y,5,0)</f>
        <v>0</v>
      </c>
      <c r="AI59" s="151">
        <f>VLOOKUP($AG59,装备属性!$A:$Y,6,0)</f>
        <v>0</v>
      </c>
      <c r="AJ59" s="151">
        <f>VLOOKUP($AG59,装备属性!$A:$Y,7,0)</f>
        <v>0</v>
      </c>
      <c r="AK59" s="151">
        <f>VLOOKUP($AG59,装备属性!$A:$Y,8,0)</f>
        <v>0</v>
      </c>
      <c r="AL59" s="151">
        <f>VLOOKUP($AG59,装备属性!$A:$Y,9,0)</f>
        <v>46</v>
      </c>
      <c r="AM59" s="151">
        <f>VLOOKUP($AG59,装备属性!$A:$Y,10,0)</f>
        <v>0</v>
      </c>
      <c r="AN59" s="151">
        <f>VLOOKUP($AG59,装备属性!$A:$Y,11,0)</f>
        <v>0</v>
      </c>
      <c r="AO59" s="151">
        <f>VLOOKUP($AG59,装备属性!$A:$Y,12,0)</f>
        <v>0</v>
      </c>
      <c r="AP59" s="151">
        <f>VLOOKUP($AG59,装备属性!$A:$Y,13,0)</f>
        <v>0</v>
      </c>
      <c r="AQ59" s="151">
        <f>VLOOKUP($AG59,装备属性!$A:$Y,14,0)</f>
        <v>0</v>
      </c>
      <c r="AR59" s="151">
        <f>VLOOKUP($AG59,装备属性!$A:$Y,15,0)</f>
        <v>0</v>
      </c>
      <c r="AS59" s="151">
        <f>VLOOKUP($AG59,装备属性!$A:$Y,16,0)</f>
        <v>0</v>
      </c>
      <c r="AT59" s="151">
        <f>VLOOKUP($AG59,装备属性!$A:$Y,17,0)</f>
        <v>0</v>
      </c>
      <c r="AU59" s="151">
        <f>VLOOKUP($AG59,装备属性!$A:$Y,18,0)</f>
        <v>0</v>
      </c>
      <c r="AV59" s="151">
        <f>VLOOKUP($AG59,装备属性!$A:$Y,19,0)</f>
        <v>0</v>
      </c>
      <c r="AW59" s="151">
        <f>VLOOKUP($AG59,装备属性!$A:$Y,20,0)</f>
        <v>0</v>
      </c>
      <c r="AX59" s="151">
        <f>VLOOKUP($AG59,装备属性!$A:$Y,21,0)</f>
        <v>0</v>
      </c>
      <c r="AY59" s="151">
        <f>VLOOKUP($AG59,装备属性!$A:$Y,22,0)</f>
        <v>0</v>
      </c>
      <c r="AZ59" s="151">
        <f>VLOOKUP($AG59,装备属性!$A:$Y,23,0)</f>
        <v>0</v>
      </c>
      <c r="BA59" s="151">
        <f>VLOOKUP($AG59,装备属性!$A:$Y,24,0)</f>
        <v>0</v>
      </c>
      <c r="BB59" s="151">
        <f>VLOOKUP($AG59,装备属性!$A:$Y,25,0)</f>
        <v>0</v>
      </c>
    </row>
    <row r="60" spans="2:54">
      <c r="Y60" s="151" t="s">
        <v>1092</v>
      </c>
      <c r="Z60" s="151" t="s">
        <v>1092</v>
      </c>
      <c r="AA60" s="151" t="s">
        <v>1092</v>
      </c>
      <c r="AF60" s="151">
        <v>7</v>
      </c>
      <c r="AG60" s="151" t="str">
        <f>Y7</f>
        <v>强袭</v>
      </c>
      <c r="AH60" s="151">
        <f>VLOOKUP($AG60,装备属性!$A:$Y,5,0)</f>
        <v>0</v>
      </c>
      <c r="AI60" s="151">
        <f>VLOOKUP($AG60,装备属性!$A:$Y,6,0)</f>
        <v>0</v>
      </c>
      <c r="AJ60" s="151">
        <f>VLOOKUP($AG60,装备属性!$A:$Y,7,0)</f>
        <v>0</v>
      </c>
      <c r="AK60" s="151">
        <f>VLOOKUP($AG60,装备属性!$A:$Y,8,0)</f>
        <v>0</v>
      </c>
      <c r="AL60" s="151">
        <f>VLOOKUP($AG60,装备属性!$A:$Y,9,0)</f>
        <v>0</v>
      </c>
      <c r="AM60" s="151">
        <f>VLOOKUP($AG60,装备属性!$A:$Y,10,0)</f>
        <v>0</v>
      </c>
      <c r="AN60" s="151">
        <f>VLOOKUP($AG60,装备属性!$A:$Y,11,0)</f>
        <v>15</v>
      </c>
      <c r="AO60" s="151">
        <f>VLOOKUP($AG60,装备属性!$A:$Y,12,0)</f>
        <v>0</v>
      </c>
      <c r="AP60" s="151">
        <f>VLOOKUP($AG60,装备属性!$A:$Y,13,0)</f>
        <v>35</v>
      </c>
      <c r="AQ60" s="151">
        <f>VLOOKUP($AG60,装备属性!$A:$Y,14,0)</f>
        <v>5</v>
      </c>
      <c r="AR60" s="151">
        <f>VLOOKUP($AG60,装备属性!$A:$Y,15,0)</f>
        <v>0</v>
      </c>
      <c r="AS60" s="151">
        <f>VLOOKUP($AG60,装备属性!$A:$Y,16,0)</f>
        <v>0</v>
      </c>
      <c r="AT60" s="151">
        <f>VLOOKUP($AG60,装备属性!$A:$Y,17,0)</f>
        <v>0</v>
      </c>
      <c r="AU60" s="151">
        <f>VLOOKUP($AG60,装备属性!$A:$Y,18,0)</f>
        <v>0</v>
      </c>
      <c r="AV60" s="151">
        <f>VLOOKUP($AG60,装备属性!$A:$Y,19,0)</f>
        <v>0</v>
      </c>
      <c r="AW60" s="151">
        <f>VLOOKUP($AG60,装备属性!$A:$Y,20,0)</f>
        <v>0</v>
      </c>
      <c r="AX60" s="151">
        <f>VLOOKUP($AG60,装备属性!$A:$Y,21,0)</f>
        <v>0</v>
      </c>
      <c r="AY60" s="151">
        <f>VLOOKUP($AG60,装备属性!$A:$Y,22,0)</f>
        <v>0</v>
      </c>
      <c r="AZ60" s="151">
        <f>VLOOKUP($AG60,装备属性!$A:$Y,23,0)</f>
        <v>0</v>
      </c>
      <c r="BA60" s="151">
        <f>VLOOKUP($AG60,装备属性!$A:$Y,24,0)</f>
        <v>0</v>
      </c>
      <c r="BB60" s="151">
        <f>VLOOKUP($AG60,装备属性!$A:$Y,25,0)</f>
        <v>0</v>
      </c>
    </row>
    <row r="61" spans="2:54">
      <c r="Y61" s="151" t="s">
        <v>1090</v>
      </c>
      <c r="Z61" s="151" t="s">
        <v>1090</v>
      </c>
      <c r="AA61" s="151" t="s">
        <v>1090</v>
      </c>
      <c r="AF61" s="151">
        <v>7</v>
      </c>
      <c r="AG61" s="151" t="str">
        <f>Z7</f>
        <v>林肯</v>
      </c>
      <c r="AH61" s="151">
        <f>VLOOKUP($AG61,装备属性!$A:$Y,5,0)</f>
        <v>15</v>
      </c>
      <c r="AI61" s="151">
        <f>VLOOKUP($AG61,装备属性!$A:$Y,6,0)</f>
        <v>15</v>
      </c>
      <c r="AJ61" s="151">
        <f>VLOOKUP($AG61,装备属性!$A:$Y,7,0)</f>
        <v>15</v>
      </c>
      <c r="AK61" s="151">
        <f>VLOOKUP($AG61,装备属性!$A:$Y,8,0)</f>
        <v>0</v>
      </c>
      <c r="AL61" s="151">
        <f>VLOOKUP($AG61,装备属性!$A:$Y,9,0)</f>
        <v>10</v>
      </c>
      <c r="AM61" s="151">
        <f>VLOOKUP($AG61,装备属性!$A:$Y,10,0)</f>
        <v>0</v>
      </c>
      <c r="AN61" s="151">
        <f>VLOOKUP($AG61,装备属性!$A:$Y,11,0)</f>
        <v>0</v>
      </c>
      <c r="AO61" s="151">
        <f>VLOOKUP($AG61,装备属性!$A:$Y,12,0)</f>
        <v>15</v>
      </c>
      <c r="AP61" s="151">
        <f>VLOOKUP($AG61,装备属性!$A:$Y,13,0)</f>
        <v>0</v>
      </c>
      <c r="AQ61" s="151">
        <f>VLOOKUP($AG61,装备属性!$A:$Y,14,0)</f>
        <v>0</v>
      </c>
      <c r="AR61" s="151">
        <f>VLOOKUP($AG61,装备属性!$A:$Y,15,0)</f>
        <v>0</v>
      </c>
      <c r="AS61" s="151">
        <f>VLOOKUP($AG61,装备属性!$A:$Y,16,0)</f>
        <v>0</v>
      </c>
      <c r="AT61" s="151">
        <f>VLOOKUP($AG61,装备属性!$A:$Y,17,0)</f>
        <v>0</v>
      </c>
      <c r="AU61" s="151">
        <f>VLOOKUP($AG61,装备属性!$A:$Y,18,0)</f>
        <v>0</v>
      </c>
      <c r="AV61" s="151">
        <f>VLOOKUP($AG61,装备属性!$A:$Y,19,0)</f>
        <v>0</v>
      </c>
      <c r="AW61" s="151">
        <f>VLOOKUP($AG61,装备属性!$A:$Y,20,0)</f>
        <v>0</v>
      </c>
      <c r="AX61" s="151">
        <f>VLOOKUP($AG61,装备属性!$A:$Y,21,0)</f>
        <v>0</v>
      </c>
      <c r="AY61" s="151">
        <f>VLOOKUP($AG61,装备属性!$A:$Y,22,0)</f>
        <v>0</v>
      </c>
      <c r="AZ61" s="151">
        <f>VLOOKUP($AG61,装备属性!$A:$Y,23,0)</f>
        <v>0</v>
      </c>
      <c r="BA61" s="151">
        <f>VLOOKUP($AG61,装备属性!$A:$Y,24,0)</f>
        <v>0</v>
      </c>
      <c r="BB61" s="151">
        <f>VLOOKUP($AG61,装备属性!$A:$Y,25,0)</f>
        <v>0</v>
      </c>
    </row>
    <row r="62" spans="2:54" ht="13.5" customHeight="1">
      <c r="Z62" s="151" t="s">
        <v>1093</v>
      </c>
      <c r="AA62" s="151" t="s">
        <v>1093</v>
      </c>
      <c r="AF62" s="151">
        <v>7</v>
      </c>
      <c r="AG62" s="151" t="str">
        <f>AA7</f>
        <v>冲锋盾</v>
      </c>
      <c r="AH62" s="151">
        <f>VLOOKUP($AG62,装备属性!$A:$Y,5,0)</f>
        <v>0</v>
      </c>
      <c r="AI62" s="151">
        <f>VLOOKUP($AG62,装备属性!$A:$Y,6,0)</f>
        <v>0</v>
      </c>
      <c r="AJ62" s="151">
        <f>VLOOKUP($AG62,装备属性!$A:$Y,7,0)</f>
        <v>0</v>
      </c>
      <c r="AK62" s="151">
        <f>VLOOKUP($AG62,装备属性!$A:$Y,8,0)</f>
        <v>280</v>
      </c>
      <c r="AL62" s="151">
        <f>VLOOKUP($AG62,装备属性!$A:$Y,9,0)</f>
        <v>0</v>
      </c>
      <c r="AM62" s="151">
        <f>VLOOKUP($AG62,装备属性!$A:$Y,10,0)</f>
        <v>0</v>
      </c>
      <c r="AN62" s="151">
        <f>VLOOKUP($AG62,装备属性!$A:$Y,11,0)</f>
        <v>4</v>
      </c>
      <c r="AO62" s="151">
        <f>VLOOKUP($AG62,装备属性!$A:$Y,12,0)</f>
        <v>0</v>
      </c>
      <c r="AP62" s="151">
        <f>VLOOKUP($AG62,装备属性!$A:$Y,13,0)</f>
        <v>0</v>
      </c>
      <c r="AQ62" s="151">
        <f>VLOOKUP($AG62,装备属性!$A:$Y,14,0)</f>
        <v>0</v>
      </c>
      <c r="AR62" s="151">
        <f>VLOOKUP($AG62,装备属性!$A:$Y,15,0)</f>
        <v>0</v>
      </c>
      <c r="AS62" s="151">
        <f>VLOOKUP($AG62,装备属性!$A:$Y,16,0)</f>
        <v>0</v>
      </c>
      <c r="AT62" s="151">
        <f>VLOOKUP($AG62,装备属性!$A:$Y,17,0)</f>
        <v>0</v>
      </c>
      <c r="AU62" s="151">
        <f>VLOOKUP($AG62,装备属性!$A:$Y,18,0)</f>
        <v>0</v>
      </c>
      <c r="AV62" s="151">
        <f>VLOOKUP($AG62,装备属性!$A:$Y,19,0)</f>
        <v>0</v>
      </c>
      <c r="AW62" s="151">
        <f>VLOOKUP($AG62,装备属性!$A:$Y,20,0)</f>
        <v>240</v>
      </c>
      <c r="AX62" s="151">
        <f>VLOOKUP($AG62,装备属性!$A:$Y,21,0)</f>
        <v>0</v>
      </c>
      <c r="AY62" s="151">
        <f>VLOOKUP($AG62,装备属性!$A:$Y,22,0)</f>
        <v>0</v>
      </c>
      <c r="AZ62" s="151">
        <f>VLOOKUP($AG62,装备属性!$A:$Y,23,0)</f>
        <v>0</v>
      </c>
      <c r="BA62" s="151">
        <f>VLOOKUP($AG62,装备属性!$A:$Y,24,0)</f>
        <v>0</v>
      </c>
      <c r="BB62" s="151">
        <f>VLOOKUP($AG62,装备属性!$A:$Y,25,0)</f>
        <v>0</v>
      </c>
    </row>
    <row r="63" spans="2:54" ht="13.5" customHeight="1">
      <c r="Z63" s="151" t="s">
        <v>1094</v>
      </c>
      <c r="AA63" s="151" t="s">
        <v>1094</v>
      </c>
      <c r="AF63" s="151">
        <v>7</v>
      </c>
      <c r="AG63" s="151" t="str">
        <f>AB7</f>
        <v>圣殿指环</v>
      </c>
      <c r="AH63" s="151">
        <f>VLOOKUP($AG63,装备属性!$A:$Y,5,0)</f>
        <v>0</v>
      </c>
      <c r="AI63" s="151">
        <f>VLOOKUP($AG63,装备属性!$A:$Y,6,0)</f>
        <v>0</v>
      </c>
      <c r="AJ63" s="151">
        <f>VLOOKUP($AG63,装备属性!$A:$Y,7,0)</f>
        <v>0</v>
      </c>
      <c r="AK63" s="151">
        <f>VLOOKUP($AG63,装备属性!$A:$Y,8,0)</f>
        <v>0</v>
      </c>
      <c r="AL63" s="151">
        <f>VLOOKUP($AG63,装备属性!$A:$Y,9,0)</f>
        <v>0</v>
      </c>
      <c r="AM63" s="151">
        <f>VLOOKUP($AG63,装备属性!$A:$Y,10,0)</f>
        <v>0</v>
      </c>
      <c r="AN63" s="151">
        <f>VLOOKUP($AG63,装备属性!$A:$Y,11,0)</f>
        <v>2</v>
      </c>
      <c r="AO63" s="151">
        <f>VLOOKUP($AG63,装备属性!$A:$Y,12,0)</f>
        <v>0</v>
      </c>
      <c r="AP63" s="151">
        <f>VLOOKUP($AG63,装备属性!$A:$Y,13,0)</f>
        <v>0</v>
      </c>
      <c r="AQ63" s="151">
        <f>VLOOKUP($AG63,装备属性!$A:$Y,14,0)</f>
        <v>0</v>
      </c>
      <c r="AR63" s="151">
        <f>VLOOKUP($AG63,装备属性!$A:$Y,15,0)</f>
        <v>0</v>
      </c>
      <c r="AS63" s="151">
        <f>VLOOKUP($AG63,装备属性!$A:$Y,16,0)</f>
        <v>0</v>
      </c>
      <c r="AT63" s="151">
        <f>VLOOKUP($AG63,装备属性!$A:$Y,17,0)</f>
        <v>0</v>
      </c>
      <c r="AU63" s="151">
        <f>VLOOKUP($AG63,装备属性!$A:$Y,18,0)</f>
        <v>0</v>
      </c>
      <c r="AV63" s="151">
        <f>VLOOKUP($AG63,装备属性!$A:$Y,19,0)</f>
        <v>0</v>
      </c>
      <c r="AW63" s="151">
        <f>VLOOKUP($AG63,装备属性!$A:$Y,20,0)</f>
        <v>0</v>
      </c>
      <c r="AX63" s="151">
        <f>VLOOKUP($AG63,装备属性!$A:$Y,21,0)</f>
        <v>30</v>
      </c>
      <c r="AY63" s="151">
        <f>VLOOKUP($AG63,装备属性!$A:$Y,22,0)</f>
        <v>0</v>
      </c>
      <c r="AZ63" s="151">
        <f>VLOOKUP($AG63,装备属性!$A:$Y,23,0)</f>
        <v>0</v>
      </c>
      <c r="BA63" s="151">
        <f>VLOOKUP($AG63,装备属性!$A:$Y,24,0)</f>
        <v>0</v>
      </c>
      <c r="BB63" s="151">
        <f>VLOOKUP($AG63,装备属性!$A:$Y,25,0)</f>
        <v>0</v>
      </c>
    </row>
    <row r="64" spans="2:54">
      <c r="AF64" s="151">
        <v>7</v>
      </c>
      <c r="AG64" s="151" t="str">
        <f>AC7</f>
        <v>飞鞋</v>
      </c>
      <c r="AH64" s="151">
        <f>VLOOKUP($AG64,装备属性!$A:$Y,5,0)</f>
        <v>25</v>
      </c>
      <c r="AI64" s="151">
        <f>VLOOKUP($AG64,装备属性!$A:$Y,6,0)</f>
        <v>25</v>
      </c>
      <c r="AJ64" s="151">
        <f>VLOOKUP($AG64,装备属性!$A:$Y,7,0)</f>
        <v>25</v>
      </c>
      <c r="AK64" s="151">
        <f>VLOOKUP($AG64,装备属性!$A:$Y,8,0)</f>
        <v>0</v>
      </c>
      <c r="AL64" s="151">
        <f>VLOOKUP($AG64,装备属性!$A:$Y,9,0)</f>
        <v>0</v>
      </c>
      <c r="AM64" s="151">
        <f>VLOOKUP($AG64,装备属性!$A:$Y,10,0)</f>
        <v>0</v>
      </c>
      <c r="AN64" s="151">
        <f>VLOOKUP($AG64,装备属性!$A:$Y,11,0)</f>
        <v>0</v>
      </c>
      <c r="AO64" s="151">
        <f>VLOOKUP($AG64,装备属性!$A:$Y,12,0)</f>
        <v>0</v>
      </c>
      <c r="AP64" s="151">
        <f>VLOOKUP($AG64,装备属性!$A:$Y,13,0)</f>
        <v>0</v>
      </c>
      <c r="AQ64" s="151">
        <f>VLOOKUP($AG64,装备属性!$A:$Y,14,0)</f>
        <v>0</v>
      </c>
      <c r="AR64" s="151">
        <f>VLOOKUP($AG64,装备属性!$A:$Y,15,0)</f>
        <v>0</v>
      </c>
      <c r="AS64" s="151">
        <f>VLOOKUP($AG64,装备属性!$A:$Y,16,0)</f>
        <v>0</v>
      </c>
      <c r="AT64" s="151">
        <f>VLOOKUP($AG64,装备属性!$A:$Y,17,0)</f>
        <v>0</v>
      </c>
      <c r="AU64" s="151">
        <f>VLOOKUP($AG64,装备属性!$A:$Y,18,0)</f>
        <v>0</v>
      </c>
      <c r="AV64" s="151">
        <f>VLOOKUP($AG64,装备属性!$A:$Y,19,0)</f>
        <v>0</v>
      </c>
      <c r="AW64" s="151">
        <f>VLOOKUP($AG64,装备属性!$A:$Y,20,0)</f>
        <v>0</v>
      </c>
      <c r="AX64" s="151">
        <f>VLOOKUP($AG64,装备属性!$A:$Y,21,0)</f>
        <v>0</v>
      </c>
      <c r="AY64" s="151">
        <f>VLOOKUP($AG64,装备属性!$A:$Y,22,0)</f>
        <v>0</v>
      </c>
      <c r="AZ64" s="151">
        <f>VLOOKUP($AG64,装备属性!$A:$Y,23,0)</f>
        <v>0</v>
      </c>
      <c r="BA64" s="151">
        <f>VLOOKUP($AG64,装备属性!$A:$Y,24,0)</f>
        <v>0</v>
      </c>
      <c r="BB64" s="151">
        <f>VLOOKUP($AG64,装备属性!$A:$Y,25,0)</f>
        <v>0</v>
      </c>
    </row>
    <row r="65" spans="21:54">
      <c r="V65" s="151" t="s">
        <v>1091</v>
      </c>
      <c r="W65" s="151" t="s">
        <v>1089</v>
      </c>
      <c r="X65" s="151" t="s">
        <v>1092</v>
      </c>
      <c r="Y65" s="151" t="s">
        <v>1090</v>
      </c>
      <c r="Z65" s="151" t="s">
        <v>1093</v>
      </c>
      <c r="AA65" s="151" t="s">
        <v>1094</v>
      </c>
      <c r="AF65" s="151">
        <v>8</v>
      </c>
      <c r="AG65" s="151" t="str">
        <f>X8</f>
        <v>蝴蝶</v>
      </c>
      <c r="AH65" s="151">
        <f>VLOOKUP($AG65,装备属性!$A:$Y,5,0)</f>
        <v>0</v>
      </c>
      <c r="AI65" s="151">
        <f>VLOOKUP($AG65,装备属性!$A:$Y,6,0)</f>
        <v>30</v>
      </c>
      <c r="AJ65" s="151">
        <f>VLOOKUP($AG65,装备属性!$A:$Y,7,0)</f>
        <v>0</v>
      </c>
      <c r="AK65" s="151">
        <f>VLOOKUP($AG65,装备属性!$A:$Y,8,0)</f>
        <v>0</v>
      </c>
      <c r="AL65" s="151">
        <f>VLOOKUP($AG65,装备属性!$A:$Y,9,0)</f>
        <v>30</v>
      </c>
      <c r="AM65" s="151">
        <f>VLOOKUP($AG65,装备属性!$A:$Y,10,0)</f>
        <v>0</v>
      </c>
      <c r="AN65" s="151">
        <f>VLOOKUP($AG65,装备属性!$A:$Y,11,0)</f>
        <v>0</v>
      </c>
      <c r="AO65" s="151">
        <f>VLOOKUP($AG65,装备属性!$A:$Y,12,0)</f>
        <v>0</v>
      </c>
      <c r="AP65" s="151">
        <f>VLOOKUP($AG65,装备属性!$A:$Y,13,0)</f>
        <v>30</v>
      </c>
      <c r="AQ65" s="151">
        <f>VLOOKUP($AG65,装备属性!$A:$Y,14,0)</f>
        <v>0</v>
      </c>
      <c r="AR65" s="151">
        <f>VLOOKUP($AG65,装备属性!$A:$Y,15,0)</f>
        <v>0</v>
      </c>
      <c r="AS65" s="151">
        <f>VLOOKUP($AG65,装备属性!$A:$Y,16,0)</f>
        <v>0</v>
      </c>
      <c r="AT65" s="151">
        <f>VLOOKUP($AG65,装备属性!$A:$Y,17,0)</f>
        <v>0</v>
      </c>
      <c r="AU65" s="151">
        <f>VLOOKUP($AG65,装备属性!$A:$Y,18,0)</f>
        <v>0</v>
      </c>
      <c r="AV65" s="151">
        <f>VLOOKUP($AG65,装备属性!$A:$Y,19,0)</f>
        <v>30</v>
      </c>
      <c r="AW65" s="151">
        <f>VLOOKUP($AG65,装备属性!$A:$Y,20,0)</f>
        <v>0</v>
      </c>
      <c r="AX65" s="151">
        <f>VLOOKUP($AG65,装备属性!$A:$Y,21,0)</f>
        <v>0</v>
      </c>
      <c r="AY65" s="151">
        <f>VLOOKUP($AG65,装备属性!$A:$Y,22,0)</f>
        <v>0</v>
      </c>
      <c r="AZ65" s="151">
        <f>VLOOKUP($AG65,装备属性!$A:$Y,23,0)</f>
        <v>0</v>
      </c>
      <c r="BA65" s="151">
        <f>VLOOKUP($AG65,装备属性!$A:$Y,24,0)</f>
        <v>0</v>
      </c>
      <c r="BB65" s="151">
        <f>VLOOKUP($AG65,装备属性!$A:$Y,25,0)</f>
        <v>0</v>
      </c>
    </row>
    <row r="66" spans="21:54">
      <c r="V66" s="151">
        <v>0</v>
      </c>
      <c r="W66" s="151">
        <v>1</v>
      </c>
      <c r="X66" s="151">
        <v>2</v>
      </c>
      <c r="Y66" s="151">
        <v>3</v>
      </c>
      <c r="Z66" s="151">
        <v>4</v>
      </c>
      <c r="AA66" s="151">
        <v>5</v>
      </c>
      <c r="AF66" s="151">
        <v>8</v>
      </c>
      <c r="AG66" s="151" t="str">
        <f>Y8</f>
        <v>鬼手</v>
      </c>
      <c r="AH66" s="151">
        <f>VLOOKUP($AG66,装备属性!$A:$Y,5,0)</f>
        <v>25</v>
      </c>
      <c r="AI66" s="151">
        <f>VLOOKUP($AG66,装备属性!$A:$Y,6,0)</f>
        <v>0</v>
      </c>
      <c r="AJ66" s="151">
        <f>VLOOKUP($AG66,装备属性!$A:$Y,7,0)</f>
        <v>0</v>
      </c>
      <c r="AK66" s="151">
        <f>VLOOKUP($AG66,装备属性!$A:$Y,8,0)</f>
        <v>0</v>
      </c>
      <c r="AL66" s="151">
        <f>VLOOKUP($AG66,装备属性!$A:$Y,9,0)</f>
        <v>9</v>
      </c>
      <c r="AM66" s="151">
        <f>VLOOKUP($AG66,装备属性!$A:$Y,10,0)</f>
        <v>0</v>
      </c>
      <c r="AN66" s="151">
        <f>VLOOKUP($AG66,装备属性!$A:$Y,11,0)</f>
        <v>5</v>
      </c>
      <c r="AO66" s="151">
        <f>VLOOKUP($AG66,装备属性!$A:$Y,12,0)</f>
        <v>0</v>
      </c>
      <c r="AP66" s="151">
        <f>VLOOKUP($AG66,装备属性!$A:$Y,13,0)</f>
        <v>10</v>
      </c>
      <c r="AQ66" s="151">
        <f>VLOOKUP($AG66,装备属性!$A:$Y,14,0)</f>
        <v>0</v>
      </c>
      <c r="AR66" s="151">
        <f>VLOOKUP($AG66,装备属性!$A:$Y,15,0)</f>
        <v>0</v>
      </c>
      <c r="AS66" s="151">
        <f>VLOOKUP($AG66,装备属性!$A:$Y,16,0)</f>
        <v>0</v>
      </c>
      <c r="AT66" s="151">
        <f>VLOOKUP($AG66,装备属性!$A:$Y,17,0)</f>
        <v>0</v>
      </c>
      <c r="AU66" s="151">
        <f>VLOOKUP($AG66,装备属性!$A:$Y,18,0)</f>
        <v>0</v>
      </c>
      <c r="AV66" s="151">
        <f>VLOOKUP($AG66,装备属性!$A:$Y,19,0)</f>
        <v>0</v>
      </c>
      <c r="AW66" s="151">
        <f>VLOOKUP($AG66,装备属性!$A:$Y,20,0)</f>
        <v>0</v>
      </c>
      <c r="AX66" s="151">
        <f>VLOOKUP($AG66,装备属性!$A:$Y,21,0)</f>
        <v>0</v>
      </c>
      <c r="AY66" s="151">
        <f>VLOOKUP($AG66,装备属性!$A:$Y,22,0)</f>
        <v>0</v>
      </c>
      <c r="AZ66" s="151">
        <f>VLOOKUP($AG66,装备属性!$A:$Y,23,0)</f>
        <v>0</v>
      </c>
      <c r="BA66" s="151">
        <f>VLOOKUP($AG66,装备属性!$A:$Y,24,0)</f>
        <v>0</v>
      </c>
      <c r="BB66" s="151">
        <f>VLOOKUP($AG66,装备属性!$A:$Y,25,0)</f>
        <v>0</v>
      </c>
    </row>
    <row r="67" spans="21:54">
      <c r="AF67" s="151">
        <v>8</v>
      </c>
      <c r="AG67" s="151" t="str">
        <f>Z8</f>
        <v>狂战斧</v>
      </c>
      <c r="AH67" s="151">
        <f>VLOOKUP($AG67,装备属性!$A:$Y,5,0)</f>
        <v>0</v>
      </c>
      <c r="AI67" s="151">
        <f>VLOOKUP($AG67,装备属性!$A:$Y,6,0)</f>
        <v>0</v>
      </c>
      <c r="AJ67" s="151">
        <f>VLOOKUP($AG67,装备属性!$A:$Y,7,0)</f>
        <v>0</v>
      </c>
      <c r="AK67" s="151">
        <f>VLOOKUP($AG67,装备属性!$A:$Y,8,0)</f>
        <v>0</v>
      </c>
      <c r="AL67" s="151">
        <f>VLOOKUP($AG67,装备属性!$A:$Y,9,0)</f>
        <v>65</v>
      </c>
      <c r="AM67" s="151">
        <f>VLOOKUP($AG67,装备属性!$A:$Y,10,0)</f>
        <v>0</v>
      </c>
      <c r="AN67" s="151">
        <f>VLOOKUP($AG67,装备属性!$A:$Y,11,0)</f>
        <v>0</v>
      </c>
      <c r="AO67" s="151">
        <f>VLOOKUP($AG67,装备属性!$A:$Y,12,0)</f>
        <v>0</v>
      </c>
      <c r="AP67" s="151">
        <f>VLOOKUP($AG67,装备属性!$A:$Y,13,0)</f>
        <v>0</v>
      </c>
      <c r="AQ67" s="151">
        <f>VLOOKUP($AG67,装备属性!$A:$Y,14,0)</f>
        <v>0</v>
      </c>
      <c r="AR67" s="151">
        <f>VLOOKUP($AG67,装备属性!$A:$Y,15,0)</f>
        <v>0</v>
      </c>
      <c r="AS67" s="151">
        <f>VLOOKUP($AG67,装备属性!$A:$Y,16,0)</f>
        <v>0</v>
      </c>
      <c r="AT67" s="151">
        <f>VLOOKUP($AG67,装备属性!$A:$Y,17,0)</f>
        <v>0</v>
      </c>
      <c r="AU67" s="151">
        <f>VLOOKUP($AG67,装备属性!$A:$Y,18,0)</f>
        <v>0</v>
      </c>
      <c r="AV67" s="151">
        <f>VLOOKUP($AG67,装备属性!$A:$Y,19,0)</f>
        <v>0</v>
      </c>
      <c r="AW67" s="151">
        <f>VLOOKUP($AG67,装备属性!$A:$Y,20,0)</f>
        <v>140</v>
      </c>
      <c r="AX67" s="151">
        <f>VLOOKUP($AG67,装备属性!$A:$Y,21,0)</f>
        <v>50</v>
      </c>
      <c r="AY67" s="151">
        <f>VLOOKUP($AG67,装备属性!$A:$Y,22,0)</f>
        <v>0</v>
      </c>
      <c r="AZ67" s="151">
        <f>VLOOKUP($AG67,装备属性!$A:$Y,23,0)</f>
        <v>0</v>
      </c>
      <c r="BA67" s="151">
        <f>VLOOKUP($AG67,装备属性!$A:$Y,24,0)</f>
        <v>0</v>
      </c>
      <c r="BB67" s="151">
        <f>VLOOKUP($AG67,装备属性!$A:$Y,25,0)</f>
        <v>0</v>
      </c>
    </row>
    <row r="68" spans="21:54">
      <c r="AF68" s="151">
        <v>8</v>
      </c>
      <c r="AG68" s="151" t="str">
        <f>AA8</f>
        <v>暗灭</v>
      </c>
      <c r="AH68" s="151">
        <f>VLOOKUP($AG68,装备属性!$A:$Y,5,0)</f>
        <v>0</v>
      </c>
      <c r="AI68" s="151">
        <f>VLOOKUP($AG68,装备属性!$A:$Y,6,0)</f>
        <v>0</v>
      </c>
      <c r="AJ68" s="151">
        <f>VLOOKUP($AG68,装备属性!$A:$Y,7,0)</f>
        <v>0</v>
      </c>
      <c r="AK68" s="151">
        <f>VLOOKUP($AG68,装备属性!$A:$Y,8,0)</f>
        <v>0</v>
      </c>
      <c r="AL68" s="151">
        <f>VLOOKUP($AG68,装备属性!$A:$Y,9,0)</f>
        <v>60</v>
      </c>
      <c r="AM68" s="151">
        <f>VLOOKUP($AG68,装备属性!$A:$Y,10,0)</f>
        <v>0</v>
      </c>
      <c r="AN68" s="151">
        <f>VLOOKUP($AG68,装备属性!$A:$Y,11,0)</f>
        <v>0</v>
      </c>
      <c r="AO68" s="151">
        <f>VLOOKUP($AG68,装备属性!$A:$Y,12,0)</f>
        <v>0</v>
      </c>
      <c r="AP68" s="151">
        <f>VLOOKUP($AG68,装备属性!$A:$Y,13,0)</f>
        <v>0</v>
      </c>
      <c r="AQ68" s="151">
        <f>VLOOKUP($AG68,装备属性!$A:$Y,14,0)</f>
        <v>7</v>
      </c>
      <c r="AR68" s="151">
        <f>VLOOKUP($AG68,装备属性!$A:$Y,15,0)</f>
        <v>0</v>
      </c>
      <c r="AS68" s="151">
        <f>VLOOKUP($AG68,装备属性!$A:$Y,16,0)</f>
        <v>0</v>
      </c>
      <c r="AT68" s="151">
        <f>VLOOKUP($AG68,装备属性!$A:$Y,17,0)</f>
        <v>0</v>
      </c>
      <c r="AU68" s="151">
        <f>VLOOKUP($AG68,装备属性!$A:$Y,18,0)</f>
        <v>0</v>
      </c>
      <c r="AV68" s="151">
        <f>VLOOKUP($AG68,装备属性!$A:$Y,19,0)</f>
        <v>0</v>
      </c>
      <c r="AW68" s="151">
        <f>VLOOKUP($AG68,装备属性!$A:$Y,20,0)</f>
        <v>0</v>
      </c>
      <c r="AX68" s="151">
        <f>VLOOKUP($AG68,装备属性!$A:$Y,21,0)</f>
        <v>0</v>
      </c>
      <c r="AY68" s="151">
        <f>VLOOKUP($AG68,装备属性!$A:$Y,22,0)</f>
        <v>0</v>
      </c>
      <c r="AZ68" s="151">
        <f>VLOOKUP($AG68,装备属性!$A:$Y,23,0)</f>
        <v>0</v>
      </c>
      <c r="BA68" s="151">
        <f>VLOOKUP($AG68,装备属性!$A:$Y,24,0)</f>
        <v>0</v>
      </c>
      <c r="BB68" s="151">
        <f>VLOOKUP($AG68,装备属性!$A:$Y,25,0)</f>
        <v>0</v>
      </c>
    </row>
    <row r="69" spans="21:54">
      <c r="V69" s="48" t="s">
        <v>1104</v>
      </c>
      <c r="AF69" s="151">
        <v>8</v>
      </c>
      <c r="AG69" s="151" t="str">
        <f>AB8</f>
        <v>阔剑</v>
      </c>
      <c r="AH69" s="151">
        <f>VLOOKUP($AG69,装备属性!$A:$Y,5,0)</f>
        <v>0</v>
      </c>
      <c r="AI69" s="151">
        <f>VLOOKUP($AG69,装备属性!$A:$Y,6,0)</f>
        <v>0</v>
      </c>
      <c r="AJ69" s="151">
        <f>VLOOKUP($AG69,装备属性!$A:$Y,7,0)</f>
        <v>0</v>
      </c>
      <c r="AK69" s="151">
        <f>VLOOKUP($AG69,装备属性!$A:$Y,8,0)</f>
        <v>0</v>
      </c>
      <c r="AL69" s="151">
        <f>VLOOKUP($AG69,装备属性!$A:$Y,9,0)</f>
        <v>18</v>
      </c>
      <c r="AM69" s="151">
        <f>VLOOKUP($AG69,装备属性!$A:$Y,10,0)</f>
        <v>0</v>
      </c>
      <c r="AN69" s="151">
        <f>VLOOKUP($AG69,装备属性!$A:$Y,11,0)</f>
        <v>0</v>
      </c>
      <c r="AO69" s="151">
        <f>VLOOKUP($AG69,装备属性!$A:$Y,12,0)</f>
        <v>0</v>
      </c>
      <c r="AP69" s="151">
        <f>VLOOKUP($AG69,装备属性!$A:$Y,13,0)</f>
        <v>0</v>
      </c>
      <c r="AQ69" s="151">
        <f>VLOOKUP($AG69,装备属性!$A:$Y,14,0)</f>
        <v>0</v>
      </c>
      <c r="AR69" s="151">
        <f>VLOOKUP($AG69,装备属性!$A:$Y,15,0)</f>
        <v>0</v>
      </c>
      <c r="AS69" s="151">
        <f>VLOOKUP($AG69,装备属性!$A:$Y,16,0)</f>
        <v>0</v>
      </c>
      <c r="AT69" s="151">
        <f>VLOOKUP($AG69,装备属性!$A:$Y,17,0)</f>
        <v>0</v>
      </c>
      <c r="AU69" s="151">
        <f>VLOOKUP($AG69,装备属性!$A:$Y,18,0)</f>
        <v>0</v>
      </c>
      <c r="AV69" s="151">
        <f>VLOOKUP($AG69,装备属性!$A:$Y,19,0)</f>
        <v>0</v>
      </c>
      <c r="AW69" s="151">
        <f>VLOOKUP($AG69,装备属性!$A:$Y,20,0)</f>
        <v>0</v>
      </c>
      <c r="AX69" s="151">
        <f>VLOOKUP($AG69,装备属性!$A:$Y,21,0)</f>
        <v>0</v>
      </c>
      <c r="AY69" s="151">
        <f>VLOOKUP($AG69,装备属性!$A:$Y,22,0)</f>
        <v>0</v>
      </c>
      <c r="AZ69" s="151">
        <f>VLOOKUP($AG69,装备属性!$A:$Y,23,0)</f>
        <v>0</v>
      </c>
      <c r="BA69" s="151">
        <f>VLOOKUP($AG69,装备属性!$A:$Y,24,0)</f>
        <v>0</v>
      </c>
      <c r="BB69" s="151">
        <f>VLOOKUP($AG69,装备属性!$A:$Y,25,0)</f>
        <v>0</v>
      </c>
    </row>
    <row r="70" spans="21:54">
      <c r="U70" s="75" t="s">
        <v>1255</v>
      </c>
      <c r="V70" s="56" t="str">
        <f>IF(COUNTIF(英雄对比!C19:H20,"")=0,"","装备信息填写不全，会造成计算错误")</f>
        <v/>
      </c>
      <c r="AF70" s="151">
        <v>8</v>
      </c>
      <c r="AG70" s="151" t="str">
        <f>AC8</f>
        <v>飞鞋</v>
      </c>
      <c r="AH70" s="151">
        <f>VLOOKUP($AG70,装备属性!$A:$Y,5,0)</f>
        <v>25</v>
      </c>
      <c r="AI70" s="151">
        <f>VLOOKUP($AG70,装备属性!$A:$Y,6,0)</f>
        <v>25</v>
      </c>
      <c r="AJ70" s="151">
        <f>VLOOKUP($AG70,装备属性!$A:$Y,7,0)</f>
        <v>25</v>
      </c>
      <c r="AK70" s="151">
        <f>VLOOKUP($AG70,装备属性!$A:$Y,8,0)</f>
        <v>0</v>
      </c>
      <c r="AL70" s="151">
        <f>VLOOKUP($AG70,装备属性!$A:$Y,9,0)</f>
        <v>0</v>
      </c>
      <c r="AM70" s="151">
        <f>VLOOKUP($AG70,装备属性!$A:$Y,10,0)</f>
        <v>0</v>
      </c>
      <c r="AN70" s="151">
        <f>VLOOKUP($AG70,装备属性!$A:$Y,11,0)</f>
        <v>0</v>
      </c>
      <c r="AO70" s="151">
        <f>VLOOKUP($AG70,装备属性!$A:$Y,12,0)</f>
        <v>0</v>
      </c>
      <c r="AP70" s="151">
        <f>VLOOKUP($AG70,装备属性!$A:$Y,13,0)</f>
        <v>0</v>
      </c>
      <c r="AQ70" s="151">
        <f>VLOOKUP($AG70,装备属性!$A:$Y,14,0)</f>
        <v>0</v>
      </c>
      <c r="AR70" s="151">
        <f>VLOOKUP($AG70,装备属性!$A:$Y,15,0)</f>
        <v>0</v>
      </c>
      <c r="AS70" s="151">
        <f>VLOOKUP($AG70,装备属性!$A:$Y,16,0)</f>
        <v>0</v>
      </c>
      <c r="AT70" s="151">
        <f>VLOOKUP($AG70,装备属性!$A:$Y,17,0)</f>
        <v>0</v>
      </c>
      <c r="AU70" s="151">
        <f>VLOOKUP($AG70,装备属性!$A:$Y,18,0)</f>
        <v>0</v>
      </c>
      <c r="AV70" s="151">
        <f>VLOOKUP($AG70,装备属性!$A:$Y,19,0)</f>
        <v>0</v>
      </c>
      <c r="AW70" s="151">
        <f>VLOOKUP($AG70,装备属性!$A:$Y,20,0)</f>
        <v>0</v>
      </c>
      <c r="AX70" s="151">
        <f>VLOOKUP($AG70,装备属性!$A:$Y,21,0)</f>
        <v>0</v>
      </c>
      <c r="AY70" s="151">
        <f>VLOOKUP($AG70,装备属性!$A:$Y,22,0)</f>
        <v>0</v>
      </c>
      <c r="AZ70" s="151">
        <f>VLOOKUP($AG70,装备属性!$A:$Y,23,0)</f>
        <v>0</v>
      </c>
      <c r="BA70" s="151">
        <f>VLOOKUP($AG70,装备属性!$A:$Y,24,0)</f>
        <v>0</v>
      </c>
      <c r="BB70" s="151">
        <f>VLOOKUP($AG70,装备属性!$A:$Y,25,0)</f>
        <v>0</v>
      </c>
    </row>
    <row r="71" spans="21:54">
      <c r="U71" s="75" t="s">
        <v>1256</v>
      </c>
      <c r="V71" s="231" t="str">
        <f>IF(OR(COUNTIF('我需要您！'!$Q:$Q,英雄对比!$C$18)=1,COUNTIF('我需要您！'!$Q:$Q,英雄对比!$D$18)=1,COUNTIF('我需要您！'!$Q:$Q,英雄对比!$E$18)=1,COUNTIF('我需要您！'!$Q:$Q,英雄对比!$F$18)=1,COUNTIF('我需要您！'!$Q:$Q,英雄对比!$G$18)=1,COUNTIF('我需要您！'!$Q:$Q,英雄对比!$G$18)=1),"抱歉，装备中的某件装备数据库里没有附魔数据，会影响计算结果（请在“我需要您！”里查看没有附魔数据的装备列表，也请你帮助我补充数据）。","")</f>
        <v/>
      </c>
      <c r="W71" s="231"/>
      <c r="X71" s="231"/>
      <c r="Y71" s="231"/>
      <c r="Z71" s="231"/>
      <c r="AA71" s="231"/>
      <c r="AF71" s="151">
        <v>9</v>
      </c>
      <c r="AG71" s="151" t="str">
        <f>X9</f>
        <v>长笛</v>
      </c>
      <c r="AH71" s="151">
        <f>VLOOKUP($AG71,装备属性!$A:$Y,5,0)</f>
        <v>0</v>
      </c>
      <c r="AI71" s="151">
        <f>VLOOKUP($AG71,装备属性!$A:$Y,6,0)</f>
        <v>0</v>
      </c>
      <c r="AJ71" s="151">
        <f>VLOOKUP($AG71,装备属性!$A:$Y,7,0)</f>
        <v>0</v>
      </c>
      <c r="AK71" s="151">
        <f>VLOOKUP($AG71,装备属性!$A:$Y,8,0)</f>
        <v>0</v>
      </c>
      <c r="AL71" s="151">
        <f>VLOOKUP($AG71,装备属性!$A:$Y,9,0)</f>
        <v>0</v>
      </c>
      <c r="AM71" s="151">
        <f>VLOOKUP($AG71,装备属性!$A:$Y,10,0)</f>
        <v>0</v>
      </c>
      <c r="AN71" s="151">
        <f>VLOOKUP($AG71,装备属性!$A:$Y,11,0)</f>
        <v>0</v>
      </c>
      <c r="AO71" s="151">
        <f>VLOOKUP($AG71,装备属性!$A:$Y,12,0)</f>
        <v>35</v>
      </c>
      <c r="AP71" s="151">
        <f>VLOOKUP($AG71,装备属性!$A:$Y,13,0)</f>
        <v>0</v>
      </c>
      <c r="AQ71" s="151">
        <f>VLOOKUP($AG71,装备属性!$A:$Y,14,0)</f>
        <v>0</v>
      </c>
      <c r="AR71" s="151">
        <f>VLOOKUP($AG71,装备属性!$A:$Y,15,0)</f>
        <v>0</v>
      </c>
      <c r="AS71" s="151">
        <f>VLOOKUP($AG71,装备属性!$A:$Y,16,0)</f>
        <v>0</v>
      </c>
      <c r="AT71" s="151">
        <f>VLOOKUP($AG71,装备属性!$A:$Y,17,0)</f>
        <v>0</v>
      </c>
      <c r="AU71" s="151">
        <f>VLOOKUP($AG71,装备属性!$A:$Y,18,0)</f>
        <v>0</v>
      </c>
      <c r="AV71" s="151">
        <f>VLOOKUP($AG71,装备属性!$A:$Y,19,0)</f>
        <v>0</v>
      </c>
      <c r="AW71" s="151">
        <f>VLOOKUP($AG71,装备属性!$A:$Y,20,0)</f>
        <v>100</v>
      </c>
      <c r="AX71" s="151">
        <f>VLOOKUP($AG71,装备属性!$A:$Y,21,0)</f>
        <v>0</v>
      </c>
      <c r="AY71" s="151">
        <f>VLOOKUP($AG71,装备属性!$A:$Y,22,0)</f>
        <v>0</v>
      </c>
      <c r="AZ71" s="151">
        <f>VLOOKUP($AG71,装备属性!$A:$Y,23,0)</f>
        <v>0</v>
      </c>
      <c r="BA71" s="151">
        <f>VLOOKUP($AG71,装备属性!$A:$Y,24,0)</f>
        <v>0</v>
      </c>
      <c r="BB71" s="151">
        <f>VLOOKUP($AG71,装备属性!$A:$Y,25,0)</f>
        <v>0</v>
      </c>
    </row>
    <row r="72" spans="21:54">
      <c r="V72" s="231"/>
      <c r="W72" s="231"/>
      <c r="X72" s="231"/>
      <c r="Y72" s="231"/>
      <c r="Z72" s="231"/>
      <c r="AA72" s="231"/>
      <c r="AF72" s="151">
        <v>9</v>
      </c>
      <c r="AG72" s="151" t="str">
        <f>Y9</f>
        <v>深渊之刃</v>
      </c>
      <c r="AH72" s="151">
        <f>VLOOKUP($AG72,装备属性!$A:$Y,5,0)</f>
        <v>10</v>
      </c>
      <c r="AI72" s="151">
        <f>VLOOKUP($AG72,装备属性!$A:$Y,6,0)</f>
        <v>0</v>
      </c>
      <c r="AJ72" s="151">
        <f>VLOOKUP($AG72,装备属性!$A:$Y,7,0)</f>
        <v>0</v>
      </c>
      <c r="AK72" s="151">
        <f>VLOOKUP($AG72,装备属性!$A:$Y,8,0)</f>
        <v>0</v>
      </c>
      <c r="AL72" s="151">
        <f>VLOOKUP($AG72,装备属性!$A:$Y,9,0)</f>
        <v>100</v>
      </c>
      <c r="AM72" s="151">
        <f>VLOOKUP($AG72,装备属性!$A:$Y,10,0)</f>
        <v>0</v>
      </c>
      <c r="AN72" s="151">
        <f>VLOOKUP($AG72,装备属性!$A:$Y,11,0)</f>
        <v>0</v>
      </c>
      <c r="AO72" s="151">
        <f>VLOOKUP($AG72,装备属性!$A:$Y,12,0)</f>
        <v>0</v>
      </c>
      <c r="AP72" s="151">
        <f>VLOOKUP($AG72,装备属性!$A:$Y,13,0)</f>
        <v>30</v>
      </c>
      <c r="AQ72" s="151">
        <f>VLOOKUP($AG72,装备属性!$A:$Y,14,0)</f>
        <v>0</v>
      </c>
      <c r="AR72" s="151">
        <f>VLOOKUP($AG72,装备属性!$A:$Y,15,0)</f>
        <v>0</v>
      </c>
      <c r="AS72" s="151">
        <f>VLOOKUP($AG72,装备属性!$A:$Y,16,0)</f>
        <v>0</v>
      </c>
      <c r="AT72" s="151">
        <f>VLOOKUP($AG72,装备属性!$A:$Y,17,0)</f>
        <v>0</v>
      </c>
      <c r="AU72" s="151">
        <f>VLOOKUP($AG72,装备属性!$A:$Y,18,0)</f>
        <v>0</v>
      </c>
      <c r="AV72" s="151">
        <f>VLOOKUP($AG72,装备属性!$A:$Y,19,0)</f>
        <v>0</v>
      </c>
      <c r="AW72" s="151">
        <f>VLOOKUP($AG72,装备属性!$A:$Y,20,0)</f>
        <v>0</v>
      </c>
      <c r="AX72" s="151">
        <f>VLOOKUP($AG72,装备属性!$A:$Y,21,0)</f>
        <v>0</v>
      </c>
      <c r="AY72" s="151">
        <f>VLOOKUP($AG72,装备属性!$A:$Y,22,0)</f>
        <v>0</v>
      </c>
      <c r="AZ72" s="151">
        <f>VLOOKUP($AG72,装备属性!$A:$Y,23,0)</f>
        <v>0</v>
      </c>
      <c r="BA72" s="151">
        <f>VLOOKUP($AG72,装备属性!$A:$Y,24,0)</f>
        <v>0</v>
      </c>
      <c r="BB72" s="151">
        <f>VLOOKUP($AG72,装备属性!$A:$Y,25,0)</f>
        <v>0</v>
      </c>
    </row>
    <row r="73" spans="21:54">
      <c r="V73" s="53"/>
      <c r="AF73" s="151">
        <v>9</v>
      </c>
      <c r="AG73" s="151" t="str">
        <f>Z9</f>
        <v>秘银锤</v>
      </c>
      <c r="AH73" s="151">
        <f>VLOOKUP($AG73,装备属性!$A:$Y,5,0)</f>
        <v>0</v>
      </c>
      <c r="AI73" s="151">
        <f>VLOOKUP($AG73,装备属性!$A:$Y,6,0)</f>
        <v>0</v>
      </c>
      <c r="AJ73" s="151">
        <f>VLOOKUP($AG73,装备属性!$A:$Y,7,0)</f>
        <v>0</v>
      </c>
      <c r="AK73" s="151">
        <f>VLOOKUP($AG73,装备属性!$A:$Y,8,0)</f>
        <v>0</v>
      </c>
      <c r="AL73" s="151">
        <f>VLOOKUP($AG73,装备属性!$A:$Y,9,0)</f>
        <v>24</v>
      </c>
      <c r="AM73" s="151">
        <f>VLOOKUP($AG73,装备属性!$A:$Y,10,0)</f>
        <v>0</v>
      </c>
      <c r="AN73" s="151">
        <f>VLOOKUP($AG73,装备属性!$A:$Y,11,0)</f>
        <v>0</v>
      </c>
      <c r="AO73" s="151">
        <f>VLOOKUP($AG73,装备属性!$A:$Y,12,0)</f>
        <v>0</v>
      </c>
      <c r="AP73" s="151">
        <f>VLOOKUP($AG73,装备属性!$A:$Y,13,0)</f>
        <v>0</v>
      </c>
      <c r="AQ73" s="151">
        <f>VLOOKUP($AG73,装备属性!$A:$Y,14,0)</f>
        <v>0</v>
      </c>
      <c r="AR73" s="151">
        <f>VLOOKUP($AG73,装备属性!$A:$Y,15,0)</f>
        <v>0</v>
      </c>
      <c r="AS73" s="151">
        <f>VLOOKUP($AG73,装备属性!$A:$Y,16,0)</f>
        <v>0</v>
      </c>
      <c r="AT73" s="151">
        <f>VLOOKUP($AG73,装备属性!$A:$Y,17,0)</f>
        <v>0</v>
      </c>
      <c r="AU73" s="151">
        <f>VLOOKUP($AG73,装备属性!$A:$Y,18,0)</f>
        <v>0</v>
      </c>
      <c r="AV73" s="151">
        <f>VLOOKUP($AG73,装备属性!$A:$Y,19,0)</f>
        <v>0</v>
      </c>
      <c r="AW73" s="151">
        <f>VLOOKUP($AG73,装备属性!$A:$Y,20,0)</f>
        <v>0</v>
      </c>
      <c r="AX73" s="151">
        <f>VLOOKUP($AG73,装备属性!$A:$Y,21,0)</f>
        <v>0</v>
      </c>
      <c r="AY73" s="151">
        <f>VLOOKUP($AG73,装备属性!$A:$Y,22,0)</f>
        <v>0</v>
      </c>
      <c r="AZ73" s="151">
        <f>VLOOKUP($AG73,装备属性!$A:$Y,23,0)</f>
        <v>0</v>
      </c>
      <c r="BA73" s="151">
        <f>VLOOKUP($AG73,装备属性!$A:$Y,24,0)</f>
        <v>0</v>
      </c>
      <c r="BB73" s="151">
        <f>VLOOKUP($AG73,装备属性!$A:$Y,25,0)</f>
        <v>0</v>
      </c>
    </row>
    <row r="74" spans="21:54">
      <c r="V74" s="53"/>
      <c r="AF74" s="151">
        <v>9</v>
      </c>
      <c r="AG74" s="151" t="str">
        <f>AA9</f>
        <v>洛萨</v>
      </c>
      <c r="AH74" s="151">
        <f>VLOOKUP($AG74,装备属性!$A:$Y,5,0)</f>
        <v>0</v>
      </c>
      <c r="AI74" s="151">
        <f>VLOOKUP($AG74,装备属性!$A:$Y,6,0)</f>
        <v>0</v>
      </c>
      <c r="AJ74" s="151">
        <f>VLOOKUP($AG74,装备属性!$A:$Y,7,0)</f>
        <v>0</v>
      </c>
      <c r="AK74" s="151">
        <f>VLOOKUP($AG74,装备属性!$A:$Y,8,0)</f>
        <v>0</v>
      </c>
      <c r="AL74" s="151">
        <f>VLOOKUP($AG74,装备属性!$A:$Y,9,0)</f>
        <v>30</v>
      </c>
      <c r="AM74" s="151">
        <f>VLOOKUP($AG74,装备属性!$A:$Y,10,0)</f>
        <v>0</v>
      </c>
      <c r="AN74" s="151">
        <f>VLOOKUP($AG74,装备属性!$A:$Y,11,0)</f>
        <v>0</v>
      </c>
      <c r="AO74" s="151">
        <f>VLOOKUP($AG74,装备属性!$A:$Y,12,0)</f>
        <v>0</v>
      </c>
      <c r="AP74" s="151">
        <f>VLOOKUP($AG74,装备属性!$A:$Y,13,0)</f>
        <v>15</v>
      </c>
      <c r="AQ74" s="151">
        <f>VLOOKUP($AG74,装备属性!$A:$Y,14,0)</f>
        <v>0</v>
      </c>
      <c r="AR74" s="151">
        <f>VLOOKUP($AG74,装备属性!$A:$Y,15,0)</f>
        <v>0</v>
      </c>
      <c r="AS74" s="151">
        <f>VLOOKUP($AG74,装备属性!$A:$Y,16,0)</f>
        <v>0</v>
      </c>
      <c r="AT74" s="151">
        <f>VLOOKUP($AG74,装备属性!$A:$Y,17,0)</f>
        <v>0</v>
      </c>
      <c r="AU74" s="151">
        <f>VLOOKUP($AG74,装备属性!$A:$Y,18,0)</f>
        <v>0</v>
      </c>
      <c r="AV74" s="151">
        <f>VLOOKUP($AG74,装备属性!$A:$Y,19,0)</f>
        <v>0</v>
      </c>
      <c r="AW74" s="151">
        <f>VLOOKUP($AG74,装备属性!$A:$Y,20,0)</f>
        <v>0</v>
      </c>
      <c r="AX74" s="151">
        <f>VLOOKUP($AG74,装备属性!$A:$Y,21,0)</f>
        <v>0</v>
      </c>
      <c r="AY74" s="151">
        <f>VLOOKUP($AG74,装备属性!$A:$Y,22,0)</f>
        <v>0</v>
      </c>
      <c r="AZ74" s="151">
        <f>VLOOKUP($AG74,装备属性!$A:$Y,23,0)</f>
        <v>0</v>
      </c>
      <c r="BA74" s="151">
        <f>VLOOKUP($AG74,装备属性!$A:$Y,24,0)</f>
        <v>0</v>
      </c>
      <c r="BB74" s="151">
        <f>VLOOKUP($AG74,装备属性!$A:$Y,25,0)</f>
        <v>0</v>
      </c>
    </row>
    <row r="75" spans="21:54">
      <c r="V75" s="53"/>
      <c r="AF75" s="151">
        <v>9</v>
      </c>
      <c r="AG75" s="151" t="str">
        <f>AB9</f>
        <v>祭品</v>
      </c>
      <c r="AH75" s="151">
        <f>VLOOKUP($AG75,装备属性!$A:$Y,5,0)</f>
        <v>0</v>
      </c>
      <c r="AI75" s="151">
        <f>VLOOKUP($AG75,装备属性!$A:$Y,6,0)</f>
        <v>0</v>
      </c>
      <c r="AJ75" s="151">
        <f>VLOOKUP($AG75,装备属性!$A:$Y,7,0)</f>
        <v>0</v>
      </c>
      <c r="AK75" s="151">
        <f>VLOOKUP($AG75,装备属性!$A:$Y,8,0)</f>
        <v>0</v>
      </c>
      <c r="AL75" s="151">
        <f>VLOOKUP($AG75,装备属性!$A:$Y,9,0)</f>
        <v>0</v>
      </c>
      <c r="AM75" s="151">
        <f>VLOOKUP($AG75,装备属性!$A:$Y,10,0)</f>
        <v>0</v>
      </c>
      <c r="AN75" s="151">
        <f>VLOOKUP($AG75,装备属性!$A:$Y,11,0)</f>
        <v>5</v>
      </c>
      <c r="AO75" s="151">
        <f>VLOOKUP($AG75,装备属性!$A:$Y,12,0)</f>
        <v>0</v>
      </c>
      <c r="AP75" s="151">
        <f>VLOOKUP($AG75,装备属性!$A:$Y,13,0)</f>
        <v>15</v>
      </c>
      <c r="AQ75" s="151">
        <f>VLOOKUP($AG75,装备属性!$A:$Y,14,0)</f>
        <v>0</v>
      </c>
      <c r="AR75" s="151">
        <f>VLOOKUP($AG75,装备属性!$A:$Y,15,0)</f>
        <v>0</v>
      </c>
      <c r="AS75" s="151">
        <f>VLOOKUP($AG75,装备属性!$A:$Y,16,0)</f>
        <v>0</v>
      </c>
      <c r="AT75" s="151">
        <f>VLOOKUP($AG75,装备属性!$A:$Y,17,0)</f>
        <v>16</v>
      </c>
      <c r="AU75" s="151">
        <f>VLOOKUP($AG75,装备属性!$A:$Y,18,0)</f>
        <v>0</v>
      </c>
      <c r="AV75" s="151">
        <f>VLOOKUP($AG75,装备属性!$A:$Y,19,0)</f>
        <v>0</v>
      </c>
      <c r="AW75" s="151">
        <f>VLOOKUP($AG75,装备属性!$A:$Y,20,0)</f>
        <v>0</v>
      </c>
      <c r="AX75" s="151">
        <f>VLOOKUP($AG75,装备属性!$A:$Y,21,0)</f>
        <v>40</v>
      </c>
      <c r="AY75" s="151">
        <f>VLOOKUP($AG75,装备属性!$A:$Y,22,0)</f>
        <v>0</v>
      </c>
      <c r="AZ75" s="151">
        <f>VLOOKUP($AG75,装备属性!$A:$Y,23,0)</f>
        <v>0</v>
      </c>
      <c r="BA75" s="151">
        <f>VLOOKUP($AG75,装备属性!$A:$Y,24,0)</f>
        <v>0</v>
      </c>
      <c r="BB75" s="151">
        <f>VLOOKUP($AG75,装备属性!$A:$Y,25,0)</f>
        <v>0</v>
      </c>
    </row>
    <row r="76" spans="21:54">
      <c r="AF76" s="151">
        <v>9</v>
      </c>
      <c r="AG76" s="151" t="str">
        <f>AC9</f>
        <v>飞鞋</v>
      </c>
      <c r="AH76" s="151">
        <f>VLOOKUP($AG76,装备属性!$A:$Y,5,0)</f>
        <v>25</v>
      </c>
      <c r="AI76" s="151">
        <f>VLOOKUP($AG76,装备属性!$A:$Y,6,0)</f>
        <v>25</v>
      </c>
      <c r="AJ76" s="151">
        <f>VLOOKUP($AG76,装备属性!$A:$Y,7,0)</f>
        <v>25</v>
      </c>
      <c r="AK76" s="151">
        <f>VLOOKUP($AG76,装备属性!$A:$Y,8,0)</f>
        <v>0</v>
      </c>
      <c r="AL76" s="151">
        <f>VLOOKUP($AG76,装备属性!$A:$Y,9,0)</f>
        <v>0</v>
      </c>
      <c r="AM76" s="151">
        <f>VLOOKUP($AG76,装备属性!$A:$Y,10,0)</f>
        <v>0</v>
      </c>
      <c r="AN76" s="151">
        <f>VLOOKUP($AG76,装备属性!$A:$Y,11,0)</f>
        <v>0</v>
      </c>
      <c r="AO76" s="151">
        <f>VLOOKUP($AG76,装备属性!$A:$Y,12,0)</f>
        <v>0</v>
      </c>
      <c r="AP76" s="151">
        <f>VLOOKUP($AG76,装备属性!$A:$Y,13,0)</f>
        <v>0</v>
      </c>
      <c r="AQ76" s="151">
        <f>VLOOKUP($AG76,装备属性!$A:$Y,14,0)</f>
        <v>0</v>
      </c>
      <c r="AR76" s="151">
        <f>VLOOKUP($AG76,装备属性!$A:$Y,15,0)</f>
        <v>0</v>
      </c>
      <c r="AS76" s="151">
        <f>VLOOKUP($AG76,装备属性!$A:$Y,16,0)</f>
        <v>0</v>
      </c>
      <c r="AT76" s="151">
        <f>VLOOKUP($AG76,装备属性!$A:$Y,17,0)</f>
        <v>0</v>
      </c>
      <c r="AU76" s="151">
        <f>VLOOKUP($AG76,装备属性!$A:$Y,18,0)</f>
        <v>0</v>
      </c>
      <c r="AV76" s="151">
        <f>VLOOKUP($AG76,装备属性!$A:$Y,19,0)</f>
        <v>0</v>
      </c>
      <c r="AW76" s="151">
        <f>VLOOKUP($AG76,装备属性!$A:$Y,20,0)</f>
        <v>0</v>
      </c>
      <c r="AX76" s="151">
        <f>VLOOKUP($AG76,装备属性!$A:$Y,21,0)</f>
        <v>0</v>
      </c>
      <c r="AY76" s="151">
        <f>VLOOKUP($AG76,装备属性!$A:$Y,22,0)</f>
        <v>0</v>
      </c>
      <c r="AZ76" s="151">
        <f>VLOOKUP($AG76,装备属性!$A:$Y,23,0)</f>
        <v>0</v>
      </c>
      <c r="BA76" s="151">
        <f>VLOOKUP($AG76,装备属性!$A:$Y,24,0)</f>
        <v>0</v>
      </c>
      <c r="BB76" s="151">
        <f>VLOOKUP($AG76,装备属性!$A:$Y,25,0)</f>
        <v>0</v>
      </c>
    </row>
    <row r="77" spans="21:54">
      <c r="AF77" s="151">
        <v>10</v>
      </c>
      <c r="AG77" s="151" t="str">
        <f>X10</f>
        <v>大炮</v>
      </c>
      <c r="AH77" s="151">
        <f>VLOOKUP($AG77,装备属性!$A:$Y,5,0)</f>
        <v>0</v>
      </c>
      <c r="AI77" s="151">
        <f>VLOOKUP($AG77,装备属性!$A:$Y,6,0)</f>
        <v>0</v>
      </c>
      <c r="AJ77" s="151">
        <f>VLOOKUP($AG77,装备属性!$A:$Y,7,0)</f>
        <v>0</v>
      </c>
      <c r="AK77" s="151">
        <f>VLOOKUP($AG77,装备属性!$A:$Y,8,0)</f>
        <v>0</v>
      </c>
      <c r="AL77" s="151">
        <f>VLOOKUP($AG77,装备属性!$A:$Y,9,0)</f>
        <v>81</v>
      </c>
      <c r="AM77" s="151">
        <f>VLOOKUP($AG77,装备属性!$A:$Y,10,0)</f>
        <v>0</v>
      </c>
      <c r="AN77" s="151">
        <f>VLOOKUP($AG77,装备属性!$A:$Y,11,0)</f>
        <v>0</v>
      </c>
      <c r="AO77" s="151">
        <f>VLOOKUP($AG77,装备属性!$A:$Y,12,0)</f>
        <v>0</v>
      </c>
      <c r="AP77" s="151">
        <f>VLOOKUP($AG77,装备属性!$A:$Y,13,0)</f>
        <v>50</v>
      </c>
      <c r="AQ77" s="151">
        <f>VLOOKUP($AG77,装备属性!$A:$Y,14,0)</f>
        <v>0</v>
      </c>
      <c r="AR77" s="151">
        <f>VLOOKUP($AG77,装备属性!$A:$Y,15,0)</f>
        <v>0</v>
      </c>
      <c r="AS77" s="151">
        <f>VLOOKUP($AG77,装备属性!$A:$Y,16,0)</f>
        <v>0</v>
      </c>
      <c r="AT77" s="151">
        <f>VLOOKUP($AG77,装备属性!$A:$Y,17,0)</f>
        <v>0</v>
      </c>
      <c r="AU77" s="151">
        <f>VLOOKUP($AG77,装备属性!$A:$Y,18,0)</f>
        <v>0</v>
      </c>
      <c r="AV77" s="151">
        <f>VLOOKUP($AG77,装备属性!$A:$Y,19,0)</f>
        <v>0</v>
      </c>
      <c r="AW77" s="151">
        <f>VLOOKUP($AG77,装备属性!$A:$Y,20,0)</f>
        <v>0</v>
      </c>
      <c r="AX77" s="151">
        <f>VLOOKUP($AG77,装备属性!$A:$Y,21,0)</f>
        <v>0</v>
      </c>
      <c r="AY77" s="151">
        <f>VLOOKUP($AG77,装备属性!$A:$Y,22,0)</f>
        <v>0</v>
      </c>
      <c r="AZ77" s="151">
        <f>VLOOKUP($AG77,装备属性!$A:$Y,23,0)</f>
        <v>0</v>
      </c>
      <c r="BA77" s="151">
        <f>VLOOKUP($AG77,装备属性!$A:$Y,24,0)</f>
        <v>0</v>
      </c>
      <c r="BB77" s="151">
        <f>VLOOKUP($AG77,装备属性!$A:$Y,25,0)</f>
        <v>0</v>
      </c>
    </row>
    <row r="78" spans="21:54">
      <c r="AF78" s="151">
        <v>10</v>
      </c>
      <c r="AG78" s="151" t="str">
        <f>Y10</f>
        <v>金箍棒</v>
      </c>
      <c r="AH78" s="151">
        <f>VLOOKUP($AG78,装备属性!$A:$Y,5,0)</f>
        <v>0</v>
      </c>
      <c r="AI78" s="151">
        <f>VLOOKUP($AG78,装备属性!$A:$Y,6,0)</f>
        <v>0</v>
      </c>
      <c r="AJ78" s="151">
        <f>VLOOKUP($AG78,装备属性!$A:$Y,7,0)</f>
        <v>0</v>
      </c>
      <c r="AK78" s="151">
        <f>VLOOKUP($AG78,装备属性!$A:$Y,8,0)</f>
        <v>0</v>
      </c>
      <c r="AL78" s="151">
        <f>VLOOKUP($AG78,装备属性!$A:$Y,9,0)</f>
        <v>88</v>
      </c>
      <c r="AM78" s="151">
        <f>VLOOKUP($AG78,装备属性!$A:$Y,10,0)</f>
        <v>0</v>
      </c>
      <c r="AN78" s="151">
        <f>VLOOKUP($AG78,装备属性!$A:$Y,11,0)</f>
        <v>0</v>
      </c>
      <c r="AO78" s="151">
        <f>VLOOKUP($AG78,装备属性!$A:$Y,12,0)</f>
        <v>0</v>
      </c>
      <c r="AP78" s="151">
        <f>VLOOKUP($AG78,装备属性!$A:$Y,13,0)</f>
        <v>15</v>
      </c>
      <c r="AQ78" s="151">
        <f>VLOOKUP($AG78,装备属性!$A:$Y,14,0)</f>
        <v>10</v>
      </c>
      <c r="AR78" s="151">
        <f>VLOOKUP($AG78,装备属性!$A:$Y,15,0)</f>
        <v>0</v>
      </c>
      <c r="AS78" s="151">
        <f>VLOOKUP($AG78,装备属性!$A:$Y,16,0)</f>
        <v>0</v>
      </c>
      <c r="AT78" s="151">
        <f>VLOOKUP($AG78,装备属性!$A:$Y,17,0)</f>
        <v>0</v>
      </c>
      <c r="AU78" s="151">
        <f>VLOOKUP($AG78,装备属性!$A:$Y,18,0)</f>
        <v>0</v>
      </c>
      <c r="AV78" s="151">
        <f>VLOOKUP($AG78,装备属性!$A:$Y,19,0)</f>
        <v>0</v>
      </c>
      <c r="AW78" s="151">
        <f>VLOOKUP($AG78,装备属性!$A:$Y,20,0)</f>
        <v>0</v>
      </c>
      <c r="AX78" s="151">
        <f>VLOOKUP($AG78,装备属性!$A:$Y,21,0)</f>
        <v>0</v>
      </c>
      <c r="AY78" s="151">
        <f>VLOOKUP($AG78,装备属性!$A:$Y,22,0)</f>
        <v>0</v>
      </c>
      <c r="AZ78" s="151">
        <f>VLOOKUP($AG78,装备属性!$A:$Y,23,0)</f>
        <v>0</v>
      </c>
      <c r="BA78" s="151">
        <f>VLOOKUP($AG78,装备属性!$A:$Y,24,0)</f>
        <v>0</v>
      </c>
      <c r="BB78" s="151">
        <f>VLOOKUP($AG78,装备属性!$A:$Y,25,0)</f>
        <v>0</v>
      </c>
    </row>
    <row r="79" spans="21:54">
      <c r="AF79" s="151">
        <v>10</v>
      </c>
      <c r="AG79" s="151" t="str">
        <f>Z10</f>
        <v>龙心</v>
      </c>
      <c r="AH79" s="151">
        <f>VLOOKUP($AG79,装备属性!$A:$Y,5,0)</f>
        <v>40</v>
      </c>
      <c r="AI79" s="151">
        <f>VLOOKUP($AG79,装备属性!$A:$Y,6,0)</f>
        <v>0</v>
      </c>
      <c r="AJ79" s="151">
        <f>VLOOKUP($AG79,装备属性!$A:$Y,7,0)</f>
        <v>0</v>
      </c>
      <c r="AK79" s="151">
        <f>VLOOKUP($AG79,装备属性!$A:$Y,8,0)</f>
        <v>600</v>
      </c>
      <c r="AL79" s="151">
        <f>VLOOKUP($AG79,装备属性!$A:$Y,9,0)</f>
        <v>0</v>
      </c>
      <c r="AM79" s="151">
        <f>VLOOKUP($AG79,装备属性!$A:$Y,10,0)</f>
        <v>0</v>
      </c>
      <c r="AN79" s="151">
        <f>VLOOKUP($AG79,装备属性!$A:$Y,11,0)</f>
        <v>0</v>
      </c>
      <c r="AO79" s="151">
        <f>VLOOKUP($AG79,装备属性!$A:$Y,12,0)</f>
        <v>0</v>
      </c>
      <c r="AP79" s="151">
        <f>VLOOKUP($AG79,装备属性!$A:$Y,13,0)</f>
        <v>0</v>
      </c>
      <c r="AQ79" s="151">
        <f>VLOOKUP($AG79,装备属性!$A:$Y,14,0)</f>
        <v>0</v>
      </c>
      <c r="AR79" s="151">
        <f>VLOOKUP($AG79,装备属性!$A:$Y,15,0)</f>
        <v>0</v>
      </c>
      <c r="AS79" s="151">
        <f>VLOOKUP($AG79,装备属性!$A:$Y,16,0)</f>
        <v>0</v>
      </c>
      <c r="AT79" s="151">
        <f>VLOOKUP($AG79,装备属性!$A:$Y,17,0)</f>
        <v>0</v>
      </c>
      <c r="AU79" s="151">
        <f>VLOOKUP($AG79,装备属性!$A:$Y,18,0)</f>
        <v>0</v>
      </c>
      <c r="AV79" s="151">
        <f>VLOOKUP($AG79,装备属性!$A:$Y,19,0)</f>
        <v>0</v>
      </c>
      <c r="AW79" s="151">
        <f>VLOOKUP($AG79,装备属性!$A:$Y,20,0)</f>
        <v>600</v>
      </c>
      <c r="AX79" s="151">
        <f>VLOOKUP($AG79,装备属性!$A:$Y,21,0)</f>
        <v>0</v>
      </c>
      <c r="AY79" s="151">
        <f>VLOOKUP($AG79,装备属性!$A:$Y,22,0)</f>
        <v>0</v>
      </c>
      <c r="AZ79" s="151">
        <f>VLOOKUP($AG79,装备属性!$A:$Y,23,0)</f>
        <v>0</v>
      </c>
      <c r="BA79" s="151">
        <f>VLOOKUP($AG79,装备属性!$A:$Y,24,0)</f>
        <v>0</v>
      </c>
      <c r="BB79" s="151">
        <f>VLOOKUP($AG79,装备属性!$A:$Y,25,0)</f>
        <v>0</v>
      </c>
    </row>
    <row r="80" spans="21:54">
      <c r="AF80" s="151">
        <v>10</v>
      </c>
      <c r="AG80" s="151" t="str">
        <f>AA10</f>
        <v>黑黄</v>
      </c>
      <c r="AH80" s="151">
        <f>VLOOKUP($AG80,装备属性!$A:$Y,5,0)</f>
        <v>10</v>
      </c>
      <c r="AI80" s="151">
        <f>VLOOKUP($AG80,装备属性!$A:$Y,6,0)</f>
        <v>0</v>
      </c>
      <c r="AJ80" s="151">
        <f>VLOOKUP($AG80,装备属性!$A:$Y,7,0)</f>
        <v>0</v>
      </c>
      <c r="AK80" s="151">
        <f>VLOOKUP($AG80,装备属性!$A:$Y,8,0)</f>
        <v>0</v>
      </c>
      <c r="AL80" s="151">
        <f>VLOOKUP($AG80,装备属性!$A:$Y,9,0)</f>
        <v>24</v>
      </c>
      <c r="AM80" s="151">
        <f>VLOOKUP($AG80,装备属性!$A:$Y,10,0)</f>
        <v>0</v>
      </c>
      <c r="AN80" s="151">
        <f>VLOOKUP($AG80,装备属性!$A:$Y,11,0)</f>
        <v>0</v>
      </c>
      <c r="AO80" s="151">
        <f>VLOOKUP($AG80,装备属性!$A:$Y,12,0)</f>
        <v>10</v>
      </c>
      <c r="AP80" s="151">
        <f>VLOOKUP($AG80,装备属性!$A:$Y,13,0)</f>
        <v>0</v>
      </c>
      <c r="AQ80" s="151">
        <f>VLOOKUP($AG80,装备属性!$A:$Y,14,0)</f>
        <v>0</v>
      </c>
      <c r="AR80" s="151">
        <f>VLOOKUP($AG80,装备属性!$A:$Y,15,0)</f>
        <v>0</v>
      </c>
      <c r="AS80" s="151">
        <f>VLOOKUP($AG80,装备属性!$A:$Y,16,0)</f>
        <v>0</v>
      </c>
      <c r="AT80" s="151">
        <f>VLOOKUP($AG80,装备属性!$A:$Y,17,0)</f>
        <v>0</v>
      </c>
      <c r="AU80" s="151">
        <f>VLOOKUP($AG80,装备属性!$A:$Y,18,0)</f>
        <v>0</v>
      </c>
      <c r="AV80" s="151">
        <f>VLOOKUP($AG80,装备属性!$A:$Y,19,0)</f>
        <v>0</v>
      </c>
      <c r="AW80" s="151">
        <f>VLOOKUP($AG80,装备属性!$A:$Y,20,0)</f>
        <v>0</v>
      </c>
      <c r="AX80" s="151">
        <f>VLOOKUP($AG80,装备属性!$A:$Y,21,0)</f>
        <v>0</v>
      </c>
      <c r="AY80" s="151">
        <f>VLOOKUP($AG80,装备属性!$A:$Y,22,0)</f>
        <v>0</v>
      </c>
      <c r="AZ80" s="151">
        <f>VLOOKUP($AG80,装备属性!$A:$Y,23,0)</f>
        <v>0</v>
      </c>
      <c r="BA80" s="151">
        <f>VLOOKUP($AG80,装备属性!$A:$Y,24,0)</f>
        <v>0</v>
      </c>
      <c r="BB80" s="151">
        <f>VLOOKUP($AG80,装备属性!$A:$Y,25,0)</f>
        <v>0</v>
      </c>
    </row>
    <row r="81" spans="32:54">
      <c r="AF81" s="151">
        <v>10</v>
      </c>
      <c r="AG81" s="151" t="str">
        <f>AB10</f>
        <v>冲锋盾</v>
      </c>
      <c r="AH81" s="151">
        <f>VLOOKUP($AG81,装备属性!$A:$Y,5,0)</f>
        <v>0</v>
      </c>
      <c r="AI81" s="151">
        <f>VLOOKUP($AG81,装备属性!$A:$Y,6,0)</f>
        <v>0</v>
      </c>
      <c r="AJ81" s="151">
        <f>VLOOKUP($AG81,装备属性!$A:$Y,7,0)</f>
        <v>0</v>
      </c>
      <c r="AK81" s="151">
        <f>VLOOKUP($AG81,装备属性!$A:$Y,8,0)</f>
        <v>280</v>
      </c>
      <c r="AL81" s="151">
        <f>VLOOKUP($AG81,装备属性!$A:$Y,9,0)</f>
        <v>0</v>
      </c>
      <c r="AM81" s="151">
        <f>VLOOKUP($AG81,装备属性!$A:$Y,10,0)</f>
        <v>0</v>
      </c>
      <c r="AN81" s="151">
        <f>VLOOKUP($AG81,装备属性!$A:$Y,11,0)</f>
        <v>4</v>
      </c>
      <c r="AO81" s="151">
        <f>VLOOKUP($AG81,装备属性!$A:$Y,12,0)</f>
        <v>0</v>
      </c>
      <c r="AP81" s="151">
        <f>VLOOKUP($AG81,装备属性!$A:$Y,13,0)</f>
        <v>0</v>
      </c>
      <c r="AQ81" s="151">
        <f>VLOOKUP($AG81,装备属性!$A:$Y,14,0)</f>
        <v>0</v>
      </c>
      <c r="AR81" s="151">
        <f>VLOOKUP($AG81,装备属性!$A:$Y,15,0)</f>
        <v>0</v>
      </c>
      <c r="AS81" s="151">
        <f>VLOOKUP($AG81,装备属性!$A:$Y,16,0)</f>
        <v>0</v>
      </c>
      <c r="AT81" s="151">
        <f>VLOOKUP($AG81,装备属性!$A:$Y,17,0)</f>
        <v>0</v>
      </c>
      <c r="AU81" s="151">
        <f>VLOOKUP($AG81,装备属性!$A:$Y,18,0)</f>
        <v>0</v>
      </c>
      <c r="AV81" s="151">
        <f>VLOOKUP($AG81,装备属性!$A:$Y,19,0)</f>
        <v>0</v>
      </c>
      <c r="AW81" s="151">
        <f>VLOOKUP($AG81,装备属性!$A:$Y,20,0)</f>
        <v>240</v>
      </c>
      <c r="AX81" s="151">
        <f>VLOOKUP($AG81,装备属性!$A:$Y,21,0)</f>
        <v>0</v>
      </c>
      <c r="AY81" s="151">
        <f>VLOOKUP($AG81,装备属性!$A:$Y,22,0)</f>
        <v>0</v>
      </c>
      <c r="AZ81" s="151">
        <f>VLOOKUP($AG81,装备属性!$A:$Y,23,0)</f>
        <v>0</v>
      </c>
      <c r="BA81" s="151">
        <f>VLOOKUP($AG81,装备属性!$A:$Y,24,0)</f>
        <v>0</v>
      </c>
      <c r="BB81" s="151">
        <f>VLOOKUP($AG81,装备属性!$A:$Y,25,0)</f>
        <v>0</v>
      </c>
    </row>
    <row r="82" spans="32:54">
      <c r="AF82" s="151">
        <v>10</v>
      </c>
      <c r="AG82" s="151" t="str">
        <f>AC10</f>
        <v>飞鞋</v>
      </c>
      <c r="AH82" s="151">
        <f>VLOOKUP($AG82,装备属性!$A:$Y,5,0)</f>
        <v>25</v>
      </c>
      <c r="AI82" s="151">
        <f>VLOOKUP($AG82,装备属性!$A:$Y,6,0)</f>
        <v>25</v>
      </c>
      <c r="AJ82" s="151">
        <f>VLOOKUP($AG82,装备属性!$A:$Y,7,0)</f>
        <v>25</v>
      </c>
      <c r="AK82" s="151">
        <f>VLOOKUP($AG82,装备属性!$A:$Y,8,0)</f>
        <v>0</v>
      </c>
      <c r="AL82" s="151">
        <f>VLOOKUP($AG82,装备属性!$A:$Y,9,0)</f>
        <v>0</v>
      </c>
      <c r="AM82" s="151">
        <f>VLOOKUP($AG82,装备属性!$A:$Y,10,0)</f>
        <v>0</v>
      </c>
      <c r="AN82" s="151">
        <f>VLOOKUP($AG82,装备属性!$A:$Y,11,0)</f>
        <v>0</v>
      </c>
      <c r="AO82" s="151">
        <f>VLOOKUP($AG82,装备属性!$A:$Y,12,0)</f>
        <v>0</v>
      </c>
      <c r="AP82" s="151">
        <f>VLOOKUP($AG82,装备属性!$A:$Y,13,0)</f>
        <v>0</v>
      </c>
      <c r="AQ82" s="151">
        <f>VLOOKUP($AG82,装备属性!$A:$Y,14,0)</f>
        <v>0</v>
      </c>
      <c r="AR82" s="151">
        <f>VLOOKUP($AG82,装备属性!$A:$Y,15,0)</f>
        <v>0</v>
      </c>
      <c r="AS82" s="151">
        <f>VLOOKUP($AG82,装备属性!$A:$Y,16,0)</f>
        <v>0</v>
      </c>
      <c r="AT82" s="151">
        <f>VLOOKUP($AG82,装备属性!$A:$Y,17,0)</f>
        <v>0</v>
      </c>
      <c r="AU82" s="151">
        <f>VLOOKUP($AG82,装备属性!$A:$Y,18,0)</f>
        <v>0</v>
      </c>
      <c r="AV82" s="151">
        <f>VLOOKUP($AG82,装备属性!$A:$Y,19,0)</f>
        <v>0</v>
      </c>
      <c r="AW82" s="151">
        <f>VLOOKUP($AG82,装备属性!$A:$Y,20,0)</f>
        <v>0</v>
      </c>
      <c r="AX82" s="151">
        <f>VLOOKUP($AG82,装备属性!$A:$Y,21,0)</f>
        <v>0</v>
      </c>
      <c r="AY82" s="151">
        <f>VLOOKUP($AG82,装备属性!$A:$Y,22,0)</f>
        <v>0</v>
      </c>
      <c r="AZ82" s="151">
        <f>VLOOKUP($AG82,装备属性!$A:$Y,23,0)</f>
        <v>0</v>
      </c>
      <c r="BA82" s="151">
        <f>VLOOKUP($AG82,装备属性!$A:$Y,24,0)</f>
        <v>0</v>
      </c>
      <c r="BB82" s="151">
        <f>VLOOKUP($AG82,装备属性!$A:$Y,25,0)</f>
        <v>0</v>
      </c>
    </row>
    <row r="83" spans="32:54">
      <c r="AF83" s="151">
        <v>11</v>
      </c>
      <c r="AG83" s="151" t="str">
        <f>X11</f>
        <v>欺诈者之剑</v>
      </c>
      <c r="AH83" s="151">
        <f>VLOOKUP($AG83,装备属性!$A:$Y,5,0)</f>
        <v>40</v>
      </c>
      <c r="AI83" s="151">
        <f>VLOOKUP($AG83,装备属性!$A:$Y,6,0)</f>
        <v>0</v>
      </c>
      <c r="AJ83" s="151">
        <f>VLOOKUP($AG83,装备属性!$A:$Y,7,0)</f>
        <v>0</v>
      </c>
      <c r="AK83" s="151">
        <f>VLOOKUP($AG83,装备属性!$A:$Y,8,0)</f>
        <v>0</v>
      </c>
      <c r="AL83" s="151">
        <f>VLOOKUP($AG83,装备属性!$A:$Y,9,0)</f>
        <v>80</v>
      </c>
      <c r="AM83" s="151">
        <f>VLOOKUP($AG83,装备属性!$A:$Y,10,0)</f>
        <v>0</v>
      </c>
      <c r="AN83" s="151">
        <f>VLOOKUP($AG83,装备属性!$A:$Y,11,0)</f>
        <v>15</v>
      </c>
      <c r="AO83" s="151">
        <f>VLOOKUP($AG83,装备属性!$A:$Y,12,0)</f>
        <v>0</v>
      </c>
      <c r="AP83" s="151">
        <f>VLOOKUP($AG83,装备属性!$A:$Y,13,0)</f>
        <v>0</v>
      </c>
      <c r="AQ83" s="151">
        <f>VLOOKUP($AG83,装备属性!$A:$Y,14,0)</f>
        <v>0</v>
      </c>
      <c r="AR83" s="151">
        <f>VLOOKUP($AG83,装备属性!$A:$Y,15,0)</f>
        <v>0</v>
      </c>
      <c r="AS83" s="151">
        <f>VLOOKUP($AG83,装备属性!$A:$Y,16,0)</f>
        <v>0</v>
      </c>
      <c r="AT83" s="151">
        <f>VLOOKUP($AG83,装备属性!$A:$Y,17,0)</f>
        <v>30</v>
      </c>
      <c r="AU83" s="151">
        <f>VLOOKUP($AG83,装备属性!$A:$Y,18,0)</f>
        <v>0</v>
      </c>
      <c r="AV83" s="151">
        <f>VLOOKUP($AG83,装备属性!$A:$Y,19,0)</f>
        <v>0</v>
      </c>
      <c r="AW83" s="151">
        <f>VLOOKUP($AG83,装备属性!$A:$Y,20,0)</f>
        <v>0</v>
      </c>
      <c r="AX83" s="151">
        <f>VLOOKUP($AG83,装备属性!$A:$Y,21,0)</f>
        <v>0</v>
      </c>
      <c r="AY83" s="151">
        <f>VLOOKUP($AG83,装备属性!$A:$Y,22,0)</f>
        <v>0</v>
      </c>
      <c r="AZ83" s="151">
        <f>VLOOKUP($AG83,装备属性!$A:$Y,23,0)</f>
        <v>0</v>
      </c>
      <c r="BA83" s="151">
        <f>VLOOKUP($AG83,装备属性!$A:$Y,24,0)</f>
        <v>0</v>
      </c>
      <c r="BB83" s="151">
        <f>VLOOKUP($AG83,装备属性!$A:$Y,25,0)</f>
        <v>0</v>
      </c>
    </row>
    <row r="84" spans="32:54">
      <c r="AF84" s="151">
        <v>11</v>
      </c>
      <c r="AG84" s="151" t="str">
        <f>Y11</f>
        <v>鹰羽指环</v>
      </c>
      <c r="AH84" s="151">
        <f>VLOOKUP($AG84,装备属性!$A:$Y,5,0)</f>
        <v>0</v>
      </c>
      <c r="AI84" s="151">
        <f>VLOOKUP($AG84,装备属性!$A:$Y,6,0)</f>
        <v>36</v>
      </c>
      <c r="AJ84" s="151">
        <f>VLOOKUP($AG84,装备属性!$A:$Y,7,0)</f>
        <v>0</v>
      </c>
      <c r="AK84" s="151">
        <f>VLOOKUP($AG84,装备属性!$A:$Y,8,0)</f>
        <v>0</v>
      </c>
      <c r="AL84" s="151">
        <f>VLOOKUP($AG84,装备属性!$A:$Y,9,0)</f>
        <v>0</v>
      </c>
      <c r="AM84" s="151">
        <f>VLOOKUP($AG84,装备属性!$A:$Y,10,0)</f>
        <v>0</v>
      </c>
      <c r="AN84" s="151">
        <f>VLOOKUP($AG84,装备属性!$A:$Y,11,0)</f>
        <v>0</v>
      </c>
      <c r="AO84" s="151">
        <f>VLOOKUP($AG84,装备属性!$A:$Y,12,0)</f>
        <v>0</v>
      </c>
      <c r="AP84" s="151">
        <f>VLOOKUP($AG84,装备属性!$A:$Y,13,0)</f>
        <v>0</v>
      </c>
      <c r="AQ84" s="151">
        <f>VLOOKUP($AG84,装备属性!$A:$Y,14,0)</f>
        <v>0</v>
      </c>
      <c r="AR84" s="151">
        <f>VLOOKUP($AG84,装备属性!$A:$Y,15,0)</f>
        <v>0</v>
      </c>
      <c r="AS84" s="151">
        <f>VLOOKUP($AG84,装备属性!$A:$Y,16,0)</f>
        <v>0</v>
      </c>
      <c r="AT84" s="151">
        <f>VLOOKUP($AG84,装备属性!$A:$Y,17,0)</f>
        <v>0</v>
      </c>
      <c r="AU84" s="151">
        <f>VLOOKUP($AG84,装备属性!$A:$Y,18,0)</f>
        <v>0</v>
      </c>
      <c r="AV84" s="151">
        <f>VLOOKUP($AG84,装备属性!$A:$Y,19,0)</f>
        <v>0</v>
      </c>
      <c r="AW84" s="151">
        <f>VLOOKUP($AG84,装备属性!$A:$Y,20,0)</f>
        <v>0</v>
      </c>
      <c r="AX84" s="151">
        <f>VLOOKUP($AG84,装备属性!$A:$Y,21,0)</f>
        <v>0</v>
      </c>
      <c r="AY84" s="151">
        <f>VLOOKUP($AG84,装备属性!$A:$Y,22,0)</f>
        <v>0</v>
      </c>
      <c r="AZ84" s="151">
        <f>VLOOKUP($AG84,装备属性!$A:$Y,23,0)</f>
        <v>0</v>
      </c>
      <c r="BA84" s="151">
        <f>VLOOKUP($AG84,装备属性!$A:$Y,24,0)</f>
        <v>0</v>
      </c>
      <c r="BB84" s="151">
        <f>VLOOKUP($AG84,装备属性!$A:$Y,25,0)</f>
        <v>0</v>
      </c>
    </row>
    <row r="85" spans="32:54">
      <c r="AF85" s="151">
        <v>11</v>
      </c>
      <c r="AG85" s="151" t="str">
        <f>Z11</f>
        <v>撒旦</v>
      </c>
      <c r="AH85" s="151">
        <f>VLOOKUP($AG85,装备属性!$A:$Y,5,0)</f>
        <v>25</v>
      </c>
      <c r="AI85" s="151">
        <f>VLOOKUP($AG85,装备属性!$A:$Y,6,0)</f>
        <v>0</v>
      </c>
      <c r="AJ85" s="151">
        <f>VLOOKUP($AG85,装备属性!$A:$Y,7,0)</f>
        <v>0</v>
      </c>
      <c r="AK85" s="151">
        <f>VLOOKUP($AG85,装备属性!$A:$Y,8,0)</f>
        <v>0</v>
      </c>
      <c r="AL85" s="151">
        <f>VLOOKUP($AG85,装备属性!$A:$Y,9,0)</f>
        <v>50</v>
      </c>
      <c r="AM85" s="151">
        <f>VLOOKUP($AG85,装备属性!$A:$Y,10,0)</f>
        <v>0</v>
      </c>
      <c r="AN85" s="151">
        <f>VLOOKUP($AG85,装备属性!$A:$Y,11,0)</f>
        <v>15</v>
      </c>
      <c r="AO85" s="151">
        <f>VLOOKUP($AG85,装备属性!$A:$Y,12,0)</f>
        <v>0</v>
      </c>
      <c r="AP85" s="151">
        <f>VLOOKUP($AG85,装备属性!$A:$Y,13,0)</f>
        <v>0</v>
      </c>
      <c r="AQ85" s="151">
        <f>VLOOKUP($AG85,装备属性!$A:$Y,14,0)</f>
        <v>0</v>
      </c>
      <c r="AR85" s="151">
        <f>VLOOKUP($AG85,装备属性!$A:$Y,15,0)</f>
        <v>0</v>
      </c>
      <c r="AS85" s="151">
        <f>VLOOKUP($AG85,装备属性!$A:$Y,16,0)</f>
        <v>0</v>
      </c>
      <c r="AT85" s="151">
        <f>VLOOKUP($AG85,装备属性!$A:$Y,17,0)</f>
        <v>25</v>
      </c>
      <c r="AU85" s="151">
        <f>VLOOKUP($AG85,装备属性!$A:$Y,18,0)</f>
        <v>0</v>
      </c>
      <c r="AV85" s="151">
        <f>VLOOKUP($AG85,装备属性!$A:$Y,19,0)</f>
        <v>0</v>
      </c>
      <c r="AW85" s="151">
        <f>VLOOKUP($AG85,装备属性!$A:$Y,20,0)</f>
        <v>0</v>
      </c>
      <c r="AX85" s="151">
        <f>VLOOKUP($AG85,装备属性!$A:$Y,21,0)</f>
        <v>0</v>
      </c>
      <c r="AY85" s="151">
        <f>VLOOKUP($AG85,装备属性!$A:$Y,22,0)</f>
        <v>0</v>
      </c>
      <c r="AZ85" s="151">
        <f>VLOOKUP($AG85,装备属性!$A:$Y,23,0)</f>
        <v>0</v>
      </c>
      <c r="BA85" s="151">
        <f>VLOOKUP($AG85,装备属性!$A:$Y,24,0)</f>
        <v>0</v>
      </c>
      <c r="BB85" s="151">
        <f>VLOOKUP($AG85,装备属性!$A:$Y,25,0)</f>
        <v>0</v>
      </c>
    </row>
    <row r="86" spans="32:54">
      <c r="AF86" s="151">
        <v>11</v>
      </c>
      <c r="AG86" s="151" t="str">
        <f>AA11</f>
        <v>龙心</v>
      </c>
      <c r="AH86" s="151">
        <f>VLOOKUP($AG86,装备属性!$A:$Y,5,0)</f>
        <v>40</v>
      </c>
      <c r="AI86" s="151">
        <f>VLOOKUP($AG86,装备属性!$A:$Y,6,0)</f>
        <v>0</v>
      </c>
      <c r="AJ86" s="151">
        <f>VLOOKUP($AG86,装备属性!$A:$Y,7,0)</f>
        <v>0</v>
      </c>
      <c r="AK86" s="151">
        <f>VLOOKUP($AG86,装备属性!$A:$Y,8,0)</f>
        <v>600</v>
      </c>
      <c r="AL86" s="151">
        <f>VLOOKUP($AG86,装备属性!$A:$Y,9,0)</f>
        <v>0</v>
      </c>
      <c r="AM86" s="151">
        <f>VLOOKUP($AG86,装备属性!$A:$Y,10,0)</f>
        <v>0</v>
      </c>
      <c r="AN86" s="151">
        <f>VLOOKUP($AG86,装备属性!$A:$Y,11,0)</f>
        <v>0</v>
      </c>
      <c r="AO86" s="151">
        <f>VLOOKUP($AG86,装备属性!$A:$Y,12,0)</f>
        <v>0</v>
      </c>
      <c r="AP86" s="151">
        <f>VLOOKUP($AG86,装备属性!$A:$Y,13,0)</f>
        <v>0</v>
      </c>
      <c r="AQ86" s="151">
        <f>VLOOKUP($AG86,装备属性!$A:$Y,14,0)</f>
        <v>0</v>
      </c>
      <c r="AR86" s="151">
        <f>VLOOKUP($AG86,装备属性!$A:$Y,15,0)</f>
        <v>0</v>
      </c>
      <c r="AS86" s="151">
        <f>VLOOKUP($AG86,装备属性!$A:$Y,16,0)</f>
        <v>0</v>
      </c>
      <c r="AT86" s="151">
        <f>VLOOKUP($AG86,装备属性!$A:$Y,17,0)</f>
        <v>0</v>
      </c>
      <c r="AU86" s="151">
        <f>VLOOKUP($AG86,装备属性!$A:$Y,18,0)</f>
        <v>0</v>
      </c>
      <c r="AV86" s="151">
        <f>VLOOKUP($AG86,装备属性!$A:$Y,19,0)</f>
        <v>0</v>
      </c>
      <c r="AW86" s="151">
        <f>VLOOKUP($AG86,装备属性!$A:$Y,20,0)</f>
        <v>600</v>
      </c>
      <c r="AX86" s="151">
        <f>VLOOKUP($AG86,装备属性!$A:$Y,21,0)</f>
        <v>0</v>
      </c>
      <c r="AY86" s="151">
        <f>VLOOKUP($AG86,装备属性!$A:$Y,22,0)</f>
        <v>0</v>
      </c>
      <c r="AZ86" s="151">
        <f>VLOOKUP($AG86,装备属性!$A:$Y,23,0)</f>
        <v>0</v>
      </c>
      <c r="BA86" s="151">
        <f>VLOOKUP($AG86,装备属性!$A:$Y,24,0)</f>
        <v>0</v>
      </c>
      <c r="BB86" s="151">
        <f>VLOOKUP($AG86,装备属性!$A:$Y,25,0)</f>
        <v>0</v>
      </c>
    </row>
    <row r="87" spans="32:54">
      <c r="AF87" s="151">
        <v>11</v>
      </c>
      <c r="AG87" s="151" t="str">
        <f>AB11</f>
        <v>射手指环</v>
      </c>
      <c r="AH87" s="151">
        <f>VLOOKUP($AG87,装备属性!$A:$Y,5,0)</f>
        <v>0</v>
      </c>
      <c r="AI87" s="151">
        <f>VLOOKUP($AG87,装备属性!$A:$Y,6,0)</f>
        <v>0</v>
      </c>
      <c r="AJ87" s="151">
        <f>VLOOKUP($AG87,装备属性!$A:$Y,7,0)</f>
        <v>0</v>
      </c>
      <c r="AK87" s="151">
        <f>VLOOKUP($AG87,装备属性!$A:$Y,8,0)</f>
        <v>0</v>
      </c>
      <c r="AL87" s="151">
        <f>VLOOKUP($AG87,装备属性!$A:$Y,9,0)</f>
        <v>0</v>
      </c>
      <c r="AM87" s="151">
        <f>VLOOKUP($AG87,装备属性!$A:$Y,10,0)</f>
        <v>0</v>
      </c>
      <c r="AN87" s="151">
        <f>VLOOKUP($AG87,装备属性!$A:$Y,11,0)</f>
        <v>0</v>
      </c>
      <c r="AO87" s="151">
        <f>VLOOKUP($AG87,装备属性!$A:$Y,12,0)</f>
        <v>0</v>
      </c>
      <c r="AP87" s="151">
        <f>VLOOKUP($AG87,装备属性!$A:$Y,13,0)</f>
        <v>0</v>
      </c>
      <c r="AQ87" s="151">
        <f>VLOOKUP($AG87,装备属性!$A:$Y,14,0)</f>
        <v>0</v>
      </c>
      <c r="AR87" s="151">
        <f>VLOOKUP($AG87,装备属性!$A:$Y,15,0)</f>
        <v>0</v>
      </c>
      <c r="AS87" s="151">
        <f>VLOOKUP($AG87,装备属性!$A:$Y,16,0)</f>
        <v>0</v>
      </c>
      <c r="AT87" s="151">
        <f>VLOOKUP($AG87,装备属性!$A:$Y,17,0)</f>
        <v>0</v>
      </c>
      <c r="AU87" s="151">
        <f>VLOOKUP($AG87,装备属性!$A:$Y,18,0)</f>
        <v>8</v>
      </c>
      <c r="AV87" s="151">
        <f>VLOOKUP($AG87,装备属性!$A:$Y,19,0)</f>
        <v>0</v>
      </c>
      <c r="AW87" s="151">
        <f>VLOOKUP($AG87,装备属性!$A:$Y,20,0)</f>
        <v>0</v>
      </c>
      <c r="AX87" s="151">
        <f>VLOOKUP($AG87,装备属性!$A:$Y,21,0)</f>
        <v>0</v>
      </c>
      <c r="AY87" s="151">
        <f>VLOOKUP($AG87,装备属性!$A:$Y,22,0)</f>
        <v>0</v>
      </c>
      <c r="AZ87" s="151">
        <f>VLOOKUP($AG87,装备属性!$A:$Y,23,0)</f>
        <v>0</v>
      </c>
      <c r="BA87" s="151">
        <f>VLOOKUP($AG87,装备属性!$A:$Y,24,0)</f>
        <v>0</v>
      </c>
      <c r="BB87" s="151">
        <f>VLOOKUP($AG87,装备属性!$A:$Y,25,0)</f>
        <v>0</v>
      </c>
    </row>
    <row r="88" spans="32:54">
      <c r="AF88" s="151">
        <v>11</v>
      </c>
      <c r="AG88" s="151" t="str">
        <f>AC11</f>
        <v>疾行鞋</v>
      </c>
      <c r="AH88" s="151">
        <f>VLOOKUP($AG88,装备属性!$A:$Y,5,0)</f>
        <v>31</v>
      </c>
      <c r="AI88" s="151">
        <f>VLOOKUP($AG88,装备属性!$A:$Y,6,0)</f>
        <v>31</v>
      </c>
      <c r="AJ88" s="151">
        <f>VLOOKUP($AG88,装备属性!$A:$Y,7,0)</f>
        <v>31</v>
      </c>
      <c r="AK88" s="151">
        <f>VLOOKUP($AG88,装备属性!$A:$Y,8,0)</f>
        <v>0</v>
      </c>
      <c r="AL88" s="151">
        <f>VLOOKUP($AG88,装备属性!$A:$Y,9,0)</f>
        <v>0</v>
      </c>
      <c r="AM88" s="151">
        <f>VLOOKUP($AG88,装备属性!$A:$Y,10,0)</f>
        <v>0</v>
      </c>
      <c r="AN88" s="151">
        <f>VLOOKUP($AG88,装备属性!$A:$Y,11,0)</f>
        <v>0</v>
      </c>
      <c r="AO88" s="151">
        <f>VLOOKUP($AG88,装备属性!$A:$Y,12,0)</f>
        <v>0</v>
      </c>
      <c r="AP88" s="151">
        <f>VLOOKUP($AG88,装备属性!$A:$Y,13,0)</f>
        <v>0</v>
      </c>
      <c r="AQ88" s="151">
        <f>VLOOKUP($AG88,装备属性!$A:$Y,14,0)</f>
        <v>0</v>
      </c>
      <c r="AR88" s="151">
        <f>VLOOKUP($AG88,装备属性!$A:$Y,15,0)</f>
        <v>0</v>
      </c>
      <c r="AS88" s="151">
        <f>VLOOKUP($AG88,装备属性!$A:$Y,16,0)</f>
        <v>0</v>
      </c>
      <c r="AT88" s="151">
        <f>VLOOKUP($AG88,装备属性!$A:$Y,17,0)</f>
        <v>0</v>
      </c>
      <c r="AU88" s="151">
        <f>VLOOKUP($AG88,装备属性!$A:$Y,18,0)</f>
        <v>0</v>
      </c>
      <c r="AV88" s="151">
        <f>VLOOKUP($AG88,装备属性!$A:$Y,19,0)</f>
        <v>0</v>
      </c>
      <c r="AW88" s="151">
        <f>VLOOKUP($AG88,装备属性!$A:$Y,20,0)</f>
        <v>0</v>
      </c>
      <c r="AX88" s="151">
        <f>VLOOKUP($AG88,装备属性!$A:$Y,21,0)</f>
        <v>0</v>
      </c>
      <c r="AY88" s="151">
        <f>VLOOKUP($AG88,装备属性!$A:$Y,22,0)</f>
        <v>0</v>
      </c>
      <c r="AZ88" s="151">
        <f>VLOOKUP($AG88,装备属性!$A:$Y,23,0)</f>
        <v>0</v>
      </c>
      <c r="BA88" s="151">
        <f>VLOOKUP($AG88,装备属性!$A:$Y,24,0)</f>
        <v>0</v>
      </c>
      <c r="BB88" s="151">
        <f>VLOOKUP($AG88,装备属性!$A:$Y,25,0)</f>
        <v>0</v>
      </c>
    </row>
    <row r="89" spans="32:54">
      <c r="AF89" s="151">
        <v>12</v>
      </c>
      <c r="AG89" s="151" t="str">
        <f>X12</f>
        <v>雷霆之怒</v>
      </c>
      <c r="AH89" s="151">
        <f>VLOOKUP($AG89,装备属性!$A:$Y,5,0)</f>
        <v>10</v>
      </c>
      <c r="AI89" s="151">
        <f>VLOOKUP($AG89,装备属性!$A:$Y,6,0)</f>
        <v>10</v>
      </c>
      <c r="AJ89" s="151">
        <f>VLOOKUP($AG89,装备属性!$A:$Y,7,0)</f>
        <v>10</v>
      </c>
      <c r="AK89" s="151">
        <f>VLOOKUP($AG89,装备属性!$A:$Y,8,0)</f>
        <v>0</v>
      </c>
      <c r="AL89" s="151">
        <f>VLOOKUP($AG89,装备属性!$A:$Y,9,0)</f>
        <v>125</v>
      </c>
      <c r="AM89" s="151">
        <f>VLOOKUP($AG89,装备属性!$A:$Y,10,0)</f>
        <v>0</v>
      </c>
      <c r="AN89" s="151">
        <f>VLOOKUP($AG89,装备属性!$A:$Y,11,0)</f>
        <v>0</v>
      </c>
      <c r="AO89" s="151">
        <f>VLOOKUP($AG89,装备属性!$A:$Y,12,0)</f>
        <v>0</v>
      </c>
      <c r="AP89" s="151">
        <f>VLOOKUP($AG89,装备属性!$A:$Y,13,0)</f>
        <v>0</v>
      </c>
      <c r="AQ89" s="151">
        <f>VLOOKUP($AG89,装备属性!$A:$Y,14,0)</f>
        <v>0</v>
      </c>
      <c r="AR89" s="151">
        <f>VLOOKUP($AG89,装备属性!$A:$Y,15,0)</f>
        <v>0</v>
      </c>
      <c r="AS89" s="151">
        <f>VLOOKUP($AG89,装备属性!$A:$Y,16,0)</f>
        <v>0</v>
      </c>
      <c r="AT89" s="151">
        <f>VLOOKUP($AG89,装备属性!$A:$Y,17,0)</f>
        <v>0</v>
      </c>
      <c r="AU89" s="151">
        <f>VLOOKUP($AG89,装备属性!$A:$Y,18,0)</f>
        <v>0</v>
      </c>
      <c r="AV89" s="151">
        <f>VLOOKUP($AG89,装备属性!$A:$Y,19,0)</f>
        <v>0</v>
      </c>
      <c r="AW89" s="151">
        <f>VLOOKUP($AG89,装备属性!$A:$Y,20,0)</f>
        <v>500</v>
      </c>
      <c r="AX89" s="151">
        <f>VLOOKUP($AG89,装备属性!$A:$Y,21,0)</f>
        <v>0</v>
      </c>
      <c r="AY89" s="151">
        <f>VLOOKUP($AG89,装备属性!$A:$Y,22,0)</f>
        <v>0</v>
      </c>
      <c r="AZ89" s="151">
        <f>VLOOKUP($AG89,装备属性!$A:$Y,23,0)</f>
        <v>0</v>
      </c>
      <c r="BA89" s="151">
        <f>VLOOKUP($AG89,装备属性!$A:$Y,24,0)</f>
        <v>0</v>
      </c>
      <c r="BB89" s="151">
        <f>VLOOKUP($AG89,装备属性!$A:$Y,25,0)</f>
        <v>0</v>
      </c>
    </row>
    <row r="90" spans="32:54">
      <c r="AF90" s="151">
        <v>12</v>
      </c>
      <c r="AG90" s="151" t="str">
        <f>Y12</f>
        <v>大天使之剑</v>
      </c>
      <c r="AH90" s="151">
        <f>VLOOKUP($AG90,装备属性!$A:$Y,5,0)</f>
        <v>0</v>
      </c>
      <c r="AI90" s="151">
        <f>VLOOKUP($AG90,装备属性!$A:$Y,6,0)</f>
        <v>0</v>
      </c>
      <c r="AJ90" s="151">
        <f>VLOOKUP($AG90,装备属性!$A:$Y,7,0)</f>
        <v>0</v>
      </c>
      <c r="AK90" s="151">
        <f>VLOOKUP($AG90,装备属性!$A:$Y,8,0)</f>
        <v>250</v>
      </c>
      <c r="AL90" s="151">
        <f>VLOOKUP($AG90,装备属性!$A:$Y,9,0)</f>
        <v>85</v>
      </c>
      <c r="AM90" s="151">
        <f>VLOOKUP($AG90,装备属性!$A:$Y,10,0)</f>
        <v>0</v>
      </c>
      <c r="AN90" s="151">
        <f>VLOOKUP($AG90,装备属性!$A:$Y,11,0)</f>
        <v>0</v>
      </c>
      <c r="AO90" s="151">
        <f>VLOOKUP($AG90,装备属性!$A:$Y,12,0)</f>
        <v>0</v>
      </c>
      <c r="AP90" s="151">
        <f>VLOOKUP($AG90,装备属性!$A:$Y,13,0)</f>
        <v>0</v>
      </c>
      <c r="AQ90" s="151">
        <f>VLOOKUP($AG90,装备属性!$A:$Y,14,0)</f>
        <v>14</v>
      </c>
      <c r="AR90" s="151">
        <f>VLOOKUP($AG90,装备属性!$A:$Y,15,0)</f>
        <v>0</v>
      </c>
      <c r="AS90" s="151">
        <f>VLOOKUP($AG90,装备属性!$A:$Y,16,0)</f>
        <v>0</v>
      </c>
      <c r="AT90" s="151">
        <f>VLOOKUP($AG90,装备属性!$A:$Y,17,0)</f>
        <v>0</v>
      </c>
      <c r="AU90" s="151">
        <f>VLOOKUP($AG90,装备属性!$A:$Y,18,0)</f>
        <v>0</v>
      </c>
      <c r="AV90" s="151">
        <f>VLOOKUP($AG90,装备属性!$A:$Y,19,0)</f>
        <v>0</v>
      </c>
      <c r="AW90" s="151">
        <f>VLOOKUP($AG90,装备属性!$A:$Y,20,0)</f>
        <v>0</v>
      </c>
      <c r="AX90" s="151">
        <f>VLOOKUP($AG90,装备属性!$A:$Y,21,0)</f>
        <v>0</v>
      </c>
      <c r="AY90" s="151">
        <f>VLOOKUP($AG90,装备属性!$A:$Y,22,0)</f>
        <v>0</v>
      </c>
      <c r="AZ90" s="151">
        <f>VLOOKUP($AG90,装备属性!$A:$Y,23,0)</f>
        <v>0</v>
      </c>
      <c r="BA90" s="151">
        <f>VLOOKUP($AG90,装备属性!$A:$Y,24,0)</f>
        <v>0</v>
      </c>
      <c r="BB90" s="151">
        <f>VLOOKUP($AG90,装备属性!$A:$Y,25,0)</f>
        <v>0</v>
      </c>
    </row>
    <row r="91" spans="32:54">
      <c r="AF91" s="151">
        <v>12</v>
      </c>
      <c r="AG91" s="151" t="str">
        <f>Z12</f>
        <v>林肯</v>
      </c>
      <c r="AH91" s="151">
        <f>VLOOKUP($AG91,装备属性!$A:$Y,5,0)</f>
        <v>15</v>
      </c>
      <c r="AI91" s="151">
        <f>VLOOKUP($AG91,装备属性!$A:$Y,6,0)</f>
        <v>15</v>
      </c>
      <c r="AJ91" s="151">
        <f>VLOOKUP($AG91,装备属性!$A:$Y,7,0)</f>
        <v>15</v>
      </c>
      <c r="AK91" s="151">
        <f>VLOOKUP($AG91,装备属性!$A:$Y,8,0)</f>
        <v>0</v>
      </c>
      <c r="AL91" s="151">
        <f>VLOOKUP($AG91,装备属性!$A:$Y,9,0)</f>
        <v>10</v>
      </c>
      <c r="AM91" s="151">
        <f>VLOOKUP($AG91,装备属性!$A:$Y,10,0)</f>
        <v>0</v>
      </c>
      <c r="AN91" s="151">
        <f>VLOOKUP($AG91,装备属性!$A:$Y,11,0)</f>
        <v>0</v>
      </c>
      <c r="AO91" s="151">
        <f>VLOOKUP($AG91,装备属性!$A:$Y,12,0)</f>
        <v>15</v>
      </c>
      <c r="AP91" s="151">
        <f>VLOOKUP($AG91,装备属性!$A:$Y,13,0)</f>
        <v>0</v>
      </c>
      <c r="AQ91" s="151">
        <f>VLOOKUP($AG91,装备属性!$A:$Y,14,0)</f>
        <v>0</v>
      </c>
      <c r="AR91" s="151">
        <f>VLOOKUP($AG91,装备属性!$A:$Y,15,0)</f>
        <v>0</v>
      </c>
      <c r="AS91" s="151">
        <f>VLOOKUP($AG91,装备属性!$A:$Y,16,0)</f>
        <v>0</v>
      </c>
      <c r="AT91" s="151">
        <f>VLOOKUP($AG91,装备属性!$A:$Y,17,0)</f>
        <v>0</v>
      </c>
      <c r="AU91" s="151">
        <f>VLOOKUP($AG91,装备属性!$A:$Y,18,0)</f>
        <v>0</v>
      </c>
      <c r="AV91" s="151">
        <f>VLOOKUP($AG91,装备属性!$A:$Y,19,0)</f>
        <v>0</v>
      </c>
      <c r="AW91" s="151">
        <f>VLOOKUP($AG91,装备属性!$A:$Y,20,0)</f>
        <v>0</v>
      </c>
      <c r="AX91" s="151">
        <f>VLOOKUP($AG91,装备属性!$A:$Y,21,0)</f>
        <v>0</v>
      </c>
      <c r="AY91" s="151">
        <f>VLOOKUP($AG91,装备属性!$A:$Y,22,0)</f>
        <v>0</v>
      </c>
      <c r="AZ91" s="151">
        <f>VLOOKUP($AG91,装备属性!$A:$Y,23,0)</f>
        <v>0</v>
      </c>
      <c r="BA91" s="151">
        <f>VLOOKUP($AG91,装备属性!$A:$Y,24,0)</f>
        <v>0</v>
      </c>
      <c r="BB91" s="151">
        <f>VLOOKUP($AG91,装备属性!$A:$Y,25,0)</f>
        <v>0</v>
      </c>
    </row>
    <row r="92" spans="32:54">
      <c r="AF92" s="151">
        <v>12</v>
      </c>
      <c r="AG92" s="151" t="str">
        <f>AA12</f>
        <v>恶魔之矢</v>
      </c>
      <c r="AH92" s="151">
        <f>VLOOKUP($AG92,装备属性!$A:$Y,5,0)</f>
        <v>0</v>
      </c>
      <c r="AI92" s="151">
        <f>VLOOKUP($AG92,装备属性!$A:$Y,6,0)</f>
        <v>0</v>
      </c>
      <c r="AJ92" s="151">
        <f>VLOOKUP($AG92,装备属性!$A:$Y,7,0)</f>
        <v>0</v>
      </c>
      <c r="AK92" s="151">
        <f>VLOOKUP($AG92,装备属性!$A:$Y,8,0)</f>
        <v>0</v>
      </c>
      <c r="AL92" s="151">
        <f>VLOOKUP($AG92,装备属性!$A:$Y,9,0)</f>
        <v>30</v>
      </c>
      <c r="AM92" s="151">
        <f>VLOOKUP($AG92,装备属性!$A:$Y,10,0)</f>
        <v>0</v>
      </c>
      <c r="AN92" s="151">
        <f>VLOOKUP($AG92,装备属性!$A:$Y,11,0)</f>
        <v>0</v>
      </c>
      <c r="AO92" s="151">
        <f>VLOOKUP($AG92,装备属性!$A:$Y,12,0)</f>
        <v>0</v>
      </c>
      <c r="AP92" s="151">
        <f>VLOOKUP($AG92,装备属性!$A:$Y,13,0)</f>
        <v>6</v>
      </c>
      <c r="AQ92" s="151">
        <f>VLOOKUP($AG92,装备属性!$A:$Y,14,0)</f>
        <v>0</v>
      </c>
      <c r="AR92" s="151">
        <f>VLOOKUP($AG92,装备属性!$A:$Y,15,0)</f>
        <v>0</v>
      </c>
      <c r="AS92" s="151">
        <f>VLOOKUP($AG92,装备属性!$A:$Y,16,0)</f>
        <v>0</v>
      </c>
      <c r="AT92" s="151">
        <f>VLOOKUP($AG92,装备属性!$A:$Y,17,0)</f>
        <v>0</v>
      </c>
      <c r="AU92" s="151">
        <f>VLOOKUP($AG92,装备属性!$A:$Y,18,0)</f>
        <v>0</v>
      </c>
      <c r="AV92" s="151">
        <f>VLOOKUP($AG92,装备属性!$A:$Y,19,0)</f>
        <v>0</v>
      </c>
      <c r="AW92" s="151">
        <f>VLOOKUP($AG92,装备属性!$A:$Y,20,0)</f>
        <v>0</v>
      </c>
      <c r="AX92" s="151">
        <f>VLOOKUP($AG92,装备属性!$A:$Y,21,0)</f>
        <v>0</v>
      </c>
      <c r="AY92" s="151">
        <f>VLOOKUP($AG92,装备属性!$A:$Y,22,0)</f>
        <v>0</v>
      </c>
      <c r="AZ92" s="151">
        <f>VLOOKUP($AG92,装备属性!$A:$Y,23,0)</f>
        <v>0</v>
      </c>
      <c r="BA92" s="151">
        <f>VLOOKUP($AG92,装备属性!$A:$Y,24,0)</f>
        <v>0</v>
      </c>
      <c r="BB92" s="151">
        <f>VLOOKUP($AG92,装备属性!$A:$Y,25,0)</f>
        <v>0</v>
      </c>
    </row>
    <row r="93" spans="32:54">
      <c r="AF93" s="151">
        <v>12</v>
      </c>
      <c r="AG93" s="151" t="str">
        <f>AB12</f>
        <v>疾行鞋</v>
      </c>
      <c r="AH93" s="151">
        <f>VLOOKUP($AG93,装备属性!$A:$Y,5,0)</f>
        <v>31</v>
      </c>
      <c r="AI93" s="151">
        <f>VLOOKUP($AG93,装备属性!$A:$Y,6,0)</f>
        <v>31</v>
      </c>
      <c r="AJ93" s="151">
        <f>VLOOKUP($AG93,装备属性!$A:$Y,7,0)</f>
        <v>31</v>
      </c>
      <c r="AK93" s="151">
        <f>VLOOKUP($AG93,装备属性!$A:$Y,8,0)</f>
        <v>0</v>
      </c>
      <c r="AL93" s="151">
        <f>VLOOKUP($AG93,装备属性!$A:$Y,9,0)</f>
        <v>0</v>
      </c>
      <c r="AM93" s="151">
        <f>VLOOKUP($AG93,装备属性!$A:$Y,10,0)</f>
        <v>0</v>
      </c>
      <c r="AN93" s="151">
        <f>VLOOKUP($AG93,装备属性!$A:$Y,11,0)</f>
        <v>0</v>
      </c>
      <c r="AO93" s="151">
        <f>VLOOKUP($AG93,装备属性!$A:$Y,12,0)</f>
        <v>0</v>
      </c>
      <c r="AP93" s="151">
        <f>VLOOKUP($AG93,装备属性!$A:$Y,13,0)</f>
        <v>0</v>
      </c>
      <c r="AQ93" s="151">
        <f>VLOOKUP($AG93,装备属性!$A:$Y,14,0)</f>
        <v>0</v>
      </c>
      <c r="AR93" s="151">
        <f>VLOOKUP($AG93,装备属性!$A:$Y,15,0)</f>
        <v>0</v>
      </c>
      <c r="AS93" s="151">
        <f>VLOOKUP($AG93,装备属性!$A:$Y,16,0)</f>
        <v>0</v>
      </c>
      <c r="AT93" s="151">
        <f>VLOOKUP($AG93,装备属性!$A:$Y,17,0)</f>
        <v>0</v>
      </c>
      <c r="AU93" s="151">
        <f>VLOOKUP($AG93,装备属性!$A:$Y,18,0)</f>
        <v>0</v>
      </c>
      <c r="AV93" s="151">
        <f>VLOOKUP($AG93,装备属性!$A:$Y,19,0)</f>
        <v>0</v>
      </c>
      <c r="AW93" s="151">
        <f>VLOOKUP($AG93,装备属性!$A:$Y,20,0)</f>
        <v>0</v>
      </c>
      <c r="AX93" s="151">
        <f>VLOOKUP($AG93,装备属性!$A:$Y,21,0)</f>
        <v>0</v>
      </c>
      <c r="AY93" s="151">
        <f>VLOOKUP($AG93,装备属性!$A:$Y,22,0)</f>
        <v>0</v>
      </c>
      <c r="AZ93" s="151">
        <f>VLOOKUP($AG93,装备属性!$A:$Y,23,0)</f>
        <v>0</v>
      </c>
      <c r="BA93" s="151">
        <f>VLOOKUP($AG93,装备属性!$A:$Y,24,0)</f>
        <v>0</v>
      </c>
      <c r="BB93" s="151">
        <f>VLOOKUP($AG93,装备属性!$A:$Y,25,0)</f>
        <v>0</v>
      </c>
    </row>
    <row r="94" spans="32:54">
      <c r="AF94" s="151">
        <v>12</v>
      </c>
    </row>
    <row r="96" spans="32:54">
      <c r="AF96" s="151" t="s">
        <v>1081</v>
      </c>
      <c r="AH96" s="50" t="s">
        <v>3</v>
      </c>
      <c r="AI96" s="50" t="s">
        <v>4</v>
      </c>
      <c r="AJ96" s="50" t="s">
        <v>5</v>
      </c>
      <c r="AK96" s="50" t="s">
        <v>103</v>
      </c>
      <c r="AL96" s="50" t="s">
        <v>14</v>
      </c>
      <c r="AM96" s="50" t="s">
        <v>47</v>
      </c>
      <c r="AN96" s="50" t="s">
        <v>35</v>
      </c>
      <c r="AO96" s="50" t="s">
        <v>38</v>
      </c>
      <c r="AP96" s="50" t="s">
        <v>34</v>
      </c>
      <c r="AQ96" s="50" t="s">
        <v>56</v>
      </c>
      <c r="AR96" s="50" t="s">
        <v>84</v>
      </c>
      <c r="AS96" s="50" t="s">
        <v>98</v>
      </c>
      <c r="AT96" s="50" t="s">
        <v>2099</v>
      </c>
      <c r="AU96" s="119" t="s">
        <v>1874</v>
      </c>
      <c r="AV96" s="50" t="s">
        <v>91</v>
      </c>
      <c r="AW96" s="50" t="s">
        <v>13</v>
      </c>
      <c r="AX96" s="50" t="s">
        <v>18</v>
      </c>
      <c r="AY96" s="51" t="s">
        <v>71</v>
      </c>
      <c r="AZ96" s="50" t="s">
        <v>130</v>
      </c>
      <c r="BA96" s="141" t="s">
        <v>1867</v>
      </c>
      <c r="BB96" s="141" t="s">
        <v>1877</v>
      </c>
    </row>
    <row r="97" spans="31:54">
      <c r="AF97" s="151">
        <v>1</v>
      </c>
      <c r="AH97" s="151">
        <f t="shared" ref="AH97:AW97" si="7">SUM(AH$23:AH$28)</f>
        <v>2</v>
      </c>
      <c r="AI97" s="151">
        <f t="shared" si="7"/>
        <v>8</v>
      </c>
      <c r="AJ97" s="151">
        <f t="shared" si="7"/>
        <v>2</v>
      </c>
      <c r="AK97" s="151">
        <f t="shared" si="7"/>
        <v>0</v>
      </c>
      <c r="AL97" s="151">
        <f t="shared" si="7"/>
        <v>0</v>
      </c>
      <c r="AM97" s="151">
        <f t="shared" si="7"/>
        <v>0</v>
      </c>
      <c r="AN97" s="151">
        <f t="shared" si="7"/>
        <v>4</v>
      </c>
      <c r="AO97" s="151">
        <f t="shared" si="7"/>
        <v>0</v>
      </c>
      <c r="AP97" s="151">
        <f t="shared" si="7"/>
        <v>0</v>
      </c>
      <c r="AQ97" s="151">
        <f t="shared" si="7"/>
        <v>0</v>
      </c>
      <c r="AR97" s="151">
        <f t="shared" si="7"/>
        <v>0</v>
      </c>
      <c r="AS97" s="151">
        <f t="shared" si="7"/>
        <v>0</v>
      </c>
      <c r="AT97" s="151">
        <f t="shared" si="7"/>
        <v>0</v>
      </c>
      <c r="AU97" s="151">
        <f t="shared" si="7"/>
        <v>0</v>
      </c>
      <c r="AV97" s="151">
        <f t="shared" si="7"/>
        <v>0</v>
      </c>
      <c r="AW97" s="151">
        <f t="shared" si="7"/>
        <v>0</v>
      </c>
      <c r="AX97" s="151">
        <f>SUM(AX$23:AX$28)</f>
        <v>0</v>
      </c>
      <c r="AY97" s="151">
        <f>SUM(AY$23:AY$28)</f>
        <v>0</v>
      </c>
      <c r="AZ97" s="151">
        <f t="shared" ref="AZ97:BB97" si="8">SUM(AZ$23:AZ$28)</f>
        <v>0</v>
      </c>
      <c r="BA97" s="151">
        <f t="shared" si="8"/>
        <v>0</v>
      </c>
      <c r="BB97" s="151">
        <f t="shared" si="8"/>
        <v>0</v>
      </c>
    </row>
    <row r="98" spans="31:54">
      <c r="AF98" s="151">
        <v>2</v>
      </c>
      <c r="AH98" s="151">
        <f t="shared" ref="AH98:AW98" si="9">SUM(AH$23:AH$34)</f>
        <v>13</v>
      </c>
      <c r="AI98" s="151">
        <f t="shared" si="9"/>
        <v>25</v>
      </c>
      <c r="AJ98" s="151">
        <f t="shared" si="9"/>
        <v>13</v>
      </c>
      <c r="AK98" s="151">
        <f t="shared" si="9"/>
        <v>0</v>
      </c>
      <c r="AL98" s="151">
        <f t="shared" si="9"/>
        <v>12</v>
      </c>
      <c r="AM98" s="151">
        <f t="shared" si="9"/>
        <v>0</v>
      </c>
      <c r="AN98" s="151">
        <f t="shared" si="9"/>
        <v>6</v>
      </c>
      <c r="AO98" s="151">
        <f t="shared" si="9"/>
        <v>0</v>
      </c>
      <c r="AP98" s="151">
        <f t="shared" si="9"/>
        <v>0</v>
      </c>
      <c r="AQ98" s="151">
        <f t="shared" si="9"/>
        <v>0</v>
      </c>
      <c r="AR98" s="151">
        <f t="shared" si="9"/>
        <v>0</v>
      </c>
      <c r="AS98" s="151">
        <f t="shared" si="9"/>
        <v>0</v>
      </c>
      <c r="AT98" s="151">
        <f t="shared" si="9"/>
        <v>15</v>
      </c>
      <c r="AU98" s="151">
        <f t="shared" si="9"/>
        <v>0</v>
      </c>
      <c r="AV98" s="151">
        <f t="shared" si="9"/>
        <v>0</v>
      </c>
      <c r="AW98" s="151">
        <f t="shared" si="9"/>
        <v>0</v>
      </c>
      <c r="AX98" s="151">
        <f>SUM(AX$23:AX$34)</f>
        <v>30</v>
      </c>
      <c r="AY98" s="151">
        <f>SUM(AY$23:AY$34)</f>
        <v>0</v>
      </c>
      <c r="AZ98" s="151">
        <f t="shared" ref="AZ98:BB98" si="10">SUM(AZ$23:AZ$34)</f>
        <v>0</v>
      </c>
      <c r="BA98" s="151">
        <f t="shared" si="10"/>
        <v>0</v>
      </c>
      <c r="BB98" s="151">
        <f t="shared" si="10"/>
        <v>0</v>
      </c>
    </row>
    <row r="99" spans="31:54">
      <c r="AF99" s="151">
        <v>3</v>
      </c>
      <c r="AH99" s="151">
        <f t="shared" ref="AH99:AW99" si="11">SUM(AH$23:AH$40)</f>
        <v>21</v>
      </c>
      <c r="AI99" s="151">
        <f t="shared" si="11"/>
        <v>43</v>
      </c>
      <c r="AJ99" s="151">
        <f t="shared" si="11"/>
        <v>21</v>
      </c>
      <c r="AK99" s="151">
        <f t="shared" si="11"/>
        <v>250</v>
      </c>
      <c r="AL99" s="151">
        <f t="shared" si="11"/>
        <v>21</v>
      </c>
      <c r="AM99" s="151">
        <f t="shared" si="11"/>
        <v>0</v>
      </c>
      <c r="AN99" s="151">
        <f t="shared" si="11"/>
        <v>11</v>
      </c>
      <c r="AO99" s="151">
        <f t="shared" si="11"/>
        <v>0</v>
      </c>
      <c r="AP99" s="151">
        <f t="shared" si="11"/>
        <v>15</v>
      </c>
      <c r="AQ99" s="151">
        <f t="shared" si="11"/>
        <v>0</v>
      </c>
      <c r="AR99" s="151">
        <f t="shared" si="11"/>
        <v>0</v>
      </c>
      <c r="AS99" s="151">
        <f t="shared" si="11"/>
        <v>0</v>
      </c>
      <c r="AT99" s="151">
        <f t="shared" si="11"/>
        <v>31</v>
      </c>
      <c r="AU99" s="151">
        <f t="shared" si="11"/>
        <v>0</v>
      </c>
      <c r="AV99" s="151">
        <f t="shared" si="11"/>
        <v>0</v>
      </c>
      <c r="AW99" s="151">
        <f t="shared" si="11"/>
        <v>15</v>
      </c>
      <c r="AX99" s="151">
        <f>SUM(AX$23:AX$40)</f>
        <v>85</v>
      </c>
      <c r="AY99" s="151">
        <f>SUM(AY$23:AY$40)</f>
        <v>0</v>
      </c>
      <c r="AZ99" s="151">
        <f t="shared" ref="AZ99:BB99" si="12">SUM(AZ$23:AZ$40)</f>
        <v>0</v>
      </c>
      <c r="BA99" s="151">
        <f t="shared" si="12"/>
        <v>0</v>
      </c>
      <c r="BB99" s="151">
        <f t="shared" si="12"/>
        <v>0</v>
      </c>
    </row>
    <row r="100" spans="31:54">
      <c r="AF100" s="151">
        <v>4</v>
      </c>
      <c r="AH100" s="151">
        <f t="shared" ref="AH100:AW100" si="13">SUM(AH$23:AH$46)</f>
        <v>61</v>
      </c>
      <c r="AI100" s="151">
        <f t="shared" si="13"/>
        <v>52</v>
      </c>
      <c r="AJ100" s="151">
        <f t="shared" si="13"/>
        <v>30</v>
      </c>
      <c r="AK100" s="151">
        <f t="shared" si="13"/>
        <v>530</v>
      </c>
      <c r="AL100" s="151">
        <f t="shared" si="13"/>
        <v>108</v>
      </c>
      <c r="AM100" s="151">
        <f t="shared" si="13"/>
        <v>0</v>
      </c>
      <c r="AN100" s="151">
        <f t="shared" si="13"/>
        <v>20</v>
      </c>
      <c r="AO100" s="151">
        <f t="shared" si="13"/>
        <v>0</v>
      </c>
      <c r="AP100" s="151">
        <f t="shared" si="13"/>
        <v>40</v>
      </c>
      <c r="AQ100" s="151">
        <f t="shared" si="13"/>
        <v>0</v>
      </c>
      <c r="AR100" s="151">
        <f t="shared" si="13"/>
        <v>0</v>
      </c>
      <c r="AS100" s="151">
        <f t="shared" si="13"/>
        <v>0</v>
      </c>
      <c r="AT100" s="151">
        <f t="shared" si="13"/>
        <v>31</v>
      </c>
      <c r="AU100" s="151">
        <f t="shared" si="13"/>
        <v>0</v>
      </c>
      <c r="AV100" s="151">
        <f t="shared" si="13"/>
        <v>0</v>
      </c>
      <c r="AW100" s="151">
        <f t="shared" si="13"/>
        <v>255</v>
      </c>
      <c r="AX100" s="151">
        <f>SUM(AX$23:AX$46)</f>
        <v>85</v>
      </c>
      <c r="AY100" s="151">
        <f>SUM(AY$23:AY$46)</f>
        <v>0</v>
      </c>
      <c r="AZ100" s="151">
        <f t="shared" ref="AZ100:BB100" si="14">SUM(AZ$23:AZ$46)</f>
        <v>0</v>
      </c>
      <c r="BA100" s="151">
        <f t="shared" si="14"/>
        <v>0</v>
      </c>
      <c r="BB100" s="151">
        <f t="shared" si="14"/>
        <v>0</v>
      </c>
    </row>
    <row r="101" spans="31:54">
      <c r="AF101" s="151">
        <v>5</v>
      </c>
      <c r="AH101" s="151">
        <f t="shared" ref="AH101:AW101" si="15">SUM(AH$23:AH$52)</f>
        <v>102</v>
      </c>
      <c r="AI101" s="151">
        <f t="shared" si="15"/>
        <v>64</v>
      </c>
      <c r="AJ101" s="151">
        <f t="shared" si="15"/>
        <v>42</v>
      </c>
      <c r="AK101" s="151">
        <f t="shared" si="15"/>
        <v>530</v>
      </c>
      <c r="AL101" s="151">
        <f t="shared" si="15"/>
        <v>206</v>
      </c>
      <c r="AM101" s="151">
        <f t="shared" si="15"/>
        <v>0</v>
      </c>
      <c r="AN101" s="151">
        <f t="shared" si="15"/>
        <v>23</v>
      </c>
      <c r="AO101" s="151">
        <f t="shared" si="15"/>
        <v>22</v>
      </c>
      <c r="AP101" s="151">
        <f t="shared" si="15"/>
        <v>50</v>
      </c>
      <c r="AQ101" s="151">
        <f t="shared" si="15"/>
        <v>0</v>
      </c>
      <c r="AR101" s="151">
        <f t="shared" si="15"/>
        <v>0</v>
      </c>
      <c r="AS101" s="151">
        <f t="shared" si="15"/>
        <v>0</v>
      </c>
      <c r="AT101" s="151">
        <f t="shared" si="15"/>
        <v>31</v>
      </c>
      <c r="AU101" s="151">
        <f t="shared" si="15"/>
        <v>0</v>
      </c>
      <c r="AV101" s="151">
        <f t="shared" si="15"/>
        <v>0</v>
      </c>
      <c r="AW101" s="151">
        <f t="shared" si="15"/>
        <v>435</v>
      </c>
      <c r="AX101" s="151">
        <f>SUM(AX$23:AX$52)</f>
        <v>117</v>
      </c>
      <c r="AY101" s="151">
        <f>SUM(AY$23:AY$52)</f>
        <v>0</v>
      </c>
      <c r="AZ101" s="151">
        <f t="shared" ref="AZ101:BB101" si="16">SUM(AZ$23:AZ$52)</f>
        <v>0</v>
      </c>
      <c r="BA101" s="151">
        <f t="shared" si="16"/>
        <v>0</v>
      </c>
      <c r="BB101" s="151">
        <f t="shared" si="16"/>
        <v>0</v>
      </c>
    </row>
    <row r="102" spans="31:54">
      <c r="AF102" s="151">
        <v>6</v>
      </c>
      <c r="AH102" s="151">
        <f t="shared" ref="AH102:AW102" si="17">SUM(AH$23:AH$58)</f>
        <v>137</v>
      </c>
      <c r="AI102" s="151">
        <f t="shared" si="17"/>
        <v>115</v>
      </c>
      <c r="AJ102" s="151">
        <f t="shared" si="17"/>
        <v>61</v>
      </c>
      <c r="AK102" s="151">
        <f t="shared" si="17"/>
        <v>780</v>
      </c>
      <c r="AL102" s="151">
        <f t="shared" si="17"/>
        <v>302</v>
      </c>
      <c r="AM102" s="151">
        <f t="shared" si="17"/>
        <v>0</v>
      </c>
      <c r="AN102" s="151">
        <f t="shared" si="17"/>
        <v>38</v>
      </c>
      <c r="AO102" s="151">
        <f t="shared" si="17"/>
        <v>22</v>
      </c>
      <c r="AP102" s="151">
        <f t="shared" si="17"/>
        <v>93</v>
      </c>
      <c r="AQ102" s="151">
        <f t="shared" si="17"/>
        <v>7</v>
      </c>
      <c r="AR102" s="151">
        <f t="shared" si="17"/>
        <v>0</v>
      </c>
      <c r="AS102" s="151">
        <f t="shared" si="17"/>
        <v>0</v>
      </c>
      <c r="AT102" s="151">
        <f t="shared" si="17"/>
        <v>47</v>
      </c>
      <c r="AU102" s="151">
        <f t="shared" si="17"/>
        <v>0</v>
      </c>
      <c r="AV102" s="151">
        <f t="shared" si="17"/>
        <v>0</v>
      </c>
      <c r="AW102" s="151">
        <f t="shared" si="17"/>
        <v>435</v>
      </c>
      <c r="AX102" s="151">
        <f>SUM(AX$23:AX$58)</f>
        <v>157</v>
      </c>
      <c r="AY102" s="151">
        <f>SUM(AY$23:AY$58)</f>
        <v>0</v>
      </c>
      <c r="AZ102" s="151">
        <f t="shared" ref="AZ102:BB102" si="18">SUM(AZ$23:AZ$58)</f>
        <v>0</v>
      </c>
      <c r="BA102" s="151">
        <f t="shared" si="18"/>
        <v>0</v>
      </c>
      <c r="BB102" s="151">
        <f t="shared" si="18"/>
        <v>0</v>
      </c>
    </row>
    <row r="103" spans="31:54">
      <c r="AF103" s="151">
        <v>7</v>
      </c>
      <c r="AH103" s="151">
        <f t="shared" ref="AH103:AW103" si="19">SUM(AH$23:AH$64)</f>
        <v>177</v>
      </c>
      <c r="AI103" s="151">
        <f t="shared" si="19"/>
        <v>155</v>
      </c>
      <c r="AJ103" s="151">
        <f t="shared" si="19"/>
        <v>101</v>
      </c>
      <c r="AK103" s="151">
        <f t="shared" si="19"/>
        <v>1060</v>
      </c>
      <c r="AL103" s="151">
        <f t="shared" si="19"/>
        <v>358</v>
      </c>
      <c r="AM103" s="151">
        <f t="shared" si="19"/>
        <v>0</v>
      </c>
      <c r="AN103" s="151">
        <f t="shared" si="19"/>
        <v>59</v>
      </c>
      <c r="AO103" s="151">
        <f t="shared" si="19"/>
        <v>37</v>
      </c>
      <c r="AP103" s="151">
        <f t="shared" si="19"/>
        <v>128</v>
      </c>
      <c r="AQ103" s="151">
        <f t="shared" si="19"/>
        <v>12</v>
      </c>
      <c r="AR103" s="151">
        <f t="shared" si="19"/>
        <v>0</v>
      </c>
      <c r="AS103" s="151">
        <f t="shared" si="19"/>
        <v>0</v>
      </c>
      <c r="AT103" s="151">
        <f t="shared" si="19"/>
        <v>47</v>
      </c>
      <c r="AU103" s="151">
        <f t="shared" si="19"/>
        <v>0</v>
      </c>
      <c r="AV103" s="151">
        <f t="shared" si="19"/>
        <v>0</v>
      </c>
      <c r="AW103" s="151">
        <f t="shared" si="19"/>
        <v>675</v>
      </c>
      <c r="AX103" s="151">
        <f>SUM(AX$23:AX$64)</f>
        <v>187</v>
      </c>
      <c r="AY103" s="151">
        <f>SUM(AY$23:AY$64)</f>
        <v>0</v>
      </c>
      <c r="AZ103" s="151">
        <f t="shared" ref="AZ103:BB103" si="20">SUM(AZ$23:AZ$64)</f>
        <v>0</v>
      </c>
      <c r="BA103" s="151">
        <f t="shared" si="20"/>
        <v>0</v>
      </c>
      <c r="BB103" s="151">
        <f t="shared" si="20"/>
        <v>0</v>
      </c>
    </row>
    <row r="104" spans="31:54">
      <c r="AF104" s="151">
        <v>8</v>
      </c>
      <c r="AH104" s="151">
        <f t="shared" ref="AH104:AW104" si="21">SUM(AH$23:AH$70)</f>
        <v>227</v>
      </c>
      <c r="AI104" s="151">
        <f t="shared" si="21"/>
        <v>210</v>
      </c>
      <c r="AJ104" s="151">
        <f t="shared" si="21"/>
        <v>126</v>
      </c>
      <c r="AK104" s="151">
        <f t="shared" si="21"/>
        <v>1060</v>
      </c>
      <c r="AL104" s="151">
        <f t="shared" si="21"/>
        <v>540</v>
      </c>
      <c r="AM104" s="151">
        <f t="shared" si="21"/>
        <v>0</v>
      </c>
      <c r="AN104" s="151">
        <f t="shared" si="21"/>
        <v>64</v>
      </c>
      <c r="AO104" s="151">
        <f t="shared" si="21"/>
        <v>37</v>
      </c>
      <c r="AP104" s="151">
        <f t="shared" si="21"/>
        <v>168</v>
      </c>
      <c r="AQ104" s="151">
        <f t="shared" si="21"/>
        <v>19</v>
      </c>
      <c r="AR104" s="151">
        <f t="shared" si="21"/>
        <v>0</v>
      </c>
      <c r="AS104" s="151">
        <f t="shared" si="21"/>
        <v>0</v>
      </c>
      <c r="AT104" s="151">
        <f t="shared" si="21"/>
        <v>47</v>
      </c>
      <c r="AU104" s="151">
        <f t="shared" si="21"/>
        <v>0</v>
      </c>
      <c r="AV104" s="151">
        <f t="shared" si="21"/>
        <v>30</v>
      </c>
      <c r="AW104" s="151">
        <f t="shared" si="21"/>
        <v>815</v>
      </c>
      <c r="AX104" s="151">
        <f>SUM(AX$23:AX$70)</f>
        <v>237</v>
      </c>
      <c r="AY104" s="151">
        <f>SUM(AY$23:AY$70)</f>
        <v>0</v>
      </c>
      <c r="AZ104" s="151">
        <f t="shared" ref="AZ104:BB104" si="22">SUM(AZ$23:AZ$70)</f>
        <v>0</v>
      </c>
      <c r="BA104" s="151">
        <f t="shared" si="22"/>
        <v>0</v>
      </c>
      <c r="BB104" s="151">
        <f t="shared" si="22"/>
        <v>0</v>
      </c>
    </row>
    <row r="105" spans="31:54">
      <c r="AF105" s="151">
        <v>9</v>
      </c>
      <c r="AH105" s="151">
        <f t="shared" ref="AH105:AW105" si="23">SUM(AH$23:AH$76)</f>
        <v>262</v>
      </c>
      <c r="AI105" s="151">
        <f t="shared" si="23"/>
        <v>235</v>
      </c>
      <c r="AJ105" s="151">
        <f t="shared" si="23"/>
        <v>151</v>
      </c>
      <c r="AK105" s="151">
        <f t="shared" si="23"/>
        <v>1060</v>
      </c>
      <c r="AL105" s="151">
        <f t="shared" si="23"/>
        <v>694</v>
      </c>
      <c r="AM105" s="151">
        <f t="shared" si="23"/>
        <v>0</v>
      </c>
      <c r="AN105" s="151">
        <f t="shared" si="23"/>
        <v>69</v>
      </c>
      <c r="AO105" s="151">
        <f t="shared" si="23"/>
        <v>72</v>
      </c>
      <c r="AP105" s="151">
        <f t="shared" si="23"/>
        <v>228</v>
      </c>
      <c r="AQ105" s="151">
        <f t="shared" si="23"/>
        <v>19</v>
      </c>
      <c r="AR105" s="151">
        <f t="shared" si="23"/>
        <v>0</v>
      </c>
      <c r="AS105" s="151">
        <f t="shared" si="23"/>
        <v>0</v>
      </c>
      <c r="AT105" s="151">
        <f t="shared" si="23"/>
        <v>63</v>
      </c>
      <c r="AU105" s="151">
        <f t="shared" si="23"/>
        <v>0</v>
      </c>
      <c r="AV105" s="151">
        <f t="shared" si="23"/>
        <v>30</v>
      </c>
      <c r="AW105" s="151">
        <f t="shared" si="23"/>
        <v>915</v>
      </c>
      <c r="AX105" s="151">
        <f>SUM(AX$23:AX$76)</f>
        <v>277</v>
      </c>
      <c r="AY105" s="151">
        <f>SUM(AY$23:AY$76)</f>
        <v>0</v>
      </c>
      <c r="AZ105" s="151">
        <f t="shared" ref="AZ105:BB105" si="24">SUM(AZ$23:AZ$76)</f>
        <v>0</v>
      </c>
      <c r="BA105" s="151">
        <f t="shared" si="24"/>
        <v>0</v>
      </c>
      <c r="BB105" s="151">
        <f t="shared" si="24"/>
        <v>0</v>
      </c>
    </row>
    <row r="106" spans="31:54">
      <c r="AF106" s="151">
        <v>10</v>
      </c>
      <c r="AH106" s="151">
        <f t="shared" ref="AH106:AW106" si="25">SUM(AH$23:AH$82)</f>
        <v>337</v>
      </c>
      <c r="AI106" s="151">
        <f t="shared" si="25"/>
        <v>260</v>
      </c>
      <c r="AJ106" s="151">
        <f t="shared" si="25"/>
        <v>176</v>
      </c>
      <c r="AK106" s="151">
        <f t="shared" si="25"/>
        <v>1940</v>
      </c>
      <c r="AL106" s="151">
        <f t="shared" si="25"/>
        <v>887</v>
      </c>
      <c r="AM106" s="151">
        <f t="shared" si="25"/>
        <v>0</v>
      </c>
      <c r="AN106" s="151">
        <f t="shared" si="25"/>
        <v>73</v>
      </c>
      <c r="AO106" s="151">
        <f t="shared" si="25"/>
        <v>82</v>
      </c>
      <c r="AP106" s="151">
        <f t="shared" si="25"/>
        <v>293</v>
      </c>
      <c r="AQ106" s="151">
        <f t="shared" si="25"/>
        <v>29</v>
      </c>
      <c r="AR106" s="151">
        <f t="shared" si="25"/>
        <v>0</v>
      </c>
      <c r="AS106" s="151">
        <f t="shared" si="25"/>
        <v>0</v>
      </c>
      <c r="AT106" s="151">
        <f t="shared" si="25"/>
        <v>63</v>
      </c>
      <c r="AU106" s="151">
        <f t="shared" si="25"/>
        <v>0</v>
      </c>
      <c r="AV106" s="151">
        <f t="shared" si="25"/>
        <v>30</v>
      </c>
      <c r="AW106" s="151">
        <f t="shared" si="25"/>
        <v>1755</v>
      </c>
      <c r="AX106" s="151">
        <f>SUM(AX$23:AX$82)</f>
        <v>277</v>
      </c>
      <c r="AY106" s="151">
        <f>SUM(AY$23:AY$82)</f>
        <v>0</v>
      </c>
      <c r="AZ106" s="151">
        <f t="shared" ref="AZ106:BB106" si="26">SUM(AZ$23:AZ$82)</f>
        <v>0</v>
      </c>
      <c r="BA106" s="151">
        <f t="shared" si="26"/>
        <v>0</v>
      </c>
      <c r="BB106" s="151">
        <f t="shared" si="26"/>
        <v>0</v>
      </c>
    </row>
    <row r="107" spans="31:54">
      <c r="AF107" s="151">
        <v>11</v>
      </c>
      <c r="AH107" s="151">
        <f t="shared" ref="AH107:BB107" si="27">SUM(AH$23:AH$88)</f>
        <v>473</v>
      </c>
      <c r="AI107" s="151">
        <f t="shared" si="27"/>
        <v>327</v>
      </c>
      <c r="AJ107" s="151">
        <f t="shared" si="27"/>
        <v>207</v>
      </c>
      <c r="AK107" s="151">
        <f t="shared" si="27"/>
        <v>2540</v>
      </c>
      <c r="AL107" s="151">
        <f t="shared" si="27"/>
        <v>1017</v>
      </c>
      <c r="AM107" s="151">
        <f t="shared" si="27"/>
        <v>0</v>
      </c>
      <c r="AN107" s="151">
        <f t="shared" si="27"/>
        <v>103</v>
      </c>
      <c r="AO107" s="151">
        <f t="shared" si="27"/>
        <v>82</v>
      </c>
      <c r="AP107" s="151">
        <f t="shared" si="27"/>
        <v>293</v>
      </c>
      <c r="AQ107" s="151">
        <f t="shared" si="27"/>
        <v>29</v>
      </c>
      <c r="AR107" s="151">
        <f t="shared" si="27"/>
        <v>0</v>
      </c>
      <c r="AS107" s="151">
        <f t="shared" si="27"/>
        <v>0</v>
      </c>
      <c r="AT107" s="151">
        <f t="shared" si="27"/>
        <v>118</v>
      </c>
      <c r="AU107" s="151">
        <f t="shared" si="27"/>
        <v>8</v>
      </c>
      <c r="AV107" s="151">
        <f t="shared" si="27"/>
        <v>30</v>
      </c>
      <c r="AW107" s="151">
        <f t="shared" si="27"/>
        <v>2355</v>
      </c>
      <c r="AX107" s="151">
        <f t="shared" si="27"/>
        <v>277</v>
      </c>
      <c r="AY107" s="151">
        <f t="shared" si="27"/>
        <v>0</v>
      </c>
      <c r="AZ107" s="151">
        <f t="shared" si="27"/>
        <v>0</v>
      </c>
      <c r="BA107" s="151">
        <f t="shared" si="27"/>
        <v>0</v>
      </c>
      <c r="BB107" s="151">
        <f t="shared" si="27"/>
        <v>0</v>
      </c>
    </row>
    <row r="108" spans="31:54">
      <c r="AF108" s="151">
        <v>12</v>
      </c>
      <c r="AH108" s="151">
        <f t="shared" ref="AH108:BB108" si="28">SUM(AH$23:AH$94)</f>
        <v>529</v>
      </c>
      <c r="AI108" s="151">
        <f t="shared" si="28"/>
        <v>383</v>
      </c>
      <c r="AJ108" s="151">
        <f t="shared" si="28"/>
        <v>263</v>
      </c>
      <c r="AK108" s="151">
        <f t="shared" si="28"/>
        <v>2790</v>
      </c>
      <c r="AL108" s="151">
        <f t="shared" si="28"/>
        <v>1267</v>
      </c>
      <c r="AM108" s="151">
        <f t="shared" si="28"/>
        <v>0</v>
      </c>
      <c r="AN108" s="151">
        <f t="shared" si="28"/>
        <v>103</v>
      </c>
      <c r="AO108" s="151">
        <f t="shared" si="28"/>
        <v>97</v>
      </c>
      <c r="AP108" s="151">
        <f t="shared" si="28"/>
        <v>299</v>
      </c>
      <c r="AQ108" s="151">
        <f t="shared" si="28"/>
        <v>43</v>
      </c>
      <c r="AR108" s="151">
        <f t="shared" si="28"/>
        <v>0</v>
      </c>
      <c r="AS108" s="151">
        <f t="shared" si="28"/>
        <v>0</v>
      </c>
      <c r="AT108" s="151">
        <f t="shared" si="28"/>
        <v>118</v>
      </c>
      <c r="AU108" s="151">
        <f t="shared" si="28"/>
        <v>8</v>
      </c>
      <c r="AV108" s="151">
        <f t="shared" si="28"/>
        <v>30</v>
      </c>
      <c r="AW108" s="151">
        <f t="shared" si="28"/>
        <v>2855</v>
      </c>
      <c r="AX108" s="151">
        <f t="shared" si="28"/>
        <v>277</v>
      </c>
      <c r="AY108" s="151">
        <f t="shared" si="28"/>
        <v>0</v>
      </c>
      <c r="AZ108" s="151">
        <f t="shared" si="28"/>
        <v>0</v>
      </c>
      <c r="BA108" s="151">
        <f t="shared" si="28"/>
        <v>0</v>
      </c>
      <c r="BB108" s="151">
        <f t="shared" si="28"/>
        <v>0</v>
      </c>
    </row>
    <row r="110" spans="31:54">
      <c r="AF110" s="151" t="s">
        <v>1095</v>
      </c>
      <c r="AG110" s="151">
        <f>$V$2</f>
        <v>12</v>
      </c>
      <c r="AH110" s="50" t="s">
        <v>3</v>
      </c>
      <c r="AI110" s="50" t="s">
        <v>4</v>
      </c>
      <c r="AJ110" s="50" t="s">
        <v>5</v>
      </c>
      <c r="AK110" s="50" t="s">
        <v>103</v>
      </c>
      <c r="AL110" s="50" t="s">
        <v>14</v>
      </c>
      <c r="AM110" s="50" t="s">
        <v>47</v>
      </c>
      <c r="AN110" s="50" t="s">
        <v>35</v>
      </c>
      <c r="AO110" s="50" t="s">
        <v>38</v>
      </c>
      <c r="AP110" s="50" t="s">
        <v>34</v>
      </c>
      <c r="AQ110" s="50" t="s">
        <v>56</v>
      </c>
      <c r="AR110" s="50" t="s">
        <v>84</v>
      </c>
      <c r="AS110" s="50" t="s">
        <v>98</v>
      </c>
      <c r="AT110" s="50" t="s">
        <v>2099</v>
      </c>
      <c r="AU110" s="119" t="s">
        <v>1874</v>
      </c>
      <c r="AV110" s="50" t="s">
        <v>91</v>
      </c>
      <c r="AW110" s="50" t="s">
        <v>13</v>
      </c>
      <c r="AX110" s="50" t="s">
        <v>18</v>
      </c>
      <c r="AY110" s="51" t="s">
        <v>71</v>
      </c>
      <c r="AZ110" s="50" t="s">
        <v>130</v>
      </c>
      <c r="BA110" s="141" t="s">
        <v>1867</v>
      </c>
      <c r="BB110" s="141" t="s">
        <v>1877</v>
      </c>
    </row>
    <row r="111" spans="31:54">
      <c r="AE111" s="151" t="str">
        <f>英雄对比!$C$19</f>
        <v>×</v>
      </c>
      <c r="AF111" s="151" t="str">
        <f>IFERROR(VLOOKUP($AG111,装备属性!$A:$B,2,0),"暂无")</f>
        <v>暂无</v>
      </c>
      <c r="AG111" s="151">
        <f>IF($AE111="√",VLOOKUP($AG$110,$V$42:$AC$53,3,0),0)</f>
        <v>0</v>
      </c>
      <c r="AH111" s="151">
        <f>IFERROR(VLOOKUP($AG111,装备属性!$A:$Y,5,0),0)</f>
        <v>0</v>
      </c>
      <c r="AI111" s="151">
        <f>IFERROR(VLOOKUP($AG111,装备属性!$A:$Y,6,0),0)</f>
        <v>0</v>
      </c>
      <c r="AJ111" s="151">
        <f>IFERROR(VLOOKUP($AG111,装备属性!$A:$Y,7,0),0)</f>
        <v>0</v>
      </c>
      <c r="AK111" s="151">
        <f>IFERROR(VLOOKUP($AG111,装备属性!$A:$Y,8,0),0)</f>
        <v>0</v>
      </c>
      <c r="AL111" s="151">
        <f>IFERROR(VLOOKUP($AG111,装备属性!$A:$Y,9,0),0)</f>
        <v>0</v>
      </c>
      <c r="AM111" s="151">
        <f>IFERROR(VLOOKUP($AG111,装备属性!$A:$Y,10,0),0)</f>
        <v>0</v>
      </c>
      <c r="AN111" s="151">
        <f>IFERROR(VLOOKUP($AG111,装备属性!$A:$Y,11,0),0)</f>
        <v>0</v>
      </c>
      <c r="AO111" s="151">
        <f>IFERROR(VLOOKUP($AG111,装备属性!$A:$Y,12,0),0)</f>
        <v>0</v>
      </c>
      <c r="AP111" s="151">
        <f>IFERROR(VLOOKUP($AG111,装备属性!$A:$Y,13,0),0)</f>
        <v>0</v>
      </c>
      <c r="AQ111" s="151">
        <f>IFERROR(VLOOKUP($AG111,装备属性!$A:$Y,14,0),0)</f>
        <v>0</v>
      </c>
      <c r="AR111" s="151">
        <f>IFERROR(VLOOKUP($AG111,装备属性!$A:$Y,15,0),0)</f>
        <v>0</v>
      </c>
      <c r="AS111" s="151">
        <f>IFERROR(VLOOKUP($AG111,装备属性!$A:$Y,16,0),0)</f>
        <v>0</v>
      </c>
      <c r="AT111" s="151">
        <f>IFERROR(VLOOKUP($AG111,装备属性!$A:$Y,17,0),0)</f>
        <v>0</v>
      </c>
      <c r="AU111" s="151">
        <f>IFERROR(VLOOKUP($AG111,装备属性!$A:$Y,18,0),0)</f>
        <v>0</v>
      </c>
      <c r="AV111" s="151">
        <f>IFERROR(VLOOKUP($AG111,装备属性!$A:$Y,19,0),0)</f>
        <v>0</v>
      </c>
      <c r="AW111" s="151">
        <f>IFERROR(VLOOKUP($AG111,装备属性!$A:$Y,20,0),0)</f>
        <v>0</v>
      </c>
      <c r="AX111" s="151">
        <f>IFERROR(VLOOKUP($AG111,装备属性!$A:$Y,21,0),0)</f>
        <v>0</v>
      </c>
      <c r="AY111" s="151">
        <f>IFERROR(VLOOKUP($AG111,装备属性!$A:$Y,22,0),0)</f>
        <v>0</v>
      </c>
      <c r="AZ111" s="151">
        <f>IFERROR(VLOOKUP($AG111,装备属性!$A:$Y,23,0),0)</f>
        <v>0</v>
      </c>
      <c r="BA111" s="151">
        <f>IFERROR(VLOOKUP($AG111,装备属性!$A:$Y,24,0),0)</f>
        <v>0</v>
      </c>
      <c r="BB111" s="151">
        <f>IFERROR(VLOOKUP($AG111,装备属性!$A:$Y,25,0),0)</f>
        <v>0</v>
      </c>
    </row>
    <row r="112" spans="31:54">
      <c r="AE112" s="151" t="str">
        <f>英雄对比!$D$19</f>
        <v>√</v>
      </c>
      <c r="AF112" s="151" t="str">
        <f>IFERROR(VLOOKUP($AG112,装备属性!$A:$B,2,0),"暂无")</f>
        <v>紫装</v>
      </c>
      <c r="AG112" s="151" t="str">
        <f>IF($AE112="√",VLOOKUP($AG$110,$V$42:$AC$53,4,0),0)</f>
        <v>大天使之剑</v>
      </c>
      <c r="AH112" s="151">
        <f>IFERROR(VLOOKUP($AG112,装备属性!$A:$Y,5,0),0)</f>
        <v>0</v>
      </c>
      <c r="AI112" s="151">
        <f>IFERROR(VLOOKUP($AG112,装备属性!$A:$Y,6,0),0)</f>
        <v>0</v>
      </c>
      <c r="AJ112" s="151">
        <f>IFERROR(VLOOKUP($AG112,装备属性!$A:$Y,7,0),0)</f>
        <v>0</v>
      </c>
      <c r="AK112" s="151">
        <f>IFERROR(VLOOKUP($AG112,装备属性!$A:$Y,8,0),0)</f>
        <v>250</v>
      </c>
      <c r="AL112" s="151">
        <f>IFERROR(VLOOKUP($AG112,装备属性!$A:$Y,9,0),0)</f>
        <v>85</v>
      </c>
      <c r="AM112" s="151">
        <f>IFERROR(VLOOKUP($AG112,装备属性!$A:$Y,10,0),0)</f>
        <v>0</v>
      </c>
      <c r="AN112" s="151">
        <f>IFERROR(VLOOKUP($AG112,装备属性!$A:$Y,11,0),0)</f>
        <v>0</v>
      </c>
      <c r="AO112" s="151">
        <f>IFERROR(VLOOKUP($AG112,装备属性!$A:$Y,12,0),0)</f>
        <v>0</v>
      </c>
      <c r="AP112" s="151">
        <f>IFERROR(VLOOKUP($AG112,装备属性!$A:$Y,13,0),0)</f>
        <v>0</v>
      </c>
      <c r="AQ112" s="151">
        <f>IFERROR(VLOOKUP($AG112,装备属性!$A:$Y,14,0),0)</f>
        <v>14</v>
      </c>
      <c r="AR112" s="151">
        <f>IFERROR(VLOOKUP($AG112,装备属性!$A:$Y,15,0),0)</f>
        <v>0</v>
      </c>
      <c r="AS112" s="151">
        <f>IFERROR(VLOOKUP($AG112,装备属性!$A:$Y,16,0),0)</f>
        <v>0</v>
      </c>
      <c r="AT112" s="151">
        <f>IFERROR(VLOOKUP($AG112,装备属性!$A:$Y,17,0),0)</f>
        <v>0</v>
      </c>
      <c r="AU112" s="151">
        <f>IFERROR(VLOOKUP($AG112,装备属性!$A:$Y,18,0),0)</f>
        <v>0</v>
      </c>
      <c r="AV112" s="151">
        <f>IFERROR(VLOOKUP($AG112,装备属性!$A:$Y,19,0),0)</f>
        <v>0</v>
      </c>
      <c r="AW112" s="151">
        <f>IFERROR(VLOOKUP($AG112,装备属性!$A:$Y,20,0),0)</f>
        <v>0</v>
      </c>
      <c r="AX112" s="151">
        <f>IFERROR(VLOOKUP($AG112,装备属性!$A:$Y,21,0),0)</f>
        <v>0</v>
      </c>
      <c r="AY112" s="151">
        <f>IFERROR(VLOOKUP($AG112,装备属性!$A:$Y,22,0),0)</f>
        <v>0</v>
      </c>
      <c r="AZ112" s="151">
        <f>IFERROR(VLOOKUP($AG112,装备属性!$A:$Y,23,0),0)</f>
        <v>0</v>
      </c>
      <c r="BA112" s="151">
        <f>IFERROR(VLOOKUP($AG112,装备属性!$A:$Y,24,0),0)</f>
        <v>0</v>
      </c>
      <c r="BB112" s="151">
        <f>IFERROR(VLOOKUP($AG112,装备属性!$A:$Y,25,0),0)</f>
        <v>0</v>
      </c>
    </row>
    <row r="113" spans="30:54">
      <c r="AE113" s="151" t="str">
        <f>英雄对比!$E$19</f>
        <v>√</v>
      </c>
      <c r="AF113" s="151" t="str">
        <f>IFERROR(VLOOKUP($AG113,装备属性!$A:$B,2,0),"暂无")</f>
        <v>紫装</v>
      </c>
      <c r="AG113" s="151" t="str">
        <f>IF($AE113="√",VLOOKUP($AG$110,$V$42:$AC$53,5,0),0)</f>
        <v>林肯</v>
      </c>
      <c r="AH113" s="151">
        <f>IFERROR(VLOOKUP($AG113,装备属性!$A:$Y,5,0),0)</f>
        <v>15</v>
      </c>
      <c r="AI113" s="151">
        <f>IFERROR(VLOOKUP($AG113,装备属性!$A:$Y,6,0),0)</f>
        <v>15</v>
      </c>
      <c r="AJ113" s="151">
        <f>IFERROR(VLOOKUP($AG113,装备属性!$A:$Y,7,0),0)</f>
        <v>15</v>
      </c>
      <c r="AK113" s="151">
        <f>IFERROR(VLOOKUP($AG113,装备属性!$A:$Y,8,0),0)</f>
        <v>0</v>
      </c>
      <c r="AL113" s="151">
        <f>IFERROR(VLOOKUP($AG113,装备属性!$A:$Y,9,0),0)</f>
        <v>10</v>
      </c>
      <c r="AM113" s="151">
        <f>IFERROR(VLOOKUP($AG113,装备属性!$A:$Y,10,0),0)</f>
        <v>0</v>
      </c>
      <c r="AN113" s="151">
        <f>IFERROR(VLOOKUP($AG113,装备属性!$A:$Y,11,0),0)</f>
        <v>0</v>
      </c>
      <c r="AO113" s="151">
        <f>IFERROR(VLOOKUP($AG113,装备属性!$A:$Y,12,0),0)</f>
        <v>15</v>
      </c>
      <c r="AP113" s="151">
        <f>IFERROR(VLOOKUP($AG113,装备属性!$A:$Y,13,0),0)</f>
        <v>0</v>
      </c>
      <c r="AQ113" s="151">
        <f>IFERROR(VLOOKUP($AG113,装备属性!$A:$Y,14,0),0)</f>
        <v>0</v>
      </c>
      <c r="AR113" s="151">
        <f>IFERROR(VLOOKUP($AG113,装备属性!$A:$Y,15,0),0)</f>
        <v>0</v>
      </c>
      <c r="AS113" s="151">
        <f>IFERROR(VLOOKUP($AG113,装备属性!$A:$Y,16,0),0)</f>
        <v>0</v>
      </c>
      <c r="AT113" s="151">
        <f>IFERROR(VLOOKUP($AG113,装备属性!$A:$Y,17,0),0)</f>
        <v>0</v>
      </c>
      <c r="AU113" s="151">
        <f>IFERROR(VLOOKUP($AG113,装备属性!$A:$Y,18,0),0)</f>
        <v>0</v>
      </c>
      <c r="AV113" s="151">
        <f>IFERROR(VLOOKUP($AG113,装备属性!$A:$Y,19,0),0)</f>
        <v>0</v>
      </c>
      <c r="AW113" s="151">
        <f>IFERROR(VLOOKUP($AG113,装备属性!$A:$Y,20,0),0)</f>
        <v>0</v>
      </c>
      <c r="AX113" s="151">
        <f>IFERROR(VLOOKUP($AG113,装备属性!$A:$Y,21,0),0)</f>
        <v>0</v>
      </c>
      <c r="AY113" s="151">
        <f>IFERROR(VLOOKUP($AG113,装备属性!$A:$Y,22,0),0)</f>
        <v>0</v>
      </c>
      <c r="AZ113" s="151">
        <f>IFERROR(VLOOKUP($AG113,装备属性!$A:$Y,23,0),0)</f>
        <v>0</v>
      </c>
      <c r="BA113" s="151">
        <f>IFERROR(VLOOKUP($AG113,装备属性!$A:$Y,24,0),0)</f>
        <v>0</v>
      </c>
      <c r="BB113" s="151">
        <f>IFERROR(VLOOKUP($AG113,装备属性!$A:$Y,25,0),0)</f>
        <v>0</v>
      </c>
    </row>
    <row r="114" spans="30:54">
      <c r="AE114" s="151" t="str">
        <f>英雄对比!$F$19</f>
        <v>√</v>
      </c>
      <c r="AF114" s="151" t="str">
        <f>IFERROR(VLOOKUP($AG114,装备属性!$A:$B,2,0),"暂无")</f>
        <v>紫装</v>
      </c>
      <c r="AG114" s="151" t="str">
        <f>IF($AE114="√",VLOOKUP($AG$110,$V$42:$AC$53,6,0),0)</f>
        <v>恶魔之矢</v>
      </c>
      <c r="AH114" s="151">
        <f>IFERROR(VLOOKUP($AG114,装备属性!$A:$Y,5,0),0)</f>
        <v>0</v>
      </c>
      <c r="AI114" s="151">
        <f>IFERROR(VLOOKUP($AG114,装备属性!$A:$Y,6,0),0)</f>
        <v>0</v>
      </c>
      <c r="AJ114" s="151">
        <f>IFERROR(VLOOKUP($AG114,装备属性!$A:$Y,7,0),0)</f>
        <v>0</v>
      </c>
      <c r="AK114" s="151">
        <f>IFERROR(VLOOKUP($AG114,装备属性!$A:$Y,8,0),0)</f>
        <v>0</v>
      </c>
      <c r="AL114" s="151">
        <f>IFERROR(VLOOKUP($AG114,装备属性!$A:$Y,9,0),0)</f>
        <v>30</v>
      </c>
      <c r="AM114" s="151">
        <f>IFERROR(VLOOKUP($AG114,装备属性!$A:$Y,10,0),0)</f>
        <v>0</v>
      </c>
      <c r="AN114" s="151">
        <f>IFERROR(VLOOKUP($AG114,装备属性!$A:$Y,11,0),0)</f>
        <v>0</v>
      </c>
      <c r="AO114" s="151">
        <f>IFERROR(VLOOKUP($AG114,装备属性!$A:$Y,12,0),0)</f>
        <v>0</v>
      </c>
      <c r="AP114" s="151">
        <f>IFERROR(VLOOKUP($AG114,装备属性!$A:$Y,13,0),0)</f>
        <v>6</v>
      </c>
      <c r="AQ114" s="151">
        <f>IFERROR(VLOOKUP($AG114,装备属性!$A:$Y,14,0),0)</f>
        <v>0</v>
      </c>
      <c r="AR114" s="151">
        <f>IFERROR(VLOOKUP($AG114,装备属性!$A:$Y,15,0),0)</f>
        <v>0</v>
      </c>
      <c r="AS114" s="151">
        <f>IFERROR(VLOOKUP($AG114,装备属性!$A:$Y,16,0),0)</f>
        <v>0</v>
      </c>
      <c r="AT114" s="151">
        <f>IFERROR(VLOOKUP($AG114,装备属性!$A:$Y,17,0),0)</f>
        <v>0</v>
      </c>
      <c r="AU114" s="151">
        <f>IFERROR(VLOOKUP($AG114,装备属性!$A:$Y,18,0),0)</f>
        <v>0</v>
      </c>
      <c r="AV114" s="151">
        <f>IFERROR(VLOOKUP($AG114,装备属性!$A:$Y,19,0),0)</f>
        <v>0</v>
      </c>
      <c r="AW114" s="151">
        <f>IFERROR(VLOOKUP($AG114,装备属性!$A:$Y,20,0),0)</f>
        <v>0</v>
      </c>
      <c r="AX114" s="151">
        <f>IFERROR(VLOOKUP($AG114,装备属性!$A:$Y,21,0),0)</f>
        <v>0</v>
      </c>
      <c r="AY114" s="151">
        <f>IFERROR(VLOOKUP($AG114,装备属性!$A:$Y,22,0),0)</f>
        <v>0</v>
      </c>
      <c r="AZ114" s="151">
        <f>IFERROR(VLOOKUP($AG114,装备属性!$A:$Y,23,0),0)</f>
        <v>0</v>
      </c>
      <c r="BA114" s="151">
        <f>IFERROR(VLOOKUP($AG114,装备属性!$A:$Y,24,0),0)</f>
        <v>0</v>
      </c>
      <c r="BB114" s="151">
        <f>IFERROR(VLOOKUP($AG114,装备属性!$A:$Y,25,0),0)</f>
        <v>0</v>
      </c>
    </row>
    <row r="115" spans="30:54">
      <c r="AE115" s="151" t="str">
        <f>英雄对比!$G$19</f>
        <v>√</v>
      </c>
      <c r="AF115" s="151" t="str">
        <f>IFERROR(VLOOKUP($AG115,装备属性!$A:$B,2,0),"暂无")</f>
        <v>紫装</v>
      </c>
      <c r="AG115" s="151" t="str">
        <f>IF($AE115="√",VLOOKUP($AG$110,$V$42:$AC$53,7,0),0)</f>
        <v>疾行鞋</v>
      </c>
      <c r="AH115" s="151">
        <f>IFERROR(VLOOKUP($AG115,装备属性!$A:$Y,5,0),0)</f>
        <v>31</v>
      </c>
      <c r="AI115" s="151">
        <f>IFERROR(VLOOKUP($AG115,装备属性!$A:$Y,6,0),0)</f>
        <v>31</v>
      </c>
      <c r="AJ115" s="151">
        <f>IFERROR(VLOOKUP($AG115,装备属性!$A:$Y,7,0),0)</f>
        <v>31</v>
      </c>
      <c r="AK115" s="151">
        <f>IFERROR(VLOOKUP($AG115,装备属性!$A:$Y,8,0),0)</f>
        <v>0</v>
      </c>
      <c r="AL115" s="151">
        <f>IFERROR(VLOOKUP($AG115,装备属性!$A:$Y,9,0),0)</f>
        <v>0</v>
      </c>
      <c r="AM115" s="151">
        <f>IFERROR(VLOOKUP($AG115,装备属性!$A:$Y,10,0),0)</f>
        <v>0</v>
      </c>
      <c r="AN115" s="151">
        <f>IFERROR(VLOOKUP($AG115,装备属性!$A:$Y,11,0),0)</f>
        <v>0</v>
      </c>
      <c r="AO115" s="151">
        <f>IFERROR(VLOOKUP($AG115,装备属性!$A:$Y,12,0),0)</f>
        <v>0</v>
      </c>
      <c r="AP115" s="151">
        <f>IFERROR(VLOOKUP($AG115,装备属性!$A:$Y,13,0),0)</f>
        <v>0</v>
      </c>
      <c r="AQ115" s="151">
        <f>IFERROR(VLOOKUP($AG115,装备属性!$A:$Y,14,0),0)</f>
        <v>0</v>
      </c>
      <c r="AR115" s="151">
        <f>IFERROR(VLOOKUP($AG115,装备属性!$A:$Y,15,0),0)</f>
        <v>0</v>
      </c>
      <c r="AS115" s="151">
        <f>IFERROR(VLOOKUP($AG115,装备属性!$A:$Y,16,0),0)</f>
        <v>0</v>
      </c>
      <c r="AT115" s="151">
        <f>IFERROR(VLOOKUP($AG115,装备属性!$A:$Y,17,0),0)</f>
        <v>0</v>
      </c>
      <c r="AU115" s="151">
        <f>IFERROR(VLOOKUP($AG115,装备属性!$A:$Y,18,0),0)</f>
        <v>0</v>
      </c>
      <c r="AV115" s="151">
        <f>IFERROR(VLOOKUP($AG115,装备属性!$A:$Y,19,0),0)</f>
        <v>0</v>
      </c>
      <c r="AW115" s="151">
        <f>IFERROR(VLOOKUP($AG115,装备属性!$A:$Y,20,0),0)</f>
        <v>0</v>
      </c>
      <c r="AX115" s="151">
        <f>IFERROR(VLOOKUP($AG115,装备属性!$A:$Y,21,0),0)</f>
        <v>0</v>
      </c>
      <c r="AY115" s="151">
        <f>IFERROR(VLOOKUP($AG115,装备属性!$A:$Y,22,0),0)</f>
        <v>0</v>
      </c>
      <c r="AZ115" s="151">
        <f>IFERROR(VLOOKUP($AG115,装备属性!$A:$Y,23,0),0)</f>
        <v>0</v>
      </c>
      <c r="BA115" s="151">
        <f>IFERROR(VLOOKUP($AG115,装备属性!$A:$Y,24,0),0)</f>
        <v>0</v>
      </c>
      <c r="BB115" s="151">
        <f>IFERROR(VLOOKUP($AG115,装备属性!$A:$Y,25,0),0)</f>
        <v>0</v>
      </c>
    </row>
    <row r="116" spans="30:54">
      <c r="AE116" s="151" t="str">
        <f>英雄对比!$H$19</f>
        <v>×</v>
      </c>
      <c r="AF116" s="151" t="str">
        <f>IFERROR(VLOOKUP($AG116,装备属性!$A:$B,2,0),"暂无")</f>
        <v>暂无</v>
      </c>
      <c r="AG116" s="151">
        <f>IF($AE116="√",VLOOKUP($AG$110,$V$42:$AC$53,8,0),0)</f>
        <v>0</v>
      </c>
      <c r="AH116" s="151">
        <f>IFERROR(VLOOKUP($AG116,装备属性!$A:$Y,5,0),0)</f>
        <v>0</v>
      </c>
      <c r="AI116" s="151">
        <f>IFERROR(VLOOKUP($AG116,装备属性!$A:$Y,6,0),0)</f>
        <v>0</v>
      </c>
      <c r="AJ116" s="151">
        <f>IFERROR(VLOOKUP($AG116,装备属性!$A:$Y,7,0),0)</f>
        <v>0</v>
      </c>
      <c r="AK116" s="151">
        <f>IFERROR(VLOOKUP($AG116,装备属性!$A:$Y,8,0),0)</f>
        <v>0</v>
      </c>
      <c r="AL116" s="151">
        <f>IFERROR(VLOOKUP($AG116,装备属性!$A:$Y,9,0),0)</f>
        <v>0</v>
      </c>
      <c r="AM116" s="151">
        <f>IFERROR(VLOOKUP($AG116,装备属性!$A:$Y,10,0),0)</f>
        <v>0</v>
      </c>
      <c r="AN116" s="151">
        <f>IFERROR(VLOOKUP($AG116,装备属性!$A:$Y,11,0),0)</f>
        <v>0</v>
      </c>
      <c r="AO116" s="151">
        <f>IFERROR(VLOOKUP($AG116,装备属性!$A:$Y,12,0),0)</f>
        <v>0</v>
      </c>
      <c r="AP116" s="151">
        <f>IFERROR(VLOOKUP($AG116,装备属性!$A:$Y,13,0),0)</f>
        <v>0</v>
      </c>
      <c r="AQ116" s="151">
        <f>IFERROR(VLOOKUP($AG116,装备属性!$A:$Y,14,0),0)</f>
        <v>0</v>
      </c>
      <c r="AR116" s="151">
        <f>IFERROR(VLOOKUP($AG116,装备属性!$A:$Y,15,0),0)</f>
        <v>0</v>
      </c>
      <c r="AS116" s="151">
        <f>IFERROR(VLOOKUP($AG116,装备属性!$A:$Y,16,0),0)</f>
        <v>0</v>
      </c>
      <c r="AT116" s="151">
        <f>IFERROR(VLOOKUP($AG116,装备属性!$A:$Y,17,0),0)</f>
        <v>0</v>
      </c>
      <c r="AU116" s="151">
        <f>IFERROR(VLOOKUP($AG116,装备属性!$A:$Y,18,0),0)</f>
        <v>0</v>
      </c>
      <c r="AV116" s="151">
        <f>IFERROR(VLOOKUP($AG116,装备属性!$A:$Y,19,0),0)</f>
        <v>0</v>
      </c>
      <c r="AW116" s="151">
        <f>IFERROR(VLOOKUP($AG116,装备属性!$A:$Y,20,0),0)</f>
        <v>0</v>
      </c>
      <c r="AX116" s="151">
        <f>IFERROR(VLOOKUP($AG116,装备属性!$A:$Y,21,0),0)</f>
        <v>0</v>
      </c>
      <c r="AY116" s="151">
        <f>IFERROR(VLOOKUP($AG116,装备属性!$A:$Y,22,0),0)</f>
        <v>0</v>
      </c>
      <c r="AZ116" s="151">
        <f>IFERROR(VLOOKUP($AG116,装备属性!$A:$Y,23,0),0)</f>
        <v>0</v>
      </c>
      <c r="BA116" s="151">
        <f>IFERROR(VLOOKUP($AG116,装备属性!$A:$Y,24,0),0)</f>
        <v>0</v>
      </c>
      <c r="BB116" s="151">
        <f>IFERROR(VLOOKUP($AG116,装备属性!$A:$Y,25,0),0)</f>
        <v>0</v>
      </c>
    </row>
    <row r="118" spans="30:54">
      <c r="AF118" s="151" t="s">
        <v>1096</v>
      </c>
      <c r="AH118" s="50" t="s">
        <v>3</v>
      </c>
      <c r="AI118" s="50" t="s">
        <v>4</v>
      </c>
      <c r="AJ118" s="50" t="s">
        <v>5</v>
      </c>
      <c r="AK118" s="50" t="s">
        <v>103</v>
      </c>
      <c r="AL118" s="50" t="s">
        <v>14</v>
      </c>
      <c r="AM118" s="50" t="s">
        <v>47</v>
      </c>
      <c r="AN118" s="50" t="s">
        <v>35</v>
      </c>
      <c r="AO118" s="50" t="s">
        <v>38</v>
      </c>
      <c r="AP118" s="50" t="s">
        <v>34</v>
      </c>
      <c r="AQ118" s="50" t="s">
        <v>56</v>
      </c>
      <c r="AR118" s="50" t="s">
        <v>84</v>
      </c>
      <c r="AS118" s="50" t="s">
        <v>98</v>
      </c>
      <c r="AT118" s="50" t="s">
        <v>2099</v>
      </c>
      <c r="AU118" s="119" t="s">
        <v>1874</v>
      </c>
      <c r="AV118" s="50" t="s">
        <v>91</v>
      </c>
      <c r="AW118" s="50" t="s">
        <v>13</v>
      </c>
      <c r="AX118" s="50" t="s">
        <v>18</v>
      </c>
      <c r="AY118" s="51" t="s">
        <v>71</v>
      </c>
      <c r="AZ118" s="50" t="s">
        <v>130</v>
      </c>
      <c r="BA118" s="141" t="s">
        <v>1867</v>
      </c>
      <c r="BB118" s="141" t="s">
        <v>1877</v>
      </c>
    </row>
    <row r="119" spans="30:54">
      <c r="AF119" s="151">
        <f>HLOOKUP(英雄对比!$C$20,中介表格3!$V$65:$AA$66,2,0)</f>
        <v>0</v>
      </c>
      <c r="AG119" s="151" t="str">
        <f>VLOOKUP($AG$110,$V$42:$AC$53,3,0)</f>
        <v/>
      </c>
      <c r="AH119" s="151">
        <f>IFERROR(VLOOKUP($AG119,装备附魔!$A:$Y,5,0)*$AF119,0)</f>
        <v>0</v>
      </c>
      <c r="AI119" s="151">
        <f>IFERROR(VLOOKUP($AG119,装备附魔!$A:$Y,6,0)*$AF119,0)</f>
        <v>0</v>
      </c>
      <c r="AJ119" s="151">
        <f>IFERROR(VLOOKUP($AG119,装备附魔!$A:$Y,7,0)*$AF119,0)</f>
        <v>0</v>
      </c>
      <c r="AK119" s="151">
        <f>IFERROR(VLOOKUP($AG119,装备附魔!$A:$Y,8,0)*$AF119,0)</f>
        <v>0</v>
      </c>
      <c r="AL119" s="151">
        <f>IFERROR(VLOOKUP($AG119,装备附魔!$A:$Y,9,0)*$AF119,0)</f>
        <v>0</v>
      </c>
      <c r="AM119" s="151">
        <f>IFERROR(VLOOKUP($AG119,装备附魔!$A:$Y,10,0)*$AF119,0)</f>
        <v>0</v>
      </c>
      <c r="AN119" s="151">
        <f>IFERROR(VLOOKUP($AG119,装备附魔!$A:$Y,11,0)*$AF119,0)</f>
        <v>0</v>
      </c>
      <c r="AO119" s="151">
        <f>IFERROR(VLOOKUP($AG119,装备附魔!$A:$Y,12,0)*$AF119,0)</f>
        <v>0</v>
      </c>
      <c r="AP119" s="151">
        <f>IFERROR(VLOOKUP($AG119,装备附魔!$A:$Y,13,0)*$AF119,0)</f>
        <v>0</v>
      </c>
      <c r="AQ119" s="151">
        <f>IFERROR(VLOOKUP($AG119,装备附魔!$A:$Y,14,0)*$AF119,0)</f>
        <v>0</v>
      </c>
      <c r="AR119" s="151">
        <f>IFERROR(VLOOKUP($AG119,装备附魔!$A:$Y,15,0)*$AF119,0)</f>
        <v>0</v>
      </c>
      <c r="AS119" s="151">
        <f>IFERROR(VLOOKUP($AG119,装备附魔!$A:$Y,16,0)*$AF119,0)</f>
        <v>0</v>
      </c>
      <c r="AT119" s="151">
        <f>IFERROR(VLOOKUP($AG119,装备附魔!$A:$Y,17,0)*$AF119,0)</f>
        <v>0</v>
      </c>
      <c r="AU119" s="151">
        <f>IFERROR(VLOOKUP($AG119,装备附魔!$A:$Y,18,0)*$AF119,0)</f>
        <v>0</v>
      </c>
      <c r="AV119" s="151">
        <f>IFERROR(VLOOKUP($AG119,装备附魔!$A:$Y,19,0)*$AF119,0)</f>
        <v>0</v>
      </c>
      <c r="AW119" s="151">
        <f>IFERROR(VLOOKUP($AG119,装备附魔!$A:$Y,20,0)*$AF119,0)</f>
        <v>0</v>
      </c>
      <c r="AX119" s="151">
        <f>IFERROR(VLOOKUP($AG119,装备附魔!$A:$Y,21,0)*$AF119,0)</f>
        <v>0</v>
      </c>
      <c r="AY119" s="151">
        <f>IFERROR(VLOOKUP($AG119,装备附魔!$A:$Y,22,0)*$AF119,0)</f>
        <v>0</v>
      </c>
      <c r="AZ119" s="151">
        <f>IFERROR(VLOOKUP($AG119,装备附魔!$A:$Y,23,0)*$AF119,0)</f>
        <v>0</v>
      </c>
      <c r="BA119" s="151">
        <f>IFERROR(VLOOKUP($AG119,装备附魔!$A:$Y,24,0)*$AF119,0)</f>
        <v>0</v>
      </c>
      <c r="BB119" s="151">
        <f>IFERROR(VLOOKUP($AG119,装备附魔!$A:$Y,25,0)*$AF119,0)</f>
        <v>0</v>
      </c>
    </row>
    <row r="120" spans="30:54">
      <c r="AF120" s="151">
        <f>HLOOKUP(英雄对比!$D$20,中介表格3!$V$65:$AA$66,2,0)</f>
        <v>4</v>
      </c>
      <c r="AG120" s="151" t="str">
        <f>VLOOKUP($AG$110,$V$42:$AC$53,4,0)</f>
        <v>大天使之剑</v>
      </c>
      <c r="AH120" s="151">
        <f>IFERROR(VLOOKUP($AG120,装备附魔!$A:$Y,5,0)*$AF120,0)</f>
        <v>0</v>
      </c>
      <c r="AI120" s="151">
        <f>IFERROR(VLOOKUP($AG120,装备附魔!$A:$Y,6,0)*$AF120,0)</f>
        <v>0</v>
      </c>
      <c r="AJ120" s="151">
        <f>IFERROR(VLOOKUP($AG120,装备附魔!$A:$Y,7,0)*$AF120,0)</f>
        <v>0</v>
      </c>
      <c r="AK120" s="151">
        <f>IFERROR(VLOOKUP($AG120,装备附魔!$A:$Y,8,0)*$AF120,0)</f>
        <v>200</v>
      </c>
      <c r="AL120" s="151">
        <f>IFERROR(VLOOKUP($AG120,装备附魔!$A:$Y,9,0)*$AF120,0)</f>
        <v>88</v>
      </c>
      <c r="AM120" s="151">
        <f>IFERROR(VLOOKUP($AG120,装备附魔!$A:$Y,10,0)*$AF120,0)</f>
        <v>0</v>
      </c>
      <c r="AN120" s="151">
        <f>IFERROR(VLOOKUP($AG120,装备附魔!$A:$Y,11,0)*$AF120,0)</f>
        <v>0</v>
      </c>
      <c r="AO120" s="151">
        <f>IFERROR(VLOOKUP($AG120,装备附魔!$A:$Y,12,0)*$AF120,0)</f>
        <v>0</v>
      </c>
      <c r="AP120" s="151">
        <f>IFERROR(VLOOKUP($AG120,装备附魔!$A:$Y,13,0)*$AF120,0)</f>
        <v>0</v>
      </c>
      <c r="AQ120" s="151">
        <f>IFERROR(VLOOKUP($AG120,装备附魔!$A:$Y,14,0)*$AF120,0)</f>
        <v>8</v>
      </c>
      <c r="AR120" s="151">
        <f>IFERROR(VLOOKUP($AG120,装备附魔!$A:$Y,15,0)*$AF120,0)</f>
        <v>0</v>
      </c>
      <c r="AS120" s="151">
        <f>IFERROR(VLOOKUP($AG120,装备附魔!$A:$Y,16,0)*$AF120,0)</f>
        <v>0</v>
      </c>
      <c r="AT120" s="151">
        <f>IFERROR(VLOOKUP($AG120,装备附魔!$A:$Y,17,0)*$AF120,0)</f>
        <v>0</v>
      </c>
      <c r="AU120" s="151">
        <f>IFERROR(VLOOKUP($AG120,装备附魔!$A:$Y,18,0)*$AF120,0)</f>
        <v>0</v>
      </c>
      <c r="AV120" s="151">
        <f>IFERROR(VLOOKUP($AG120,装备附魔!$A:$Y,19,0)*$AF120,0)</f>
        <v>0</v>
      </c>
      <c r="AW120" s="151">
        <f>IFERROR(VLOOKUP($AG120,装备附魔!$A:$Y,20,0)*$AF120,0)</f>
        <v>0</v>
      </c>
      <c r="AX120" s="151">
        <f>IFERROR(VLOOKUP($AG120,装备附魔!$A:$Y,21,0)*$AF120,0)</f>
        <v>0</v>
      </c>
      <c r="AY120" s="151">
        <f>IFERROR(VLOOKUP($AG120,装备附魔!$A:$Y,22,0)*$AF120,0)</f>
        <v>0</v>
      </c>
      <c r="AZ120" s="151">
        <f>IFERROR(VLOOKUP($AG120,装备附魔!$A:$Y,23,0)*$AF120,0)</f>
        <v>0</v>
      </c>
      <c r="BA120" s="151">
        <f>IFERROR(VLOOKUP($AG120,装备附魔!$A:$Y,24,0)*$AF120,0)</f>
        <v>0</v>
      </c>
      <c r="BB120" s="151">
        <f>IFERROR(VLOOKUP($AG120,装备附魔!$A:$Y,25,0)*$AF120,0)</f>
        <v>0</v>
      </c>
    </row>
    <row r="121" spans="30:54">
      <c r="AF121" s="151">
        <f>HLOOKUP(英雄对比!$E$20,中介表格3!$V$65:$AA$66,2,0)</f>
        <v>4</v>
      </c>
      <c r="AG121" s="151" t="str">
        <f>VLOOKUP($AG$110,$V$42:$AC$53,5,0)</f>
        <v>林肯</v>
      </c>
      <c r="AH121" s="151">
        <f>IFERROR(VLOOKUP($AG121,装备附魔!$A:$Y,5,0)*$AF121,0)</f>
        <v>16</v>
      </c>
      <c r="AI121" s="151">
        <f>IFERROR(VLOOKUP($AG121,装备附魔!$A:$Y,6,0)*$AF121,0)</f>
        <v>16</v>
      </c>
      <c r="AJ121" s="151">
        <f>IFERROR(VLOOKUP($AG121,装备附魔!$A:$Y,7,0)*$AF121,0)</f>
        <v>16</v>
      </c>
      <c r="AK121" s="151">
        <f>IFERROR(VLOOKUP($AG121,装备附魔!$A:$Y,8,0)*$AF121,0)</f>
        <v>0</v>
      </c>
      <c r="AL121" s="151">
        <f>IFERROR(VLOOKUP($AG121,装备附魔!$A:$Y,9,0)*$AF121,0)</f>
        <v>12</v>
      </c>
      <c r="AM121" s="151">
        <f>IFERROR(VLOOKUP($AG121,装备附魔!$A:$Y,10,0)*$AF121,0)</f>
        <v>0</v>
      </c>
      <c r="AN121" s="151">
        <f>IFERROR(VLOOKUP($AG121,装备附魔!$A:$Y,11,0)*$AF121,0)</f>
        <v>0</v>
      </c>
      <c r="AO121" s="151">
        <f>IFERROR(VLOOKUP($AG121,装备附魔!$A:$Y,12,0)*$AF121,0)</f>
        <v>16</v>
      </c>
      <c r="AP121" s="151">
        <f>IFERROR(VLOOKUP($AG121,装备附魔!$A:$Y,13,0)*$AF121,0)</f>
        <v>0</v>
      </c>
      <c r="AQ121" s="151">
        <f>IFERROR(VLOOKUP($AG121,装备附魔!$A:$Y,14,0)*$AF121,0)</f>
        <v>0</v>
      </c>
      <c r="AR121" s="151">
        <f>IFERROR(VLOOKUP($AG121,装备附魔!$A:$Y,15,0)*$AF121,0)</f>
        <v>0</v>
      </c>
      <c r="AS121" s="151">
        <f>IFERROR(VLOOKUP($AG121,装备附魔!$A:$Y,16,0)*$AF121,0)</f>
        <v>0</v>
      </c>
      <c r="AT121" s="151">
        <f>IFERROR(VLOOKUP($AG121,装备附魔!$A:$Y,17,0)*$AF121,0)</f>
        <v>0</v>
      </c>
      <c r="AU121" s="151">
        <f>IFERROR(VLOOKUP($AG121,装备附魔!$A:$Y,18,0)*$AF121,0)</f>
        <v>0</v>
      </c>
      <c r="AV121" s="151">
        <f>IFERROR(VLOOKUP($AG121,装备附魔!$A:$Y,19,0)*$AF121,0)</f>
        <v>0</v>
      </c>
      <c r="AW121" s="151">
        <f>IFERROR(VLOOKUP($AG121,装备附魔!$A:$Y,20,0)*$AF121,0)</f>
        <v>0</v>
      </c>
      <c r="AX121" s="151">
        <f>IFERROR(VLOOKUP($AG121,装备附魔!$A:$Y,21,0)*$AF121,0)</f>
        <v>0</v>
      </c>
      <c r="AY121" s="151">
        <f>IFERROR(VLOOKUP($AG121,装备附魔!$A:$Y,22,0)*$AF121,0)</f>
        <v>0</v>
      </c>
      <c r="AZ121" s="151">
        <f>IFERROR(VLOOKUP($AG121,装备附魔!$A:$Y,23,0)*$AF121,0)</f>
        <v>0</v>
      </c>
      <c r="BA121" s="151">
        <f>IFERROR(VLOOKUP($AG121,装备附魔!$A:$Y,24,0)*$AF121,0)</f>
        <v>0</v>
      </c>
      <c r="BB121" s="151">
        <f>IFERROR(VLOOKUP($AG121,装备附魔!$A:$Y,25,0)*$AF121,0)</f>
        <v>0</v>
      </c>
    </row>
    <row r="122" spans="30:54">
      <c r="AF122" s="151">
        <f>HLOOKUP(英雄对比!$F$20,中介表格3!$V$65:$AA$66,2,0)</f>
        <v>4</v>
      </c>
      <c r="AG122" s="151" t="str">
        <f>VLOOKUP($AG$110,$V$42:$AC$53,6,0)</f>
        <v>恶魔之矢</v>
      </c>
      <c r="AH122" s="151">
        <f>IFERROR(VLOOKUP($AG122,装备附魔!$A:$Y,5,0)*$AF122,0)</f>
        <v>0</v>
      </c>
      <c r="AI122" s="151">
        <f>IFERROR(VLOOKUP($AG122,装备附魔!$A:$Y,6,0)*$AF122,0)</f>
        <v>0</v>
      </c>
      <c r="AJ122" s="151">
        <f>IFERROR(VLOOKUP($AG122,装备附魔!$A:$Y,7,0)*$AF122,0)</f>
        <v>0</v>
      </c>
      <c r="AK122" s="151">
        <f>IFERROR(VLOOKUP($AG122,装备附魔!$A:$Y,8,0)*$AF122,0)</f>
        <v>0</v>
      </c>
      <c r="AL122" s="151">
        <f>IFERROR(VLOOKUP($AG122,装备附魔!$A:$Y,9,0)*$AF122,0)</f>
        <v>60</v>
      </c>
      <c r="AM122" s="151">
        <f>IFERROR(VLOOKUP($AG122,装备附魔!$A:$Y,10,0)*$AF122,0)</f>
        <v>0</v>
      </c>
      <c r="AN122" s="151">
        <f>IFERROR(VLOOKUP($AG122,装备附魔!$A:$Y,11,0)*$AF122,0)</f>
        <v>0</v>
      </c>
      <c r="AO122" s="151">
        <f>IFERROR(VLOOKUP($AG122,装备附魔!$A:$Y,12,0)*$AF122,0)</f>
        <v>0</v>
      </c>
      <c r="AP122" s="151">
        <f>IFERROR(VLOOKUP($AG122,装备附魔!$A:$Y,13,0)*$AF122,0)</f>
        <v>16</v>
      </c>
      <c r="AQ122" s="151">
        <f>IFERROR(VLOOKUP($AG122,装备附魔!$A:$Y,14,0)*$AF122,0)</f>
        <v>0</v>
      </c>
      <c r="AR122" s="151">
        <f>IFERROR(VLOOKUP($AG122,装备附魔!$A:$Y,15,0)*$AF122,0)</f>
        <v>0</v>
      </c>
      <c r="AS122" s="151">
        <f>IFERROR(VLOOKUP($AG122,装备附魔!$A:$Y,16,0)*$AF122,0)</f>
        <v>0</v>
      </c>
      <c r="AT122" s="151">
        <f>IFERROR(VLOOKUP($AG122,装备附魔!$A:$Y,17,0)*$AF122,0)</f>
        <v>0</v>
      </c>
      <c r="AU122" s="151">
        <f>IFERROR(VLOOKUP($AG122,装备附魔!$A:$Y,18,0)*$AF122,0)</f>
        <v>0</v>
      </c>
      <c r="AV122" s="151">
        <f>IFERROR(VLOOKUP($AG122,装备附魔!$A:$Y,19,0)*$AF122,0)</f>
        <v>0</v>
      </c>
      <c r="AW122" s="151">
        <f>IFERROR(VLOOKUP($AG122,装备附魔!$A:$Y,20,0)*$AF122,0)</f>
        <v>0</v>
      </c>
      <c r="AX122" s="151">
        <f>IFERROR(VLOOKUP($AG122,装备附魔!$A:$Y,21,0)*$AF122,0)</f>
        <v>0</v>
      </c>
      <c r="AY122" s="151">
        <f>IFERROR(VLOOKUP($AG122,装备附魔!$A:$Y,22,0)*$AF122,0)</f>
        <v>0</v>
      </c>
      <c r="AZ122" s="151">
        <f>IFERROR(VLOOKUP($AG122,装备附魔!$A:$Y,23,0)*$AF122,0)</f>
        <v>0</v>
      </c>
      <c r="BA122" s="151">
        <f>IFERROR(VLOOKUP($AG122,装备附魔!$A:$Y,24,0)*$AF122,0)</f>
        <v>0</v>
      </c>
      <c r="BB122" s="151">
        <f>IFERROR(VLOOKUP($AG122,装备附魔!$A:$Y,25,0)*$AF122,0)</f>
        <v>0</v>
      </c>
    </row>
    <row r="123" spans="30:54">
      <c r="AF123" s="151">
        <f>HLOOKUP(英雄对比!$G$20,中介表格3!$V$65:$AA$66,2,0)</f>
        <v>4</v>
      </c>
      <c r="AG123" s="151" t="str">
        <f>VLOOKUP($AG$110,$V$42:$AC$53,7,0)</f>
        <v>疾行鞋</v>
      </c>
      <c r="AH123" s="151">
        <f>IFERROR(VLOOKUP($AG123,装备附魔!$A:$Y,5,0)*$AF123,0)</f>
        <v>24</v>
      </c>
      <c r="AI123" s="151">
        <f>IFERROR(VLOOKUP($AG123,装备附魔!$A:$Y,6,0)*$AF123,0)</f>
        <v>24</v>
      </c>
      <c r="AJ123" s="151">
        <f>IFERROR(VLOOKUP($AG123,装备附魔!$A:$Y,7,0)*$AF123,0)</f>
        <v>24</v>
      </c>
      <c r="AK123" s="151">
        <f>IFERROR(VLOOKUP($AG123,装备附魔!$A:$Y,8,0)*$AF123,0)</f>
        <v>0</v>
      </c>
      <c r="AL123" s="151">
        <f>IFERROR(VLOOKUP($AG123,装备附魔!$A:$Y,9,0)*$AF123,0)</f>
        <v>0</v>
      </c>
      <c r="AM123" s="151">
        <f>IFERROR(VLOOKUP($AG123,装备附魔!$A:$Y,10,0)*$AF123,0)</f>
        <v>0</v>
      </c>
      <c r="AN123" s="151">
        <f>IFERROR(VLOOKUP($AG123,装备附魔!$A:$Y,11,0)*$AF123,0)</f>
        <v>0</v>
      </c>
      <c r="AO123" s="151">
        <f>IFERROR(VLOOKUP($AG123,装备附魔!$A:$Y,12,0)*$AF123,0)</f>
        <v>0</v>
      </c>
      <c r="AP123" s="151">
        <f>IFERROR(VLOOKUP($AG123,装备附魔!$A:$Y,13,0)*$AF123,0)</f>
        <v>0</v>
      </c>
      <c r="AQ123" s="151">
        <f>IFERROR(VLOOKUP($AG123,装备附魔!$A:$Y,14,0)*$AF123,0)</f>
        <v>0</v>
      </c>
      <c r="AR123" s="151">
        <f>IFERROR(VLOOKUP($AG123,装备附魔!$A:$Y,15,0)*$AF123,0)</f>
        <v>0</v>
      </c>
      <c r="AS123" s="151">
        <f>IFERROR(VLOOKUP($AG123,装备附魔!$A:$Y,16,0)*$AF123,0)</f>
        <v>0</v>
      </c>
      <c r="AT123" s="151">
        <f>IFERROR(VLOOKUP($AG123,装备附魔!$A:$Y,17,0)*$AF123,0)</f>
        <v>0</v>
      </c>
      <c r="AU123" s="151">
        <f>IFERROR(VLOOKUP($AG123,装备附魔!$A:$Y,18,0)*$AF123,0)</f>
        <v>0</v>
      </c>
      <c r="AV123" s="151">
        <f>IFERROR(VLOOKUP($AG123,装备附魔!$A:$Y,19,0)*$AF123,0)</f>
        <v>0</v>
      </c>
      <c r="AW123" s="151">
        <f>IFERROR(VLOOKUP($AG123,装备附魔!$A:$Y,20,0)*$AF123,0)</f>
        <v>0</v>
      </c>
      <c r="AX123" s="151">
        <f>IFERROR(VLOOKUP($AG123,装备附魔!$A:$Y,21,0)*$AF123,0)</f>
        <v>0</v>
      </c>
      <c r="AY123" s="151">
        <f>IFERROR(VLOOKUP($AG123,装备附魔!$A:$Y,22,0)*$AF123,0)</f>
        <v>0</v>
      </c>
      <c r="AZ123" s="151">
        <f>IFERROR(VLOOKUP($AG123,装备附魔!$A:$Y,23,0)*$AF123,0)</f>
        <v>0</v>
      </c>
      <c r="BA123" s="151">
        <f>IFERROR(VLOOKUP($AG123,装备附魔!$A:$Y,24,0)*$AF123,0)</f>
        <v>0</v>
      </c>
      <c r="BB123" s="151">
        <f>IFERROR(VLOOKUP($AG123,装备附魔!$A:$Y,25,0)*$AF123,0)</f>
        <v>0</v>
      </c>
    </row>
    <row r="124" spans="30:54">
      <c r="AF124" s="151">
        <f>HLOOKUP(英雄对比!$H$20,中介表格3!$V$65:$AA$66,2,0)</f>
        <v>0</v>
      </c>
      <c r="AG124" s="151" t="str">
        <f>VLOOKUP($AG$110,$V$42:$AC$53,8,0)</f>
        <v>?</v>
      </c>
      <c r="AH124" s="151">
        <f>IFERROR(VLOOKUP($AG124,装备附魔!$A:$Y,5,0)*$AF124,0)</f>
        <v>0</v>
      </c>
      <c r="AI124" s="151">
        <f>IFERROR(VLOOKUP($AG124,装备附魔!$A:$Y,6,0)*$AF124,0)</f>
        <v>0</v>
      </c>
      <c r="AJ124" s="151">
        <f>IFERROR(VLOOKUP($AG124,装备附魔!$A:$Y,7,0)*$AF124,0)</f>
        <v>0</v>
      </c>
      <c r="AK124" s="151">
        <f>IFERROR(VLOOKUP($AG124,装备附魔!$A:$Y,8,0)*$AF124,0)</f>
        <v>0</v>
      </c>
      <c r="AL124" s="151">
        <f>IFERROR(VLOOKUP($AG124,装备附魔!$A:$Y,9,0)*$AF124,0)</f>
        <v>0</v>
      </c>
      <c r="AM124" s="151">
        <f>IFERROR(VLOOKUP($AG124,装备附魔!$A:$Y,10,0)*$AF124,0)</f>
        <v>0</v>
      </c>
      <c r="AN124" s="151">
        <f>IFERROR(VLOOKUP($AG124,装备附魔!$A:$Y,11,0)*$AF124,0)</f>
        <v>0</v>
      </c>
      <c r="AO124" s="151">
        <f>IFERROR(VLOOKUP($AG124,装备附魔!$A:$Y,12,0)*$AF124,0)</f>
        <v>0</v>
      </c>
      <c r="AP124" s="151">
        <f>IFERROR(VLOOKUP($AG124,装备附魔!$A:$Y,13,0)*$AF124,0)</f>
        <v>0</v>
      </c>
      <c r="AQ124" s="151">
        <f>IFERROR(VLOOKUP($AG124,装备附魔!$A:$Y,14,0)*$AF124,0)</f>
        <v>0</v>
      </c>
      <c r="AR124" s="151">
        <f>IFERROR(VLOOKUP($AG124,装备附魔!$A:$Y,15,0)*$AF124,0)</f>
        <v>0</v>
      </c>
      <c r="AS124" s="151">
        <f>IFERROR(VLOOKUP($AG124,装备附魔!$A:$Y,16,0)*$AF124,0)</f>
        <v>0</v>
      </c>
      <c r="AT124" s="151">
        <f>IFERROR(VLOOKUP($AG124,装备附魔!$A:$Y,17,0)*$AF124,0)</f>
        <v>0</v>
      </c>
      <c r="AU124" s="151">
        <f>IFERROR(VLOOKUP($AG124,装备附魔!$A:$Y,18,0)*$AF124,0)</f>
        <v>0</v>
      </c>
      <c r="AV124" s="151">
        <f>IFERROR(VLOOKUP($AG124,装备附魔!$A:$Y,19,0)*$AF124,0)</f>
        <v>0</v>
      </c>
      <c r="AW124" s="151">
        <f>IFERROR(VLOOKUP($AG124,装备附魔!$A:$Y,20,0)*$AF124,0)</f>
        <v>0</v>
      </c>
      <c r="AX124" s="151">
        <f>IFERROR(VLOOKUP($AG124,装备附魔!$A:$Y,21,0)*$AF124,0)</f>
        <v>0</v>
      </c>
      <c r="AY124" s="151">
        <f>IFERROR(VLOOKUP($AG124,装备附魔!$A:$Y,22,0)*$AF124,0)</f>
        <v>0</v>
      </c>
      <c r="AZ124" s="151">
        <f>IFERROR(VLOOKUP($AG124,装备附魔!$A:$Y,23,0)*$AF124,0)</f>
        <v>0</v>
      </c>
      <c r="BA124" s="151">
        <f>IFERROR(VLOOKUP($AG124,装备附魔!$A:$Y,24,0)*$AF124,0)</f>
        <v>0</v>
      </c>
      <c r="BB124" s="151">
        <f>IFERROR(VLOOKUP($AG124,装备附魔!$A:$Y,25,0)*$AF124,0)</f>
        <v>0</v>
      </c>
    </row>
    <row r="127" spans="30:54">
      <c r="AG127" s="48" t="s">
        <v>1741</v>
      </c>
    </row>
    <row r="128" spans="30:54">
      <c r="AD128" s="151">
        <f>IF($AG$128="",,VLOOKUP(英雄对比!$G$2,英雄初始!$A:$AE,20,0))</f>
        <v>0</v>
      </c>
      <c r="AE128" s="151">
        <f>VLOOKUP(英雄对比!$G$2,英雄初始!$A:$AE,24,0)</f>
        <v>0</v>
      </c>
      <c r="AF128" s="151">
        <f>VLOOKUP(英雄对比!$G$2,英雄初始!$A:$AE,28,0)</f>
        <v>0</v>
      </c>
      <c r="AG128" s="56" t="str">
        <f>IF($G$5="",VLOOKUP(英雄对比!$G$2,英雄初始!$A:$AE,16,0),"")</f>
        <v>巨魔用狂野的战吼激发队友的战意，提升所有友军25%的移动速度和攻击速度，并提高攻击力和魔法强度。</v>
      </c>
    </row>
    <row r="129" spans="30:52">
      <c r="AD129" s="151">
        <f>IF($AG$129="",,VLOOKUP(英雄对比!$G$2,英雄初始!$A:$AE,21,0))</f>
        <v>0</v>
      </c>
      <c r="AE129" s="151">
        <f>VLOOKUP(英雄对比!$G$2,英雄初始!$A:$AE,25,0)</f>
        <v>0</v>
      </c>
      <c r="AF129" s="151">
        <f>VLOOKUP(英雄对比!$G$2,英雄初始!$A:$AE,29,0)</f>
        <v>0</v>
      </c>
      <c r="AG129" s="56" t="str">
        <f>IF(AND($V$2&gt;1,$G$5=""),VLOOKUP(英雄对比!$G$2,英雄初始!$A:$AE,17,0),"")</f>
        <v>巨魔扔出3把旋转的飞斧，对前方大片区域造成物理伤害。</v>
      </c>
    </row>
    <row r="130" spans="30:52">
      <c r="AD130" s="151">
        <f>IF($AG$130="",,VLOOKUP(英雄对比!$G$2,英雄初始!$A:$AE,22,0))</f>
        <v>0</v>
      </c>
      <c r="AE130" s="151">
        <f>VLOOKUP(英雄对比!$G$2,英雄初始!$A:$AE,26,0)</f>
        <v>0</v>
      </c>
      <c r="AF130" s="151">
        <f>VLOOKUP(英雄对比!$G$2,英雄初始!$A:$AE,30,0)</f>
        <v>0</v>
      </c>
      <c r="AG130" s="56" t="str">
        <f>IF(AND($V$2&gt;3,$G$5=""),VLOOKUP(英雄对比!$G$2,英雄初始!$A:$AE,18,0),"")</f>
        <v>巨魔不仅投掷飞斧，还会用巨斧砍杀靠近的敌人。</v>
      </c>
    </row>
    <row r="131" spans="30:52">
      <c r="AD131" s="151">
        <f>IF($AG$131="",,VLOOKUP(英雄对比!$G$2,英雄初始!$A:$AE,23,0))</f>
        <v>0</v>
      </c>
      <c r="AE131" s="151">
        <f>VLOOKUP(英雄对比!$G$2,英雄初始!$A:$AE,27,0)</f>
        <v>0</v>
      </c>
      <c r="AF131" s="151">
        <f>VLOOKUP(英雄对比!$G$2,英雄初始!$A:$AE,31,0)</f>
        <v>0</v>
      </c>
      <c r="AG131" s="56" t="str">
        <f>IF(AND($V$2&gt;6,$G$5=""),VLOOKUP(英雄对比!$G$2,英雄初始!$A:$AE,19,0),"")</f>
        <v>被动：巨魔的攻击异常迅捷，大幅提升攻击速度。</v>
      </c>
    </row>
    <row r="133" spans="30:52">
      <c r="AG133" s="234" t="s">
        <v>1742</v>
      </c>
      <c r="AH133" s="232" t="s">
        <v>203</v>
      </c>
      <c r="AI133" s="232" t="s">
        <v>3</v>
      </c>
      <c r="AJ133" s="232">
        <f>IF($AD$128=AI133,$AE$128+英雄对比!$G$4*中介表格3!$AF$128,0)+IF($AD$129=AI133,$AE$129+英雄对比!$G$4*中介表格3!$AF$129,0)+IF($AD$130=AI133,$AE$130+(英雄对比!$G$4-20)*中介表格3!$AF$130,0)+IF($AD$131=AI133,$AE$131+(英雄对比!$G$4-40)*中介表格3!$AF$131,0)</f>
        <v>0</v>
      </c>
      <c r="AK133" s="232" t="s">
        <v>4</v>
      </c>
      <c r="AL133" s="232">
        <f>IF($AD$128=AK133,$AE$128+英雄对比!$G$4*中介表格3!$AF$128,0)+IF($AD$129=AK133,$AE$129+英雄对比!$G$4*中介表格3!$AF$129,0)+IF($AD$130=AK133,$AE$130+(英雄对比!$G$4-20)*中介表格3!$AF$130,0)+IF($AD$131=AK133,$AE$131+(英雄对比!$G$4-40)*中介表格3!$AF$131,0)</f>
        <v>0</v>
      </c>
      <c r="AM133" s="232" t="s">
        <v>5</v>
      </c>
      <c r="AN133" s="232">
        <f>IF($AD$128=AM133,$AE$128+英雄对比!$G$4*中介表格3!$AF$128,0)+IF($AD$129=AM133,$AE$129+英雄对比!$G$4*中介表格3!$AF$129,0)+IF($AD$130=AM133,$AE$130+(英雄对比!$G$4-20)*中介表格3!$AF$130,0)+IF($AD$131=AM133,$AE$131+(英雄对比!$G$4-40)*中介表格3!$AF$131,0)</f>
        <v>0</v>
      </c>
    </row>
    <row r="134" spans="30:52">
      <c r="AG134" s="234"/>
      <c r="AH134" s="232"/>
      <c r="AI134" s="232"/>
      <c r="AJ134" s="232"/>
      <c r="AK134" s="232"/>
      <c r="AL134" s="232"/>
      <c r="AM134" s="232"/>
      <c r="AN134" s="232"/>
    </row>
    <row r="135" spans="30:52">
      <c r="AG135" s="234"/>
      <c r="AH135" s="232" t="s">
        <v>1077</v>
      </c>
      <c r="AI135" s="50" t="s">
        <v>103</v>
      </c>
      <c r="AJ135" s="50" t="s">
        <v>14</v>
      </c>
      <c r="AK135" s="50" t="s">
        <v>47</v>
      </c>
      <c r="AL135" s="50" t="s">
        <v>35</v>
      </c>
      <c r="AM135" s="50" t="s">
        <v>38</v>
      </c>
      <c r="AN135" s="50" t="s">
        <v>34</v>
      </c>
      <c r="AO135" s="50" t="s">
        <v>56</v>
      </c>
      <c r="AP135" s="50" t="s">
        <v>84</v>
      </c>
      <c r="AQ135" s="50" t="s">
        <v>98</v>
      </c>
      <c r="AR135" s="50" t="s">
        <v>2099</v>
      </c>
      <c r="AS135" s="119" t="s">
        <v>1874</v>
      </c>
      <c r="AT135" s="50" t="s">
        <v>91</v>
      </c>
      <c r="AU135" s="50" t="s">
        <v>13</v>
      </c>
      <c r="AV135" s="50" t="s">
        <v>18</v>
      </c>
      <c r="AW135" s="51" t="s">
        <v>71</v>
      </c>
      <c r="AX135" s="50" t="s">
        <v>130</v>
      </c>
      <c r="AY135" s="141" t="s">
        <v>1867</v>
      </c>
      <c r="AZ135" s="141" t="s">
        <v>1877</v>
      </c>
    </row>
    <row r="136" spans="30:52">
      <c r="AG136" s="234"/>
      <c r="AH136" s="232"/>
      <c r="AI136" s="151">
        <f>IF($AD$128=AI135,$AE$128+英雄对比!$G$4*中介表格3!$AF$128,0)+IF($AD$129=AI135,$AE$129+英雄对比!$G$4*中介表格3!$AF$129,0)+IF($AD$130=AI135,$AE$130+(英雄对比!$G$4-20)*中介表格3!$AF$130,0)+IF($AD$131=AI135,$AE$131+(英雄对比!$G$4-40)*中介表格3!$AF$131,0)</f>
        <v>0</v>
      </c>
      <c r="AJ136" s="151">
        <f>IF($AD$128=AJ135,$AE$128+英雄对比!$G$4*中介表格3!$AF$128,0)+IF($AD$129=AJ135,$AE$129+英雄对比!$G$4*中介表格3!$AF$129,0)+IF($AD$130=AJ135,$AE$130+(英雄对比!$G$4-20)*中介表格3!$AF$130,0)+IF($AD$131=AJ135,$AE$131+(英雄对比!$G$4-40)*中介表格3!$AF$131,0)</f>
        <v>0</v>
      </c>
      <c r="AK136" s="151">
        <f>IF($AD$128=AK135,$AE$128+英雄对比!$G$4*中介表格3!$AF$128,0)+IF($AD$129=AK135,$AE$129+英雄对比!$G$4*中介表格3!$AF$129,0)+IF($AD$130=AK135,$AE$130+(英雄对比!$G$4-20)*中介表格3!$AF$130,0)+IF($AD$131=AK135,$AE$131+(英雄对比!$G$4-40)*中介表格3!$AF$131,0)</f>
        <v>0</v>
      </c>
      <c r="AL136" s="151">
        <f>IF($AD$128=AL135,$AE$128+英雄对比!$G$4*中介表格3!$AF$128,0)+IF($AD$129=AL135,$AE$129+英雄对比!$G$4*中介表格3!$AF$129,0)+IF($AD$130=AL135,$AE$130+(英雄对比!$G$4-20)*中介表格3!$AF$130,0)+IF($AD$131=AL135,$AE$131+(英雄对比!$G$4-40)*中介表格3!$AF$131,0)</f>
        <v>0</v>
      </c>
      <c r="AM136" s="151">
        <f>IF($AD$128=AM135,$AE$128+英雄对比!$G$4*中介表格3!$AF$128,0)+IF($AD$129=AM135,$AE$129+英雄对比!$G$4*中介表格3!$AF$129,0)+IF($AD$130=AM135,$AE$130+(英雄对比!$G$4-20)*中介表格3!$AF$130,0)+IF($AD$131=AM135,$AE$131+(英雄对比!$G$4-40)*中介表格3!$AF$131,0)</f>
        <v>0</v>
      </c>
      <c r="AN136" s="151">
        <f>IF($AD$128=AN135,$AE$128+英雄对比!$G$4*中介表格3!$AF$128,0)+IF($AD$129=AN135,$AE$129+英雄对比!$G$4*中介表格3!$AF$129,0)+IF($AD$130=AN135,$AE$130+(英雄对比!$G$4-20)*中介表格3!$AF$130,0)+IF($AD$131=AN135,$AE$131+(英雄对比!$G$4-40)*中介表格3!$AF$131,0)</f>
        <v>0</v>
      </c>
      <c r="AO136" s="151">
        <f>IF($AD$128=AO135,$AE$128+英雄对比!$G$4*中介表格3!$AF$128,0)+IF($AD$129=AO135,$AE$129+英雄对比!$G$4*中介表格3!$AF$129,0)+IF($AD$130=AO135,$AE$130+(英雄对比!$G$4-20)*中介表格3!$AF$130,0)+IF($AD$131=AO135,$AE$131+(英雄对比!$G$4-40)*中介表格3!$AF$131,0)</f>
        <v>0</v>
      </c>
      <c r="AP136" s="151">
        <f>IF($AD$128=AP135,$AE$128+英雄对比!$G$4*中介表格3!$AF$128,0)+IF($AD$129=AP135,$AE$129+英雄对比!$G$4*中介表格3!$AF$129,0)+IF($AD$130=AP135,$AE$130+(英雄对比!$G$4-20)*中介表格3!$AF$130,0)+IF($AD$131=AP135,$AE$131+(英雄对比!$G$4-40)*中介表格3!$AF$131,0)</f>
        <v>0</v>
      </c>
      <c r="AQ136" s="151">
        <f>IF($AD$128=AQ135,$AE$128+英雄对比!$G$4*中介表格3!$AF$128,0)+IF($AD$129=AQ135,$AE$129+英雄对比!$G$4*中介表格3!$AF$129,0)+IF($AD$130=AQ135,$AE$130+(英雄对比!$G$4-20)*中介表格3!$AF$130,0)+IF($AD$131=AQ135,$AE$131+(英雄对比!$G$4-40)*中介表格3!$AF$131,0)</f>
        <v>0</v>
      </c>
      <c r="AR136" s="151">
        <f>IF($AD$128=AR135,$AE$128+英雄对比!$G$4*中介表格3!$AF$128,0)+IF($AD$129=AR135,$AE$129+英雄对比!$G$4*中介表格3!$AF$129,0)+IF($AD$130=AR135,$AE$130+(英雄对比!$G$4-20)*中介表格3!$AF$130,0)+IF($AD$131=AR135,$AE$131+(英雄对比!$G$4-40)*中介表格3!$AF$131,0)</f>
        <v>0</v>
      </c>
      <c r="AS136" s="151">
        <f>IF($AD$128=AS135,$AE$128+英雄对比!$G$4*中介表格3!$AF$128,0)+IF($AD$129=AS135,$AE$129+英雄对比!$G$4*中介表格3!$AF$129,0)+IF($AD$130=AS135,$AE$130+(英雄对比!$G$4-20)*中介表格3!$AF$130,0)+IF($AD$131=AS135,$AE$131+(英雄对比!$G$4-40)*中介表格3!$AF$131,0)</f>
        <v>0</v>
      </c>
      <c r="AT136" s="151">
        <f>IF($AD$128=AT135,$AE$128+英雄对比!$G$4*中介表格3!$AF$128,0)+IF($AD$129=AT135,$AE$129+英雄对比!$G$4*中介表格3!$AF$129,0)+IF($AD$130=AT135,$AE$130+(英雄对比!$G$4-20)*中介表格3!$AF$130,0)+IF($AD$131=AT135,$AE$131+(英雄对比!$G$4-40)*中介表格3!$AF$131,0)</f>
        <v>0</v>
      </c>
      <c r="AU136" s="151">
        <f>IF($AD$128=AU135,$AE$128+英雄对比!$G$4*中介表格3!$AF$128,0)+IF($AD$129=AU135,$AE$129+英雄对比!$G$4*中介表格3!$AF$129,0)+IF($AD$130=AU135,$AE$130+(英雄对比!$G$4-20)*中介表格3!$AF$130,0)+IF($AD$131=AU135,$AE$131+(英雄对比!$G$4-40)*中介表格3!$AF$131,0)</f>
        <v>0</v>
      </c>
      <c r="AV136" s="151">
        <f>IF($AD$128=AV135,$AE$128+英雄对比!$G$4*中介表格3!$AF$128,0)+IF($AD$129=AV135,$AE$129+英雄对比!$G$4*中介表格3!$AF$129,0)+IF($AD$130=AV135,$AE$130+(英雄对比!$G$4-20)*中介表格3!$AF$130,0)+IF($AD$131=AV135,$AE$131+(英雄对比!$G$4-40)*中介表格3!$AF$131,0)</f>
        <v>0</v>
      </c>
      <c r="AW136" s="151">
        <f>IF($AD$128=AW135,$AE$128+英雄对比!$G$4*中介表格3!$AF$128,0)+IF($AD$129=AW135,$AE$129+英雄对比!$G$4*中介表格3!$AF$129,0)+IF($AD$130=AW135,$AE$130+(英雄对比!$G$4-20)*中介表格3!$AF$130,0)+IF($AD$131=AW135,$AE$131+(英雄对比!$G$4-40)*中介表格3!$AF$131,0)</f>
        <v>0</v>
      </c>
      <c r="AX136" s="151">
        <f>IF($AD$128=AX135,$AE$128+英雄对比!$G$4*中介表格3!$AF$128,0)+IF($AD$129=AX135,$AE$129+英雄对比!$G$4*中介表格3!$AF$129,0)+IF($AD$130=AX135,$AE$130+(英雄对比!$G$4-20)*中介表格3!$AF$130,0)+IF($AD$131=AX135,$AE$131+(英雄对比!$G$4-40)*中介表格3!$AF$131,0)</f>
        <v>0</v>
      </c>
      <c r="AY136" s="151">
        <f>IF($AD$128=AY135,$AE$128+英雄对比!$G$4*中介表格3!$AF$128,0)+IF($AD$129=AY135,$AE$129+英雄对比!$G$4*中介表格3!$AF$129,0)+IF($AD$130=AY135,$AE$130+(英雄对比!$G$4-20)*中介表格3!$AF$130,0)+IF($AD$131=AY135,$AE$131+(英雄对比!$G$4-40)*中介表格3!$AF$131,0)</f>
        <v>0</v>
      </c>
      <c r="AZ136" s="151">
        <f>IF($AD$128=AZ135,$AE$128+英雄对比!$G$4*中介表格3!$AF$128,0)+IF($AD$129=AZ135,$AE$129+英雄对比!$G$4*中介表格3!$AF$129,0)+IF($AD$130=AZ135,$AE$130+(英雄对比!$G$4-20)*中介表格3!$AF$130,0)+IF($AD$131=AZ135,$AE$131+(英雄对比!$G$4-40)*中介表格3!$AF$131,0)</f>
        <v>0</v>
      </c>
    </row>
  </sheetData>
  <sheetProtection password="8926" sheet="1" objects="1" scenarios="1" selectLockedCells="1" selectUnlockedCells="1"/>
  <mergeCells count="52">
    <mergeCell ref="AL133:AL134"/>
    <mergeCell ref="AM133:AM134"/>
    <mergeCell ref="AN133:AN134"/>
    <mergeCell ref="AH135:AH136"/>
    <mergeCell ref="AM16:AM17"/>
    <mergeCell ref="AN16:AN17"/>
    <mergeCell ref="AH18:AH19"/>
    <mergeCell ref="AJ133:AJ134"/>
    <mergeCell ref="AK133:AK134"/>
    <mergeCell ref="E24:E29"/>
    <mergeCell ref="V71:AA72"/>
    <mergeCell ref="AG133:AG136"/>
    <mergeCell ref="AH133:AH134"/>
    <mergeCell ref="AI133:AI134"/>
    <mergeCell ref="AM11:AM12"/>
    <mergeCell ref="AN11:AN12"/>
    <mergeCell ref="AH13:AH14"/>
    <mergeCell ref="AG16:AG19"/>
    <mergeCell ref="AH16:AH17"/>
    <mergeCell ref="AI16:AI17"/>
    <mergeCell ref="AJ16:AJ17"/>
    <mergeCell ref="AK16:AK17"/>
    <mergeCell ref="AL16:AL17"/>
    <mergeCell ref="AK11:AK12"/>
    <mergeCell ref="AG11:AG14"/>
    <mergeCell ref="AH11:AH12"/>
    <mergeCell ref="AI11:AI12"/>
    <mergeCell ref="AJ11:AJ12"/>
    <mergeCell ref="AL11:AL12"/>
    <mergeCell ref="AM1:AM2"/>
    <mergeCell ref="AN1:AN2"/>
    <mergeCell ref="AO1:AO2"/>
    <mergeCell ref="AP1:AP2"/>
    <mergeCell ref="AK6:AK7"/>
    <mergeCell ref="AL6:AL7"/>
    <mergeCell ref="AM6:AM7"/>
    <mergeCell ref="AN6:AN7"/>
    <mergeCell ref="AO6:AO7"/>
    <mergeCell ref="AK1:AK2"/>
    <mergeCell ref="AL1:AL2"/>
    <mergeCell ref="G5:G10"/>
    <mergeCell ref="AG6:AG9"/>
    <mergeCell ref="AH6:AH7"/>
    <mergeCell ref="AI6:AI7"/>
    <mergeCell ref="AP6:AP7"/>
    <mergeCell ref="AH8:AH9"/>
    <mergeCell ref="AJ6:AJ7"/>
    <mergeCell ref="AG1:AG4"/>
    <mergeCell ref="AH1:AH2"/>
    <mergeCell ref="AI1:AI2"/>
    <mergeCell ref="AJ1:AJ2"/>
    <mergeCell ref="AH3:AH4"/>
  </mergeCells>
  <phoneticPr fontId="32" type="noConversion"/>
  <conditionalFormatting sqref="I3:T53">
    <cfRule type="expression" dxfId="29" priority="1" stopIfTrue="1">
      <formula>AND(I3&lt;&gt;"",COUNTIF($A:$A,I3)&gt;0)</formula>
    </cfRule>
    <cfRule type="expression" dxfId="28" priority="2" stopIfTrue="1">
      <formula>AND(I3&lt;&gt;"",COUNTIF($B:$B,I3)&gt;0)</formula>
    </cfRule>
    <cfRule type="expression" dxfId="27" priority="3" stopIfTrue="1">
      <formula>AND(I3&lt;&gt;"",COUNTIF($C:$C,I3)&gt;0)</formula>
    </cfRule>
    <cfRule type="expression" dxfId="26" priority="4" stopIfTrue="1">
      <formula>AND(I3&lt;&gt;"",COUNTIF($D:$D,I3)&gt;0)</formula>
    </cfRule>
    <cfRule type="expression" dxfId="25" priority="5" stopIfTrue="1">
      <formula>AND(I3&lt;&gt;"",COUNTIF($E:$E,I3)&gt;0)</formula>
    </cfRule>
  </conditionalFormatting>
  <dataValidations count="1">
    <dataValidation type="whole" allowBlank="1" showInputMessage="1" showErrorMessage="1" sqref="D25">
      <formula1>0</formula1>
      <formula2>100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Z172"/>
  <sheetViews>
    <sheetView zoomScale="81" zoomScaleNormal="81" workbookViewId="0">
      <pane ySplit="1" topLeftCell="A142" activePane="bottomLeft" state="frozen"/>
      <selection activeCell="BE12" sqref="BE12"/>
      <selection pane="bottomLeft" activeCell="A161" sqref="A161:XFD161"/>
    </sheetView>
  </sheetViews>
  <sheetFormatPr defaultRowHeight="13.5" outlineLevelCol="1"/>
  <cols>
    <col min="1" max="1" width="11.625" style="2" hidden="1" customWidth="1" outlineLevel="1"/>
    <col min="2" max="3" width="7.75" style="2" hidden="1" customWidth="1" outlineLevel="1"/>
    <col min="4" max="4" width="1.875" style="2" hidden="1" customWidth="1" outlineLevel="1"/>
    <col min="5" max="17" width="8.375" style="2" hidden="1" customWidth="1" outlineLevel="1"/>
    <col min="18" max="18" width="8.375" style="32" hidden="1" customWidth="1" outlineLevel="1"/>
    <col min="19" max="21" width="8.375" style="2" hidden="1" customWidth="1" outlineLevel="1"/>
    <col min="22" max="22" width="8.375" style="7" hidden="1" customWidth="1" outlineLevel="1"/>
    <col min="23" max="23" width="8.25" style="2" hidden="1" customWidth="1" outlineLevel="1"/>
    <col min="24" max="25" width="8.25" style="32" hidden="1" customWidth="1" outlineLevel="1"/>
    <col min="26" max="26" width="9" style="2" collapsed="1"/>
    <col min="27" max="16384" width="9" style="2"/>
  </cols>
  <sheetData>
    <row r="1" spans="1:25">
      <c r="A1" s="3" t="s">
        <v>0</v>
      </c>
      <c r="B1" s="3" t="s">
        <v>1</v>
      </c>
      <c r="C1" s="3" t="s">
        <v>73</v>
      </c>
      <c r="D1" s="3"/>
      <c r="E1" s="3" t="s">
        <v>3</v>
      </c>
      <c r="F1" s="3" t="s">
        <v>4</v>
      </c>
      <c r="G1" s="3" t="s">
        <v>5</v>
      </c>
      <c r="H1" s="3" t="s">
        <v>103</v>
      </c>
      <c r="I1" s="3" t="s">
        <v>14</v>
      </c>
      <c r="J1" s="3" t="s">
        <v>47</v>
      </c>
      <c r="K1" s="3" t="s">
        <v>35</v>
      </c>
      <c r="L1" s="3" t="s">
        <v>38</v>
      </c>
      <c r="M1" s="3" t="s">
        <v>34</v>
      </c>
      <c r="N1" s="3" t="s">
        <v>56</v>
      </c>
      <c r="O1" s="3" t="s">
        <v>84</v>
      </c>
      <c r="P1" s="3" t="s">
        <v>98</v>
      </c>
      <c r="Q1" s="114" t="s">
        <v>2101</v>
      </c>
      <c r="R1" s="147" t="s">
        <v>1874</v>
      </c>
      <c r="S1" s="19" t="s">
        <v>91</v>
      </c>
      <c r="T1" s="19" t="s">
        <v>13</v>
      </c>
      <c r="U1" s="19" t="s">
        <v>18</v>
      </c>
      <c r="V1" s="148" t="s">
        <v>71</v>
      </c>
      <c r="W1" s="19" t="s">
        <v>130</v>
      </c>
      <c r="X1" s="147" t="s">
        <v>1867</v>
      </c>
      <c r="Y1" s="147" t="s">
        <v>1877</v>
      </c>
    </row>
    <row r="2" spans="1:25">
      <c r="A2" s="27" t="s">
        <v>7</v>
      </c>
      <c r="B2" s="3" t="s">
        <v>6</v>
      </c>
      <c r="C2" s="3">
        <v>2</v>
      </c>
      <c r="D2" s="3"/>
      <c r="E2" s="3">
        <v>1</v>
      </c>
      <c r="F2" s="3">
        <v>1</v>
      </c>
      <c r="G2" s="3">
        <v>1</v>
      </c>
      <c r="H2" s="3"/>
      <c r="I2" s="3"/>
      <c r="J2" s="3"/>
      <c r="K2" s="3"/>
      <c r="L2" s="3"/>
      <c r="M2" s="3"/>
      <c r="N2" s="3"/>
      <c r="O2" s="3"/>
      <c r="P2" s="3"/>
      <c r="Q2" s="3"/>
      <c r="R2" s="122"/>
      <c r="S2" s="3"/>
      <c r="T2" s="3"/>
      <c r="U2" s="3"/>
      <c r="V2" s="4"/>
      <c r="W2" s="3"/>
      <c r="X2" s="122"/>
      <c r="Y2" s="122"/>
    </row>
    <row r="3" spans="1:25">
      <c r="A3" s="28" t="s">
        <v>219</v>
      </c>
      <c r="B3" s="3" t="s">
        <v>6</v>
      </c>
      <c r="C3" s="3">
        <v>2</v>
      </c>
      <c r="D3" s="3"/>
      <c r="E3" s="3">
        <v>3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122"/>
      <c r="S3" s="3"/>
      <c r="T3" s="3"/>
      <c r="U3" s="3"/>
      <c r="V3" s="4"/>
      <c r="W3" s="3"/>
      <c r="X3" s="122"/>
      <c r="Y3" s="122"/>
    </row>
    <row r="4" spans="1:25">
      <c r="A4" s="28" t="s">
        <v>8</v>
      </c>
      <c r="B4" s="3" t="s">
        <v>6</v>
      </c>
      <c r="C4" s="3">
        <v>2</v>
      </c>
      <c r="D4" s="3"/>
      <c r="E4" s="3"/>
      <c r="F4" s="3">
        <v>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122"/>
      <c r="S4" s="3"/>
      <c r="T4" s="3"/>
      <c r="U4" s="3"/>
      <c r="V4" s="4"/>
      <c r="W4" s="3"/>
      <c r="X4" s="122"/>
      <c r="Y4" s="122"/>
    </row>
    <row r="5" spans="1:25">
      <c r="A5" s="28" t="s">
        <v>9</v>
      </c>
      <c r="B5" s="3" t="s">
        <v>6</v>
      </c>
      <c r="C5" s="3">
        <v>2</v>
      </c>
      <c r="D5" s="3"/>
      <c r="E5" s="3"/>
      <c r="F5" s="3"/>
      <c r="G5" s="3">
        <v>3</v>
      </c>
      <c r="H5" s="3"/>
      <c r="I5" s="3"/>
      <c r="J5" s="3"/>
      <c r="K5" s="3"/>
      <c r="L5" s="3"/>
      <c r="M5" s="3"/>
      <c r="N5" s="3"/>
      <c r="O5" s="3"/>
      <c r="P5" s="3"/>
      <c r="Q5" s="3"/>
      <c r="R5" s="122"/>
      <c r="S5" s="3"/>
      <c r="T5" s="3"/>
      <c r="U5" s="3"/>
      <c r="V5" s="4"/>
      <c r="W5" s="3"/>
      <c r="X5" s="122"/>
      <c r="Y5" s="122"/>
    </row>
    <row r="6" spans="1:25">
      <c r="A6" s="28" t="s">
        <v>10</v>
      </c>
      <c r="B6" s="3" t="s">
        <v>6</v>
      </c>
      <c r="C6" s="3">
        <v>2</v>
      </c>
      <c r="D6" s="3"/>
      <c r="E6" s="3"/>
      <c r="F6" s="3"/>
      <c r="G6" s="3"/>
      <c r="H6" s="3"/>
      <c r="I6" s="3"/>
      <c r="J6" s="3"/>
      <c r="K6" s="3">
        <v>2</v>
      </c>
      <c r="L6" s="3"/>
      <c r="M6" s="3"/>
      <c r="N6" s="3"/>
      <c r="O6" s="3"/>
      <c r="P6" s="3"/>
      <c r="Q6" s="3"/>
      <c r="R6" s="122"/>
      <c r="S6" s="3"/>
      <c r="T6" s="3"/>
      <c r="U6" s="3"/>
      <c r="V6" s="4"/>
      <c r="W6" s="3"/>
      <c r="X6" s="122"/>
      <c r="Y6" s="122"/>
    </row>
    <row r="7" spans="1:25">
      <c r="A7" s="28" t="s">
        <v>11</v>
      </c>
      <c r="B7" s="3" t="s">
        <v>6</v>
      </c>
      <c r="C7" s="3">
        <v>2</v>
      </c>
      <c r="D7" s="3"/>
      <c r="E7" s="3">
        <v>2</v>
      </c>
      <c r="F7" s="3">
        <v>2</v>
      </c>
      <c r="G7" s="3">
        <v>2</v>
      </c>
      <c r="H7" s="3"/>
      <c r="I7" s="3"/>
      <c r="J7" s="3"/>
      <c r="K7" s="3"/>
      <c r="L7" s="3"/>
      <c r="M7" s="3"/>
      <c r="N7" s="3"/>
      <c r="O7" s="3"/>
      <c r="P7" s="3"/>
      <c r="Q7" s="3"/>
      <c r="R7" s="122"/>
      <c r="S7" s="3"/>
      <c r="T7" s="3"/>
      <c r="U7" s="3"/>
      <c r="V7" s="4"/>
      <c r="W7" s="3"/>
      <c r="X7" s="122"/>
      <c r="Y7" s="122"/>
    </row>
    <row r="8" spans="1:25">
      <c r="A8" s="28" t="s">
        <v>12</v>
      </c>
      <c r="B8" s="3" t="s">
        <v>6</v>
      </c>
      <c r="C8" s="3">
        <v>2</v>
      </c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122"/>
      <c r="S8" s="3"/>
      <c r="T8" s="3">
        <v>15</v>
      </c>
      <c r="U8" s="3">
        <v>15</v>
      </c>
      <c r="V8" s="4"/>
      <c r="W8" s="3"/>
      <c r="X8" s="122"/>
      <c r="Y8" s="122"/>
    </row>
    <row r="9" spans="1:25">
      <c r="A9" s="28" t="s">
        <v>15</v>
      </c>
      <c r="B9" s="3" t="s">
        <v>6</v>
      </c>
      <c r="C9" s="3">
        <v>1</v>
      </c>
      <c r="D9" s="3"/>
      <c r="E9" s="3"/>
      <c r="F9" s="3"/>
      <c r="G9" s="3"/>
      <c r="H9" s="3"/>
      <c r="I9" s="3">
        <v>6</v>
      </c>
      <c r="J9" s="3"/>
      <c r="K9" s="3"/>
      <c r="L9" s="3"/>
      <c r="M9" s="3"/>
      <c r="N9" s="3"/>
      <c r="O9" s="3"/>
      <c r="P9" s="3"/>
      <c r="Q9" s="3"/>
      <c r="R9" s="122"/>
      <c r="S9" s="3"/>
      <c r="T9" s="3"/>
      <c r="U9" s="3"/>
      <c r="V9" s="4"/>
      <c r="W9" s="3"/>
      <c r="X9" s="122"/>
      <c r="Y9" s="122"/>
    </row>
    <row r="10" spans="1:25">
      <c r="A10" s="28" t="s">
        <v>16</v>
      </c>
      <c r="B10" s="3" t="s">
        <v>6</v>
      </c>
      <c r="C10" s="3">
        <v>2</v>
      </c>
      <c r="D10" s="3"/>
      <c r="E10" s="3"/>
      <c r="F10" s="3"/>
      <c r="G10" s="3"/>
      <c r="H10" s="3"/>
      <c r="I10" s="3"/>
      <c r="J10" s="3"/>
      <c r="K10" s="3">
        <v>2</v>
      </c>
      <c r="L10" s="3"/>
      <c r="M10" s="3"/>
      <c r="N10" s="3"/>
      <c r="O10" s="3"/>
      <c r="P10" s="3"/>
      <c r="Q10" s="3"/>
      <c r="R10" s="122"/>
      <c r="S10" s="3"/>
      <c r="T10" s="3"/>
      <c r="U10" s="3"/>
      <c r="V10" s="4"/>
      <c r="W10" s="3"/>
      <c r="X10" s="122"/>
      <c r="Y10" s="122"/>
    </row>
    <row r="11" spans="1:25">
      <c r="A11" s="28" t="s">
        <v>17</v>
      </c>
      <c r="B11" s="3" t="s">
        <v>6</v>
      </c>
      <c r="C11" s="3">
        <v>2</v>
      </c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122"/>
      <c r="S11" s="3"/>
      <c r="T11" s="3"/>
      <c r="U11" s="3">
        <v>30</v>
      </c>
      <c r="V11" s="4"/>
      <c r="W11" s="3"/>
      <c r="X11" s="122"/>
      <c r="Y11" s="122"/>
    </row>
    <row r="12" spans="1:25">
      <c r="A12" s="28" t="s">
        <v>19</v>
      </c>
      <c r="B12" s="3" t="s">
        <v>6</v>
      </c>
      <c r="C12" s="3">
        <v>2</v>
      </c>
      <c r="D12" s="3"/>
      <c r="E12" s="3"/>
      <c r="F12" s="3"/>
      <c r="G12" s="3"/>
      <c r="H12" s="20" t="s">
        <v>1043</v>
      </c>
      <c r="I12" s="3"/>
      <c r="J12" s="3"/>
      <c r="K12" s="3"/>
      <c r="L12" s="3"/>
      <c r="M12" s="3"/>
      <c r="N12" s="3"/>
      <c r="O12" s="3"/>
      <c r="P12" s="3"/>
      <c r="Q12" s="3"/>
      <c r="R12" s="122"/>
      <c r="S12" s="3"/>
      <c r="T12" s="3">
        <v>80</v>
      </c>
      <c r="U12" s="3"/>
      <c r="V12" s="4"/>
      <c r="W12" s="3"/>
      <c r="X12" s="122"/>
      <c r="Y12" s="122"/>
    </row>
    <row r="13" spans="1:25">
      <c r="A13" s="28" t="s">
        <v>20</v>
      </c>
      <c r="B13" s="3" t="s">
        <v>6</v>
      </c>
      <c r="C13" s="3">
        <v>8</v>
      </c>
      <c r="D13" s="3"/>
      <c r="E13" s="3">
        <v>5</v>
      </c>
      <c r="F13" s="3">
        <v>5</v>
      </c>
      <c r="G13" s="3">
        <v>5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122"/>
      <c r="S13" s="3"/>
      <c r="T13" s="3"/>
      <c r="U13" s="3"/>
      <c r="V13" s="4"/>
      <c r="W13" s="3"/>
      <c r="X13" s="122"/>
      <c r="Y13" s="122"/>
    </row>
    <row r="14" spans="1:25">
      <c r="A14" s="28" t="s">
        <v>21</v>
      </c>
      <c r="B14" s="3" t="s">
        <v>6</v>
      </c>
      <c r="C14" s="3">
        <v>10</v>
      </c>
      <c r="D14" s="3"/>
      <c r="E14" s="3"/>
      <c r="F14" s="3"/>
      <c r="G14" s="3"/>
      <c r="H14" s="3"/>
      <c r="I14" s="3">
        <v>9</v>
      </c>
      <c r="J14" s="3"/>
      <c r="K14" s="3"/>
      <c r="L14" s="3"/>
      <c r="M14" s="3"/>
      <c r="N14" s="3"/>
      <c r="O14" s="3"/>
      <c r="P14" s="3"/>
      <c r="Q14" s="3"/>
      <c r="R14" s="122"/>
      <c r="S14" s="3"/>
      <c r="T14" s="3"/>
      <c r="U14" s="3"/>
      <c r="V14" s="4"/>
      <c r="W14" s="3"/>
      <c r="X14" s="122"/>
      <c r="Y14" s="122"/>
    </row>
    <row r="15" spans="1:25">
      <c r="A15" s="28" t="s">
        <v>22</v>
      </c>
      <c r="B15" s="3" t="s">
        <v>6</v>
      </c>
      <c r="C15" s="3">
        <v>9</v>
      </c>
      <c r="D15" s="3"/>
      <c r="E15" s="3">
        <v>6</v>
      </c>
      <c r="F15" s="3">
        <v>3</v>
      </c>
      <c r="G15" s="3">
        <v>3</v>
      </c>
      <c r="H15" s="3"/>
      <c r="I15" s="3">
        <v>3</v>
      </c>
      <c r="J15" s="3"/>
      <c r="K15" s="3"/>
      <c r="L15" s="3"/>
      <c r="M15" s="3"/>
      <c r="N15" s="3"/>
      <c r="O15" s="3"/>
      <c r="P15" s="3"/>
      <c r="Q15" s="3"/>
      <c r="R15" s="122"/>
      <c r="S15" s="3"/>
      <c r="T15" s="3"/>
      <c r="U15" s="3"/>
      <c r="V15" s="4"/>
      <c r="W15" s="3"/>
      <c r="X15" s="122"/>
      <c r="Y15" s="122"/>
    </row>
    <row r="16" spans="1:25">
      <c r="A16" s="28" t="s">
        <v>23</v>
      </c>
      <c r="B16" s="3" t="s">
        <v>6</v>
      </c>
      <c r="C16" s="3">
        <v>9</v>
      </c>
      <c r="D16" s="3"/>
      <c r="E16" s="3">
        <v>3</v>
      </c>
      <c r="F16" s="3">
        <v>6</v>
      </c>
      <c r="G16" s="3">
        <v>3</v>
      </c>
      <c r="H16" s="3"/>
      <c r="I16" s="3">
        <v>3</v>
      </c>
      <c r="J16" s="3"/>
      <c r="K16" s="3"/>
      <c r="L16" s="3"/>
      <c r="M16" s="3"/>
      <c r="N16" s="3"/>
      <c r="O16" s="3"/>
      <c r="P16" s="3"/>
      <c r="Q16" s="3"/>
      <c r="R16" s="122"/>
      <c r="S16" s="3"/>
      <c r="T16" s="3"/>
      <c r="U16" s="3"/>
      <c r="V16" s="4"/>
      <c r="W16" s="3"/>
      <c r="X16" s="122"/>
      <c r="Y16" s="122"/>
    </row>
    <row r="17" spans="1:25">
      <c r="A17" s="28" t="s">
        <v>24</v>
      </c>
      <c r="B17" s="3" t="s">
        <v>6</v>
      </c>
      <c r="C17" s="3">
        <v>9</v>
      </c>
      <c r="D17" s="3"/>
      <c r="E17" s="3">
        <v>3</v>
      </c>
      <c r="F17" s="3">
        <v>3</v>
      </c>
      <c r="G17" s="3">
        <v>6</v>
      </c>
      <c r="H17" s="3"/>
      <c r="I17" s="3">
        <v>3</v>
      </c>
      <c r="J17" s="3"/>
      <c r="K17" s="3"/>
      <c r="L17" s="3"/>
      <c r="M17" s="3"/>
      <c r="N17" s="3"/>
      <c r="O17" s="3"/>
      <c r="P17" s="3"/>
      <c r="Q17" s="3"/>
      <c r="R17" s="122"/>
      <c r="S17" s="3"/>
      <c r="T17" s="3"/>
      <c r="U17" s="3"/>
      <c r="V17" s="4"/>
      <c r="W17" s="3"/>
      <c r="X17" s="122"/>
      <c r="Y17" s="122"/>
    </row>
    <row r="18" spans="1:25">
      <c r="A18" s="28" t="s">
        <v>25</v>
      </c>
      <c r="B18" s="3" t="s">
        <v>6</v>
      </c>
      <c r="C18" s="3">
        <v>9</v>
      </c>
      <c r="D18" s="3"/>
      <c r="E18" s="3"/>
      <c r="F18" s="3"/>
      <c r="G18" s="3"/>
      <c r="H18" s="3"/>
      <c r="I18" s="3"/>
      <c r="J18" s="3"/>
      <c r="K18" s="3">
        <v>2</v>
      </c>
      <c r="L18" s="3"/>
      <c r="M18" s="3"/>
      <c r="N18" s="3"/>
      <c r="O18" s="3"/>
      <c r="P18" s="3"/>
      <c r="Q18" s="3"/>
      <c r="R18" s="122"/>
      <c r="S18" s="3"/>
      <c r="T18" s="3"/>
      <c r="U18" s="3">
        <v>30</v>
      </c>
      <c r="V18" s="4"/>
      <c r="W18" s="3"/>
      <c r="X18" s="122"/>
      <c r="Y18" s="122"/>
    </row>
    <row r="19" spans="1:25">
      <c r="A19" s="28" t="s">
        <v>26</v>
      </c>
      <c r="B19" s="3" t="s">
        <v>6</v>
      </c>
      <c r="C19" s="3">
        <v>10</v>
      </c>
      <c r="D19" s="3"/>
      <c r="E19" s="3"/>
      <c r="F19" s="3">
        <v>6</v>
      </c>
      <c r="G19" s="3"/>
      <c r="H19" s="3"/>
      <c r="I19" s="3"/>
      <c r="J19" s="3"/>
      <c r="K19" s="3">
        <v>3</v>
      </c>
      <c r="L19" s="3"/>
      <c r="M19" s="3"/>
      <c r="N19" s="3"/>
      <c r="O19" s="3"/>
      <c r="P19" s="3"/>
      <c r="Q19" s="3"/>
      <c r="R19" s="122"/>
      <c r="S19" s="3"/>
      <c r="T19" s="3"/>
      <c r="U19" s="3"/>
      <c r="V19" s="4"/>
      <c r="W19" s="3"/>
      <c r="X19" s="122"/>
      <c r="Y19" s="122"/>
    </row>
    <row r="20" spans="1:25">
      <c r="A20" s="28" t="s">
        <v>27</v>
      </c>
      <c r="B20" s="3" t="s">
        <v>6</v>
      </c>
      <c r="C20" s="3">
        <v>10</v>
      </c>
      <c r="D20" s="3"/>
      <c r="E20" s="3">
        <v>2</v>
      </c>
      <c r="F20" s="3">
        <v>2</v>
      </c>
      <c r="G20" s="3">
        <v>2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122"/>
      <c r="S20" s="3"/>
      <c r="T20" s="3">
        <v>120</v>
      </c>
      <c r="U20" s="3"/>
      <c r="V20" s="4"/>
      <c r="W20" s="3"/>
      <c r="X20" s="122"/>
      <c r="Y20" s="122"/>
    </row>
    <row r="21" spans="1:25">
      <c r="A21" s="14" t="s">
        <v>28</v>
      </c>
      <c r="B21" s="3" t="s">
        <v>29</v>
      </c>
      <c r="C21" s="3">
        <v>15</v>
      </c>
      <c r="D21" s="3"/>
      <c r="E21" s="3"/>
      <c r="F21" s="3"/>
      <c r="G21" s="3"/>
      <c r="H21" s="3"/>
      <c r="I21" s="3">
        <v>5</v>
      </c>
      <c r="J21" s="3"/>
      <c r="K21" s="3"/>
      <c r="L21" s="3"/>
      <c r="M21" s="3"/>
      <c r="N21" s="3"/>
      <c r="O21" s="3"/>
      <c r="P21" s="3"/>
      <c r="Q21" s="3"/>
      <c r="R21" s="122"/>
      <c r="S21" s="3"/>
      <c r="T21" s="3"/>
      <c r="U21" s="3"/>
      <c r="V21" s="4"/>
      <c r="W21" s="3"/>
      <c r="X21" s="122"/>
      <c r="Y21" s="122"/>
    </row>
    <row r="22" spans="1:25">
      <c r="A22" s="14" t="s">
        <v>30</v>
      </c>
      <c r="B22" s="3" t="s">
        <v>29</v>
      </c>
      <c r="C22" s="3">
        <v>10</v>
      </c>
      <c r="D22" s="3"/>
      <c r="E22" s="3">
        <v>6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122"/>
      <c r="S22" s="3"/>
      <c r="T22" s="3"/>
      <c r="U22" s="3"/>
      <c r="V22" s="4"/>
      <c r="W22" s="3"/>
      <c r="X22" s="122"/>
      <c r="Y22" s="122"/>
    </row>
    <row r="23" spans="1:25">
      <c r="A23" s="14" t="s">
        <v>31</v>
      </c>
      <c r="B23" s="3" t="s">
        <v>29</v>
      </c>
      <c r="C23" s="3">
        <v>10</v>
      </c>
      <c r="D23" s="3"/>
      <c r="E23" s="3"/>
      <c r="F23" s="3">
        <v>6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122"/>
      <c r="S23" s="3"/>
      <c r="T23" s="3"/>
      <c r="U23" s="3"/>
      <c r="V23" s="4"/>
      <c r="W23" s="3"/>
      <c r="X23" s="122"/>
      <c r="Y23" s="122"/>
    </row>
    <row r="24" spans="1:25">
      <c r="A24" s="14" t="s">
        <v>32</v>
      </c>
      <c r="B24" s="3" t="s">
        <v>29</v>
      </c>
      <c r="C24" s="3">
        <v>10</v>
      </c>
      <c r="D24" s="3"/>
      <c r="E24" s="3"/>
      <c r="F24" s="3"/>
      <c r="G24" s="3">
        <v>6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122"/>
      <c r="S24" s="3"/>
      <c r="T24" s="3"/>
      <c r="U24" s="3"/>
      <c r="V24" s="4"/>
      <c r="W24" s="3"/>
      <c r="X24" s="122"/>
      <c r="Y24" s="122"/>
    </row>
    <row r="25" spans="1:25">
      <c r="A25" s="14" t="s">
        <v>33</v>
      </c>
      <c r="B25" s="3" t="s">
        <v>29</v>
      </c>
      <c r="C25" s="3">
        <v>10</v>
      </c>
      <c r="D25" s="3"/>
      <c r="E25" s="3"/>
      <c r="F25" s="3"/>
      <c r="G25" s="3"/>
      <c r="H25" s="3"/>
      <c r="I25" s="3"/>
      <c r="J25" s="3"/>
      <c r="K25" s="3"/>
      <c r="L25" s="3"/>
      <c r="M25" s="3">
        <v>7.5</v>
      </c>
      <c r="N25" s="3"/>
      <c r="O25" s="3"/>
      <c r="P25" s="3"/>
      <c r="Q25" s="3"/>
      <c r="R25" s="122"/>
      <c r="S25" s="3"/>
      <c r="T25" s="3"/>
      <c r="U25" s="3"/>
      <c r="V25" s="4"/>
      <c r="W25" s="3"/>
      <c r="X25" s="122"/>
      <c r="Y25" s="122"/>
    </row>
    <row r="26" spans="1:25">
      <c r="A26" s="14" t="s">
        <v>36</v>
      </c>
      <c r="B26" s="3" t="s">
        <v>29</v>
      </c>
      <c r="C26" s="3">
        <v>20</v>
      </c>
      <c r="D26" s="3"/>
      <c r="E26" s="3"/>
      <c r="F26" s="3"/>
      <c r="G26" s="3"/>
      <c r="H26" s="3"/>
      <c r="I26" s="3"/>
      <c r="J26" s="3"/>
      <c r="K26" s="3">
        <v>5</v>
      </c>
      <c r="L26" s="3"/>
      <c r="M26" s="3"/>
      <c r="N26" s="3"/>
      <c r="O26" s="3"/>
      <c r="P26" s="3"/>
      <c r="Q26" s="3"/>
      <c r="R26" s="122"/>
      <c r="S26" s="3"/>
      <c r="T26" s="3"/>
      <c r="U26" s="3"/>
      <c r="V26" s="4"/>
      <c r="W26" s="3"/>
      <c r="X26" s="122"/>
      <c r="Y26" s="122"/>
    </row>
    <row r="27" spans="1:25">
      <c r="A27" s="14" t="s">
        <v>37</v>
      </c>
      <c r="B27" s="3" t="s">
        <v>29</v>
      </c>
      <c r="C27" s="3">
        <v>27</v>
      </c>
      <c r="D27" s="3"/>
      <c r="E27" s="3"/>
      <c r="F27" s="3"/>
      <c r="G27" s="3"/>
      <c r="H27" s="3"/>
      <c r="I27" s="3"/>
      <c r="J27" s="3"/>
      <c r="K27" s="3"/>
      <c r="L27" s="3">
        <v>5</v>
      </c>
      <c r="M27" s="3"/>
      <c r="N27" s="3"/>
      <c r="O27" s="3"/>
      <c r="P27" s="3"/>
      <c r="Q27" s="3"/>
      <c r="R27" s="122"/>
      <c r="S27" s="3"/>
      <c r="T27" s="3"/>
      <c r="U27" s="3"/>
      <c r="V27" s="4"/>
      <c r="W27" s="3"/>
      <c r="X27" s="122"/>
      <c r="Y27" s="122"/>
    </row>
    <row r="28" spans="1:25">
      <c r="A28" s="14" t="s">
        <v>39</v>
      </c>
      <c r="B28" s="3" t="s">
        <v>29</v>
      </c>
      <c r="C28" s="3">
        <v>20</v>
      </c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122"/>
      <c r="S28" s="3"/>
      <c r="T28" s="3">
        <v>150</v>
      </c>
      <c r="U28" s="3"/>
      <c r="V28" s="4"/>
      <c r="W28" s="3"/>
      <c r="X28" s="122"/>
      <c r="Y28" s="122"/>
    </row>
    <row r="29" spans="1:25">
      <c r="A29" s="14" t="s">
        <v>40</v>
      </c>
      <c r="B29" s="3" t="s">
        <v>29</v>
      </c>
      <c r="C29" s="3">
        <v>11</v>
      </c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122"/>
      <c r="S29" s="3"/>
      <c r="T29" s="3"/>
      <c r="U29" s="3">
        <v>60</v>
      </c>
      <c r="V29" s="4"/>
      <c r="W29" s="3"/>
      <c r="X29" s="122"/>
      <c r="Y29" s="122"/>
    </row>
    <row r="30" spans="1:25">
      <c r="A30" s="14" t="s">
        <v>41</v>
      </c>
      <c r="B30" s="3" t="s">
        <v>29</v>
      </c>
      <c r="C30" s="3">
        <v>11</v>
      </c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>
        <v>15</v>
      </c>
      <c r="R30" s="122"/>
      <c r="S30" s="3"/>
      <c r="T30" s="3"/>
      <c r="U30" s="3"/>
      <c r="V30" s="4"/>
      <c r="W30" s="3"/>
      <c r="X30" s="122"/>
      <c r="Y30" s="122"/>
    </row>
    <row r="31" spans="1:25">
      <c r="A31" s="14" t="s">
        <v>43</v>
      </c>
      <c r="B31" s="3" t="s">
        <v>29</v>
      </c>
      <c r="C31" s="3">
        <v>10</v>
      </c>
      <c r="D31" s="3"/>
      <c r="E31" s="3"/>
      <c r="F31" s="3"/>
      <c r="G31" s="3"/>
      <c r="H31" s="3"/>
      <c r="I31" s="3">
        <v>10</v>
      </c>
      <c r="J31" s="3"/>
      <c r="K31" s="3"/>
      <c r="L31" s="3"/>
      <c r="M31" s="3">
        <v>5</v>
      </c>
      <c r="N31" s="3"/>
      <c r="O31" s="3"/>
      <c r="P31" s="3"/>
      <c r="Q31" s="3"/>
      <c r="R31" s="122"/>
      <c r="S31" s="3"/>
      <c r="T31" s="3"/>
      <c r="U31" s="3"/>
      <c r="V31" s="4"/>
      <c r="W31" s="3"/>
      <c r="X31" s="122"/>
      <c r="Y31" s="122"/>
    </row>
    <row r="32" spans="1:25">
      <c r="A32" s="14" t="s">
        <v>44</v>
      </c>
      <c r="B32" s="3" t="s">
        <v>29</v>
      </c>
      <c r="C32" s="3">
        <v>10</v>
      </c>
      <c r="D32" s="3"/>
      <c r="E32" s="3"/>
      <c r="F32" s="3"/>
      <c r="G32" s="3"/>
      <c r="H32" s="3"/>
      <c r="I32" s="3"/>
      <c r="J32" s="3"/>
      <c r="K32" s="3">
        <v>5</v>
      </c>
      <c r="L32" s="3"/>
      <c r="M32" s="3"/>
      <c r="N32" s="3"/>
      <c r="O32" s="3"/>
      <c r="P32" s="3"/>
      <c r="Q32" s="3"/>
      <c r="R32" s="122"/>
      <c r="S32" s="3"/>
      <c r="T32" s="3">
        <v>90</v>
      </c>
      <c r="U32" s="3"/>
      <c r="V32" s="4"/>
      <c r="W32" s="3"/>
      <c r="X32" s="122"/>
      <c r="Y32" s="122"/>
    </row>
    <row r="33" spans="1:25">
      <c r="A33" s="14" t="s">
        <v>45</v>
      </c>
      <c r="B33" s="3" t="s">
        <v>29</v>
      </c>
      <c r="C33" s="3">
        <v>12</v>
      </c>
      <c r="D33" s="3"/>
      <c r="E33" s="3"/>
      <c r="F33" s="3"/>
      <c r="G33" s="3"/>
      <c r="H33" s="3">
        <v>250</v>
      </c>
      <c r="I33" s="3"/>
      <c r="J33" s="3"/>
      <c r="K33" s="3"/>
      <c r="L33" s="3"/>
      <c r="M33" s="3"/>
      <c r="N33" s="3"/>
      <c r="O33" s="3"/>
      <c r="P33" s="3"/>
      <c r="Q33" s="3"/>
      <c r="R33" s="122"/>
      <c r="S33" s="3"/>
      <c r="T33" s="3"/>
      <c r="U33" s="3"/>
      <c r="V33" s="4"/>
      <c r="W33" s="3"/>
      <c r="X33" s="122"/>
      <c r="Y33" s="122"/>
    </row>
    <row r="34" spans="1:25">
      <c r="A34" s="14" t="s">
        <v>46</v>
      </c>
      <c r="B34" s="3" t="s">
        <v>29</v>
      </c>
      <c r="C34" s="3">
        <v>11</v>
      </c>
      <c r="D34" s="3"/>
      <c r="E34" s="3"/>
      <c r="F34" s="3"/>
      <c r="G34" s="3"/>
      <c r="H34" s="3"/>
      <c r="I34" s="3"/>
      <c r="J34" s="3">
        <v>30</v>
      </c>
      <c r="K34" s="3"/>
      <c r="L34" s="3"/>
      <c r="M34" s="3"/>
      <c r="N34" s="3"/>
      <c r="O34" s="3"/>
      <c r="P34" s="3"/>
      <c r="Q34" s="3"/>
      <c r="R34" s="122"/>
      <c r="S34" s="3"/>
      <c r="T34" s="3"/>
      <c r="U34" s="3"/>
      <c r="V34" s="4"/>
      <c r="W34" s="3"/>
      <c r="X34" s="122"/>
      <c r="Y34" s="122"/>
    </row>
    <row r="35" spans="1:25">
      <c r="A35" s="14" t="s">
        <v>48</v>
      </c>
      <c r="B35" s="3" t="s">
        <v>29</v>
      </c>
      <c r="C35" s="3">
        <v>13</v>
      </c>
      <c r="D35" s="3"/>
      <c r="E35" s="3"/>
      <c r="F35" s="3"/>
      <c r="G35" s="3"/>
      <c r="H35" s="3">
        <v>200</v>
      </c>
      <c r="I35" s="3"/>
      <c r="J35" s="3">
        <v>18</v>
      </c>
      <c r="K35" s="3"/>
      <c r="L35" s="3"/>
      <c r="M35" s="3"/>
      <c r="N35" s="3"/>
      <c r="O35" s="3"/>
      <c r="P35" s="3"/>
      <c r="Q35" s="3"/>
      <c r="R35" s="122"/>
      <c r="S35" s="3"/>
      <c r="T35" s="3"/>
      <c r="U35" s="3"/>
      <c r="V35" s="4"/>
      <c r="W35" s="3"/>
      <c r="X35" s="122"/>
      <c r="Y35" s="122"/>
    </row>
    <row r="36" spans="1:25">
      <c r="A36" s="14" t="s">
        <v>49</v>
      </c>
      <c r="B36" s="3" t="s">
        <v>29</v>
      </c>
      <c r="C36" s="3">
        <v>10</v>
      </c>
      <c r="D36" s="3"/>
      <c r="E36" s="3">
        <v>3</v>
      </c>
      <c r="F36" s="3">
        <v>3</v>
      </c>
      <c r="G36" s="3">
        <v>3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122"/>
      <c r="S36" s="3"/>
      <c r="T36" s="3">
        <v>15</v>
      </c>
      <c r="U36" s="3">
        <v>15</v>
      </c>
      <c r="V36" s="4"/>
      <c r="W36" s="3"/>
      <c r="X36" s="122"/>
      <c r="Y36" s="122"/>
    </row>
    <row r="37" spans="1:25">
      <c r="A37" s="14" t="s">
        <v>50</v>
      </c>
      <c r="B37" s="3" t="s">
        <v>29</v>
      </c>
      <c r="C37" s="3">
        <v>10</v>
      </c>
      <c r="D37" s="3"/>
      <c r="E37" s="3"/>
      <c r="F37" s="3"/>
      <c r="G37" s="3"/>
      <c r="H37" s="3"/>
      <c r="I37" s="3"/>
      <c r="J37" s="3">
        <v>12</v>
      </c>
      <c r="K37" s="3"/>
      <c r="L37" s="3"/>
      <c r="M37" s="3"/>
      <c r="N37" s="3"/>
      <c r="O37" s="3"/>
      <c r="P37" s="3"/>
      <c r="Q37" s="3"/>
      <c r="R37" s="122"/>
      <c r="S37" s="3"/>
      <c r="T37" s="3">
        <v>120</v>
      </c>
      <c r="U37" s="3">
        <v>30</v>
      </c>
      <c r="V37" s="4"/>
      <c r="W37" s="3"/>
      <c r="X37" s="122"/>
      <c r="Y37" s="122"/>
    </row>
    <row r="38" spans="1:25">
      <c r="A38" s="14" t="s">
        <v>51</v>
      </c>
      <c r="B38" s="3" t="s">
        <v>29</v>
      </c>
      <c r="C38" s="3">
        <v>10</v>
      </c>
      <c r="D38" s="3"/>
      <c r="E38" s="3">
        <v>2</v>
      </c>
      <c r="F38" s="3">
        <v>2</v>
      </c>
      <c r="G38" s="3">
        <v>2</v>
      </c>
      <c r="H38" s="3"/>
      <c r="I38" s="3"/>
      <c r="J38" s="3"/>
      <c r="K38" s="3">
        <v>5</v>
      </c>
      <c r="L38" s="3"/>
      <c r="M38" s="3"/>
      <c r="N38" s="3"/>
      <c r="O38" s="3"/>
      <c r="P38" s="3"/>
      <c r="Q38" s="3"/>
      <c r="R38" s="122"/>
      <c r="S38" s="3"/>
      <c r="T38" s="3"/>
      <c r="U38" s="3"/>
      <c r="V38" s="4"/>
      <c r="W38" s="3"/>
      <c r="X38" s="122"/>
      <c r="Y38" s="122"/>
    </row>
    <row r="39" spans="1:25">
      <c r="A39" s="14" t="s">
        <v>52</v>
      </c>
      <c r="B39" s="3" t="s">
        <v>29</v>
      </c>
      <c r="C39" s="3">
        <v>16</v>
      </c>
      <c r="D39" s="3"/>
      <c r="E39" s="3">
        <v>6</v>
      </c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122"/>
      <c r="S39" s="3"/>
      <c r="T39" s="3">
        <v>70</v>
      </c>
      <c r="U39" s="3">
        <v>50</v>
      </c>
      <c r="V39" s="4"/>
      <c r="W39" s="3"/>
      <c r="X39" s="122"/>
      <c r="Y39" s="122"/>
    </row>
    <row r="40" spans="1:25">
      <c r="A40" s="14" t="s">
        <v>53</v>
      </c>
      <c r="B40" s="3" t="s">
        <v>29</v>
      </c>
      <c r="C40" s="3">
        <v>16</v>
      </c>
      <c r="D40" s="3"/>
      <c r="E40" s="3">
        <v>7</v>
      </c>
      <c r="F40" s="3">
        <v>7</v>
      </c>
      <c r="G40" s="3">
        <v>7</v>
      </c>
      <c r="H40" s="3"/>
      <c r="I40" s="3"/>
      <c r="J40" s="3"/>
      <c r="K40" s="3">
        <v>1</v>
      </c>
      <c r="L40" s="3"/>
      <c r="M40" s="3"/>
      <c r="N40" s="3"/>
      <c r="O40" s="3"/>
      <c r="P40" s="3"/>
      <c r="Q40" s="3"/>
      <c r="R40" s="122"/>
      <c r="S40" s="3"/>
      <c r="T40" s="3">
        <v>90</v>
      </c>
      <c r="U40" s="3"/>
      <c r="V40" s="4"/>
      <c r="W40" s="3"/>
      <c r="X40" s="122"/>
      <c r="Y40" s="122"/>
    </row>
    <row r="41" spans="1:25">
      <c r="A41" s="14" t="s">
        <v>54</v>
      </c>
      <c r="B41" s="3" t="s">
        <v>29</v>
      </c>
      <c r="C41" s="3">
        <v>15</v>
      </c>
      <c r="D41" s="3"/>
      <c r="E41" s="3">
        <v>3</v>
      </c>
      <c r="F41" s="3">
        <v>3</v>
      </c>
      <c r="G41" s="3">
        <v>3</v>
      </c>
      <c r="H41" s="3"/>
      <c r="I41" s="3"/>
      <c r="J41" s="3"/>
      <c r="K41" s="3">
        <v>3</v>
      </c>
      <c r="L41" s="3"/>
      <c r="M41" s="3"/>
      <c r="N41" s="3"/>
      <c r="O41" s="3"/>
      <c r="P41" s="3"/>
      <c r="Q41" s="3"/>
      <c r="R41" s="122"/>
      <c r="S41" s="3"/>
      <c r="T41" s="3"/>
      <c r="U41" s="3">
        <v>32</v>
      </c>
      <c r="V41" s="4"/>
      <c r="W41" s="3"/>
      <c r="X41" s="122"/>
      <c r="Y41" s="122"/>
    </row>
    <row r="42" spans="1:25">
      <c r="A42" s="14" t="s">
        <v>55</v>
      </c>
      <c r="B42" s="3" t="s">
        <v>29</v>
      </c>
      <c r="C42" s="3">
        <v>18</v>
      </c>
      <c r="D42" s="3"/>
      <c r="E42" s="3"/>
      <c r="F42" s="3"/>
      <c r="G42" s="3"/>
      <c r="H42" s="3"/>
      <c r="I42" s="3"/>
      <c r="J42" s="3"/>
      <c r="K42" s="3"/>
      <c r="L42" s="3"/>
      <c r="M42" s="3"/>
      <c r="N42" s="3">
        <v>6</v>
      </c>
      <c r="O42" s="3"/>
      <c r="P42" s="3"/>
      <c r="Q42" s="3"/>
      <c r="R42" s="122"/>
      <c r="S42" s="3"/>
      <c r="T42" s="3"/>
      <c r="U42" s="3">
        <v>50</v>
      </c>
      <c r="V42" s="4"/>
      <c r="W42" s="3"/>
      <c r="X42" s="122"/>
      <c r="Y42" s="122"/>
    </row>
    <row r="43" spans="1:25">
      <c r="A43" s="14" t="s">
        <v>57</v>
      </c>
      <c r="B43" s="3" t="s">
        <v>29</v>
      </c>
      <c r="C43" s="3">
        <v>19</v>
      </c>
      <c r="D43" s="3"/>
      <c r="E43" s="3">
        <v>9</v>
      </c>
      <c r="F43" s="3">
        <v>9</v>
      </c>
      <c r="G43" s="3">
        <v>9</v>
      </c>
      <c r="H43" s="3"/>
      <c r="I43" s="3">
        <v>24</v>
      </c>
      <c r="J43" s="3"/>
      <c r="K43" s="3"/>
      <c r="L43" s="3"/>
      <c r="M43" s="3"/>
      <c r="N43" s="3"/>
      <c r="O43" s="3"/>
      <c r="P43" s="3"/>
      <c r="Q43" s="3"/>
      <c r="R43" s="122"/>
      <c r="S43" s="3"/>
      <c r="T43" s="3"/>
      <c r="U43" s="3"/>
      <c r="V43" s="4"/>
      <c r="W43" s="3"/>
      <c r="X43" s="122"/>
      <c r="Y43" s="122"/>
    </row>
    <row r="44" spans="1:25">
      <c r="A44" s="14" t="s">
        <v>58</v>
      </c>
      <c r="B44" s="3" t="s">
        <v>29</v>
      </c>
      <c r="C44" s="3">
        <v>18</v>
      </c>
      <c r="D44" s="3"/>
      <c r="E44" s="3">
        <v>14</v>
      </c>
      <c r="F44" s="3">
        <v>6</v>
      </c>
      <c r="G44" s="3">
        <v>6</v>
      </c>
      <c r="H44" s="3"/>
      <c r="I44" s="3"/>
      <c r="J44" s="3"/>
      <c r="K44" s="3"/>
      <c r="L44" s="3"/>
      <c r="M44" s="3">
        <v>15</v>
      </c>
      <c r="N44" s="3"/>
      <c r="O44" s="3"/>
      <c r="P44" s="3"/>
      <c r="Q44" s="3"/>
      <c r="R44" s="122"/>
      <c r="S44" s="3"/>
      <c r="T44" s="3"/>
      <c r="U44" s="3"/>
      <c r="V44" s="4"/>
      <c r="W44" s="3"/>
      <c r="X44" s="122"/>
      <c r="Y44" s="122"/>
    </row>
    <row r="45" spans="1:25">
      <c r="A45" s="14" t="s">
        <v>59</v>
      </c>
      <c r="B45" s="3" t="s">
        <v>29</v>
      </c>
      <c r="C45" s="3">
        <v>18</v>
      </c>
      <c r="D45" s="3"/>
      <c r="E45" s="3">
        <v>6</v>
      </c>
      <c r="F45" s="3">
        <v>14</v>
      </c>
      <c r="G45" s="3">
        <v>6</v>
      </c>
      <c r="H45" s="3"/>
      <c r="I45" s="3"/>
      <c r="J45" s="3"/>
      <c r="K45" s="3"/>
      <c r="L45" s="3"/>
      <c r="M45" s="3">
        <v>15</v>
      </c>
      <c r="N45" s="3"/>
      <c r="O45" s="3"/>
      <c r="P45" s="3"/>
      <c r="Q45" s="3"/>
      <c r="R45" s="122"/>
      <c r="S45" s="3"/>
      <c r="T45" s="3"/>
      <c r="U45" s="3"/>
      <c r="V45" s="4"/>
      <c r="W45" s="3"/>
      <c r="X45" s="122"/>
      <c r="Y45" s="122"/>
    </row>
    <row r="46" spans="1:25">
      <c r="A46" s="14" t="s">
        <v>60</v>
      </c>
      <c r="B46" s="3" t="s">
        <v>29</v>
      </c>
      <c r="C46" s="3">
        <v>18</v>
      </c>
      <c r="D46" s="3"/>
      <c r="E46" s="3">
        <v>6</v>
      </c>
      <c r="F46" s="3">
        <v>6</v>
      </c>
      <c r="G46" s="3">
        <v>14</v>
      </c>
      <c r="H46" s="3"/>
      <c r="I46" s="3"/>
      <c r="J46" s="3"/>
      <c r="K46" s="3"/>
      <c r="L46" s="3"/>
      <c r="M46" s="3">
        <v>15</v>
      </c>
      <c r="N46" s="3"/>
      <c r="O46" s="3"/>
      <c r="P46" s="3"/>
      <c r="Q46" s="3"/>
      <c r="R46" s="122"/>
      <c r="S46" s="3"/>
      <c r="T46" s="3"/>
      <c r="U46" s="3"/>
      <c r="V46" s="4"/>
      <c r="W46" s="3"/>
      <c r="X46" s="122"/>
      <c r="Y46" s="122"/>
    </row>
    <row r="47" spans="1:25">
      <c r="A47" s="14" t="s">
        <v>61</v>
      </c>
      <c r="B47" s="3" t="s">
        <v>29</v>
      </c>
      <c r="C47" s="3">
        <v>17</v>
      </c>
      <c r="D47" s="3"/>
      <c r="E47" s="3">
        <v>6</v>
      </c>
      <c r="F47" s="3">
        <v>6</v>
      </c>
      <c r="G47" s="3">
        <v>6</v>
      </c>
      <c r="H47" s="3"/>
      <c r="I47" s="3"/>
      <c r="J47" s="3">
        <v>40</v>
      </c>
      <c r="K47" s="3"/>
      <c r="L47" s="3"/>
      <c r="M47" s="3"/>
      <c r="N47" s="3"/>
      <c r="O47" s="3"/>
      <c r="P47" s="3"/>
      <c r="Q47" s="3"/>
      <c r="R47" s="122"/>
      <c r="S47" s="3"/>
      <c r="T47" s="3"/>
      <c r="U47" s="3">
        <v>60</v>
      </c>
      <c r="V47" s="4"/>
      <c r="W47" s="3"/>
      <c r="X47" s="122"/>
      <c r="Y47" s="122"/>
    </row>
    <row r="48" spans="1:25">
      <c r="A48" s="14" t="s">
        <v>62</v>
      </c>
      <c r="B48" s="3" t="s">
        <v>29</v>
      </c>
      <c r="C48" s="3">
        <v>18</v>
      </c>
      <c r="D48" s="3"/>
      <c r="E48" s="3"/>
      <c r="F48" s="3"/>
      <c r="G48" s="3"/>
      <c r="H48" s="3"/>
      <c r="I48" s="3">
        <v>10</v>
      </c>
      <c r="J48" s="3"/>
      <c r="K48" s="3"/>
      <c r="L48" s="3"/>
      <c r="M48" s="3"/>
      <c r="N48" s="3"/>
      <c r="O48" s="3"/>
      <c r="P48" s="3"/>
      <c r="Q48" s="3"/>
      <c r="R48" s="122"/>
      <c r="S48" s="3"/>
      <c r="T48" s="3">
        <v>200</v>
      </c>
      <c r="U48" s="3">
        <v>75</v>
      </c>
      <c r="V48" s="4"/>
      <c r="W48" s="3"/>
      <c r="X48" s="122"/>
      <c r="Y48" s="122"/>
    </row>
    <row r="49" spans="1:25">
      <c r="A49" s="14" t="s">
        <v>63</v>
      </c>
      <c r="B49" s="3" t="s">
        <v>29</v>
      </c>
      <c r="C49" s="3">
        <v>20</v>
      </c>
      <c r="D49" s="3"/>
      <c r="E49" s="3">
        <v>9</v>
      </c>
      <c r="F49" s="3">
        <v>9</v>
      </c>
      <c r="G49" s="3">
        <v>9</v>
      </c>
      <c r="H49" s="3"/>
      <c r="I49" s="3">
        <v>3</v>
      </c>
      <c r="J49" s="3"/>
      <c r="K49" s="3"/>
      <c r="L49" s="3"/>
      <c r="M49" s="3"/>
      <c r="N49" s="3"/>
      <c r="O49" s="3"/>
      <c r="P49" s="3"/>
      <c r="Q49" s="3"/>
      <c r="R49" s="122"/>
      <c r="S49" s="3"/>
      <c r="T49" s="3"/>
      <c r="U49" s="3"/>
      <c r="V49" s="4"/>
      <c r="W49" s="3"/>
      <c r="X49" s="122"/>
      <c r="Y49" s="122"/>
    </row>
    <row r="50" spans="1:25">
      <c r="A50" s="14" t="s">
        <v>64</v>
      </c>
      <c r="B50" s="3" t="s">
        <v>29</v>
      </c>
      <c r="C50" s="3">
        <v>18</v>
      </c>
      <c r="D50" s="3"/>
      <c r="E50" s="3"/>
      <c r="F50" s="3"/>
      <c r="G50" s="3">
        <v>6</v>
      </c>
      <c r="H50" s="3"/>
      <c r="I50" s="3">
        <v>15</v>
      </c>
      <c r="J50" s="3"/>
      <c r="K50" s="3"/>
      <c r="L50" s="3"/>
      <c r="M50" s="3">
        <v>5</v>
      </c>
      <c r="N50" s="3"/>
      <c r="O50" s="3"/>
      <c r="P50" s="3"/>
      <c r="Q50" s="3"/>
      <c r="R50" s="122"/>
      <c r="S50" s="3"/>
      <c r="T50" s="3"/>
      <c r="U50" s="3">
        <v>40</v>
      </c>
      <c r="V50" s="4"/>
      <c r="W50" s="3"/>
      <c r="X50" s="122"/>
      <c r="Y50" s="122"/>
    </row>
    <row r="51" spans="1:25">
      <c r="A51" s="14" t="s">
        <v>65</v>
      </c>
      <c r="B51" s="3" t="s">
        <v>29</v>
      </c>
      <c r="C51" s="3">
        <v>19</v>
      </c>
      <c r="D51" s="3"/>
      <c r="E51" s="3"/>
      <c r="F51" s="3"/>
      <c r="G51" s="3"/>
      <c r="H51" s="3"/>
      <c r="I51" s="3">
        <v>20</v>
      </c>
      <c r="J51" s="3"/>
      <c r="K51" s="3">
        <v>5</v>
      </c>
      <c r="L51" s="3"/>
      <c r="M51" s="3"/>
      <c r="N51" s="3"/>
      <c r="O51" s="3"/>
      <c r="P51" s="3"/>
      <c r="Q51" s="3">
        <v>15</v>
      </c>
      <c r="R51" s="122"/>
      <c r="S51" s="3"/>
      <c r="T51" s="3"/>
      <c r="U51" s="3"/>
      <c r="V51" s="4"/>
      <c r="W51" s="3"/>
      <c r="X51" s="122"/>
      <c r="Y51" s="122"/>
    </row>
    <row r="52" spans="1:25">
      <c r="A52" s="14" t="s">
        <v>66</v>
      </c>
      <c r="B52" s="3" t="s">
        <v>29</v>
      </c>
      <c r="C52" s="3">
        <v>19</v>
      </c>
      <c r="D52" s="3"/>
      <c r="E52" s="3"/>
      <c r="F52" s="3"/>
      <c r="G52" s="3"/>
      <c r="H52" s="3"/>
      <c r="I52" s="3"/>
      <c r="J52" s="3"/>
      <c r="K52" s="3">
        <v>-10</v>
      </c>
      <c r="L52" s="3"/>
      <c r="M52" s="3">
        <v>20</v>
      </c>
      <c r="N52" s="3"/>
      <c r="O52" s="3"/>
      <c r="P52" s="3"/>
      <c r="Q52" s="3">
        <v>20</v>
      </c>
      <c r="R52" s="122"/>
      <c r="S52" s="3"/>
      <c r="T52" s="3"/>
      <c r="U52" s="3"/>
      <c r="V52" s="4"/>
      <c r="W52" s="3"/>
      <c r="X52" s="122"/>
      <c r="Y52" s="122"/>
    </row>
    <row r="53" spans="1:25">
      <c r="A53" s="14" t="s">
        <v>67</v>
      </c>
      <c r="B53" s="3" t="s">
        <v>29</v>
      </c>
      <c r="C53" s="3">
        <v>25</v>
      </c>
      <c r="D53" s="3"/>
      <c r="E53" s="3"/>
      <c r="F53" s="3"/>
      <c r="G53" s="3"/>
      <c r="H53" s="3"/>
      <c r="I53" s="3"/>
      <c r="J53" s="3"/>
      <c r="K53" s="3">
        <v>5</v>
      </c>
      <c r="L53" s="3"/>
      <c r="M53" s="3">
        <v>15</v>
      </c>
      <c r="N53" s="3"/>
      <c r="O53" s="3"/>
      <c r="P53" s="3"/>
      <c r="Q53" s="3">
        <v>16</v>
      </c>
      <c r="R53" s="122"/>
      <c r="S53" s="3"/>
      <c r="T53" s="3"/>
      <c r="U53" s="3">
        <v>40</v>
      </c>
      <c r="V53" s="4"/>
      <c r="W53" s="3"/>
      <c r="X53" s="122"/>
      <c r="Y53" s="122"/>
    </row>
    <row r="54" spans="1:25">
      <c r="A54" s="14" t="s">
        <v>68</v>
      </c>
      <c r="B54" s="3" t="s">
        <v>29</v>
      </c>
      <c r="C54" s="3">
        <v>18</v>
      </c>
      <c r="D54" s="3"/>
      <c r="E54" s="3"/>
      <c r="F54" s="3"/>
      <c r="G54" s="3"/>
      <c r="H54" s="3"/>
      <c r="I54" s="3"/>
      <c r="J54" s="3"/>
      <c r="K54" s="3"/>
      <c r="L54" s="3">
        <v>12</v>
      </c>
      <c r="M54" s="3"/>
      <c r="N54" s="3"/>
      <c r="O54" s="3"/>
      <c r="P54" s="3"/>
      <c r="Q54" s="3"/>
      <c r="R54" s="122"/>
      <c r="S54" s="3"/>
      <c r="T54" s="3">
        <v>180</v>
      </c>
      <c r="U54" s="3"/>
      <c r="V54" s="4"/>
      <c r="W54" s="3"/>
      <c r="X54" s="122"/>
      <c r="Y54" s="122"/>
    </row>
    <row r="55" spans="1:25">
      <c r="A55" s="14" t="s">
        <v>69</v>
      </c>
      <c r="B55" s="3" t="s">
        <v>29</v>
      </c>
      <c r="C55" s="3">
        <v>19</v>
      </c>
      <c r="D55" s="3"/>
      <c r="E55" s="3"/>
      <c r="F55" s="3"/>
      <c r="G55" s="3"/>
      <c r="H55" s="3">
        <v>280</v>
      </c>
      <c r="I55" s="3"/>
      <c r="J55" s="3"/>
      <c r="K55" s="3">
        <v>4</v>
      </c>
      <c r="L55" s="3"/>
      <c r="M55" s="3"/>
      <c r="N55" s="3"/>
      <c r="O55" s="3"/>
      <c r="P55" s="3"/>
      <c r="Q55" s="3"/>
      <c r="R55" s="122"/>
      <c r="S55" s="3"/>
      <c r="T55" s="3">
        <v>240</v>
      </c>
      <c r="U55" s="3"/>
      <c r="V55" s="4"/>
      <c r="W55" s="3"/>
      <c r="X55" s="122"/>
      <c r="Y55" s="122"/>
    </row>
    <row r="56" spans="1:25">
      <c r="A56" s="14" t="s">
        <v>70</v>
      </c>
      <c r="B56" s="3" t="s">
        <v>29</v>
      </c>
      <c r="C56" s="3">
        <v>21</v>
      </c>
      <c r="D56" s="3"/>
      <c r="E56" s="3">
        <v>5</v>
      </c>
      <c r="F56" s="3">
        <v>5</v>
      </c>
      <c r="G56" s="3">
        <v>5</v>
      </c>
      <c r="H56" s="3"/>
      <c r="I56" s="3"/>
      <c r="J56" s="3"/>
      <c r="K56" s="3"/>
      <c r="L56" s="3"/>
      <c r="M56" s="3"/>
      <c r="N56" s="3">
        <v>5</v>
      </c>
      <c r="O56" s="3"/>
      <c r="P56" s="3"/>
      <c r="Q56" s="3"/>
      <c r="R56" s="122"/>
      <c r="S56" s="3"/>
      <c r="T56" s="3"/>
      <c r="U56" s="3"/>
      <c r="V56" s="4">
        <v>10</v>
      </c>
      <c r="W56" s="3"/>
      <c r="X56" s="122"/>
      <c r="Y56" s="122"/>
    </row>
    <row r="57" spans="1:25">
      <c r="A57" s="15" t="s">
        <v>72</v>
      </c>
      <c r="B57" s="3" t="s">
        <v>74</v>
      </c>
      <c r="C57" s="3">
        <v>20</v>
      </c>
      <c r="D57" s="3"/>
      <c r="E57" s="3">
        <v>10</v>
      </c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122"/>
      <c r="S57" s="3"/>
      <c r="T57" s="3"/>
      <c r="U57" s="3"/>
      <c r="V57" s="4"/>
      <c r="W57" s="3"/>
      <c r="X57" s="122"/>
      <c r="Y57" s="122"/>
    </row>
    <row r="58" spans="1:25">
      <c r="A58" s="15" t="s">
        <v>75</v>
      </c>
      <c r="B58" s="3" t="s">
        <v>74</v>
      </c>
      <c r="C58" s="3">
        <v>20</v>
      </c>
      <c r="D58" s="3"/>
      <c r="E58" s="3"/>
      <c r="F58" s="3">
        <v>10</v>
      </c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122"/>
      <c r="S58" s="3"/>
      <c r="T58" s="3"/>
      <c r="U58" s="3"/>
      <c r="V58" s="4"/>
      <c r="W58" s="3"/>
      <c r="X58" s="122"/>
      <c r="Y58" s="122"/>
    </row>
    <row r="59" spans="1:25">
      <c r="A59" s="15" t="s">
        <v>76</v>
      </c>
      <c r="B59" s="3" t="s">
        <v>74</v>
      </c>
      <c r="C59" s="3">
        <v>20</v>
      </c>
      <c r="D59" s="3"/>
      <c r="E59" s="3"/>
      <c r="F59" s="3"/>
      <c r="G59" s="3">
        <v>10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122"/>
      <c r="S59" s="3"/>
      <c r="T59" s="3"/>
      <c r="U59" s="3"/>
      <c r="V59" s="4"/>
      <c r="W59" s="3"/>
      <c r="X59" s="122"/>
      <c r="Y59" s="122"/>
    </row>
    <row r="60" spans="1:25">
      <c r="A60" s="15" t="s">
        <v>77</v>
      </c>
      <c r="B60" s="3" t="s">
        <v>74</v>
      </c>
      <c r="C60" s="3">
        <v>21</v>
      </c>
      <c r="D60" s="3"/>
      <c r="E60" s="3"/>
      <c r="F60" s="3"/>
      <c r="G60" s="3"/>
      <c r="H60" s="3"/>
      <c r="I60" s="3">
        <v>18</v>
      </c>
      <c r="J60" s="3"/>
      <c r="K60" s="3"/>
      <c r="L60" s="3"/>
      <c r="M60" s="3"/>
      <c r="N60" s="3"/>
      <c r="O60" s="3"/>
      <c r="P60" s="3"/>
      <c r="Q60" s="3"/>
      <c r="R60" s="122"/>
      <c r="S60" s="3"/>
      <c r="T60" s="3"/>
      <c r="U60" s="3"/>
      <c r="V60" s="4"/>
      <c r="W60" s="3"/>
      <c r="X60" s="122"/>
      <c r="Y60" s="122"/>
    </row>
    <row r="61" spans="1:25">
      <c r="A61" s="15" t="s">
        <v>78</v>
      </c>
      <c r="B61" s="3" t="s">
        <v>74</v>
      </c>
      <c r="C61" s="3">
        <v>22</v>
      </c>
      <c r="D61" s="3"/>
      <c r="E61" s="3"/>
      <c r="F61" s="3"/>
      <c r="G61" s="3"/>
      <c r="H61" s="3"/>
      <c r="I61" s="3">
        <v>21</v>
      </c>
      <c r="J61" s="3"/>
      <c r="K61" s="3"/>
      <c r="L61" s="3"/>
      <c r="M61" s="3"/>
      <c r="N61" s="3"/>
      <c r="O61" s="3"/>
      <c r="P61" s="3"/>
      <c r="Q61" s="3"/>
      <c r="R61" s="122"/>
      <c r="S61" s="3"/>
      <c r="T61" s="3"/>
      <c r="U61" s="3"/>
      <c r="V61" s="4"/>
      <c r="W61" s="3"/>
      <c r="X61" s="122"/>
      <c r="Y61" s="122"/>
    </row>
    <row r="62" spans="1:25">
      <c r="A62" s="15" t="s">
        <v>79</v>
      </c>
      <c r="B62" s="3" t="s">
        <v>74</v>
      </c>
      <c r="C62" s="3">
        <v>22</v>
      </c>
      <c r="D62" s="3"/>
      <c r="E62" s="3"/>
      <c r="F62" s="3"/>
      <c r="G62" s="3"/>
      <c r="H62" s="3"/>
      <c r="I62" s="3"/>
      <c r="J62" s="3"/>
      <c r="K62" s="3">
        <v>10</v>
      </c>
      <c r="L62" s="3"/>
      <c r="M62" s="3"/>
      <c r="N62" s="3"/>
      <c r="O62" s="3"/>
      <c r="P62" s="3"/>
      <c r="Q62" s="3"/>
      <c r="R62" s="122"/>
      <c r="S62" s="3"/>
      <c r="T62" s="3"/>
      <c r="U62" s="3"/>
      <c r="V62" s="4"/>
      <c r="W62" s="3"/>
      <c r="X62" s="122"/>
      <c r="Y62" s="122"/>
    </row>
    <row r="63" spans="1:25">
      <c r="A63" s="15" t="s">
        <v>80</v>
      </c>
      <c r="B63" s="3" t="s">
        <v>74</v>
      </c>
      <c r="C63" s="3">
        <v>23</v>
      </c>
      <c r="D63" s="3"/>
      <c r="E63" s="3"/>
      <c r="F63" s="3"/>
      <c r="G63" s="3"/>
      <c r="H63" s="3"/>
      <c r="I63" s="3">
        <v>24</v>
      </c>
      <c r="J63" s="3"/>
      <c r="K63" s="3"/>
      <c r="L63" s="3"/>
      <c r="M63" s="3"/>
      <c r="N63" s="3"/>
      <c r="O63" s="3"/>
      <c r="P63" s="3"/>
      <c r="Q63" s="3"/>
      <c r="R63" s="122"/>
      <c r="S63" s="3"/>
      <c r="T63" s="3"/>
      <c r="U63" s="3"/>
      <c r="V63" s="4"/>
      <c r="W63" s="3"/>
      <c r="X63" s="122"/>
      <c r="Y63" s="122"/>
    </row>
    <row r="64" spans="1:25">
      <c r="A64" s="15" t="s">
        <v>81</v>
      </c>
      <c r="B64" s="3" t="s">
        <v>74</v>
      </c>
      <c r="C64" s="3">
        <v>24</v>
      </c>
      <c r="D64" s="3"/>
      <c r="E64" s="3"/>
      <c r="F64" s="3"/>
      <c r="G64" s="3"/>
      <c r="H64" s="3"/>
      <c r="I64" s="3">
        <v>24</v>
      </c>
      <c r="J64" s="3"/>
      <c r="K64" s="3"/>
      <c r="L64" s="3"/>
      <c r="M64" s="3"/>
      <c r="N64" s="3"/>
      <c r="O64" s="3"/>
      <c r="P64" s="3"/>
      <c r="Q64" s="3"/>
      <c r="R64" s="122"/>
      <c r="S64" s="3"/>
      <c r="T64" s="3"/>
      <c r="U64" s="3"/>
      <c r="V64" s="4"/>
      <c r="W64" s="3"/>
      <c r="X64" s="122"/>
      <c r="Y64" s="122"/>
    </row>
    <row r="65" spans="1:25">
      <c r="A65" s="15" t="s">
        <v>82</v>
      </c>
      <c r="B65" s="3" t="s">
        <v>74</v>
      </c>
      <c r="C65" s="3">
        <v>25</v>
      </c>
      <c r="D65" s="3"/>
      <c r="E65" s="3"/>
      <c r="F65" s="3"/>
      <c r="G65" s="3"/>
      <c r="H65" s="3"/>
      <c r="I65" s="3"/>
      <c r="J65" s="3"/>
      <c r="K65" s="3"/>
      <c r="L65" s="3"/>
      <c r="M65" s="3">
        <v>15</v>
      </c>
      <c r="N65" s="3"/>
      <c r="O65" s="3"/>
      <c r="P65" s="3"/>
      <c r="Q65" s="3"/>
      <c r="R65" s="122"/>
      <c r="S65" s="3"/>
      <c r="T65" s="3"/>
      <c r="U65" s="3"/>
      <c r="V65" s="4"/>
      <c r="W65" s="3"/>
      <c r="X65" s="122"/>
      <c r="Y65" s="122"/>
    </row>
    <row r="66" spans="1:25">
      <c r="A66" s="15" t="s">
        <v>83</v>
      </c>
      <c r="B66" s="3" t="s">
        <v>74</v>
      </c>
      <c r="C66" s="3">
        <v>24</v>
      </c>
      <c r="D66" s="3"/>
      <c r="E66" s="3">
        <v>7</v>
      </c>
      <c r="F66" s="3">
        <v>7</v>
      </c>
      <c r="G66" s="3">
        <v>7</v>
      </c>
      <c r="H66" s="3"/>
      <c r="I66" s="3"/>
      <c r="J66" s="3"/>
      <c r="K66" s="3"/>
      <c r="L66" s="3"/>
      <c r="M66" s="3"/>
      <c r="N66" s="3"/>
      <c r="O66" s="3">
        <v>20</v>
      </c>
      <c r="P66" s="3"/>
      <c r="Q66" s="3"/>
      <c r="R66" s="122"/>
      <c r="S66" s="3"/>
      <c r="T66" s="3"/>
      <c r="U66" s="3"/>
      <c r="V66" s="4"/>
      <c r="W66" s="3"/>
      <c r="X66" s="122"/>
      <c r="Y66" s="122"/>
    </row>
    <row r="67" spans="1:25">
      <c r="A67" s="15" t="s">
        <v>85</v>
      </c>
      <c r="B67" s="3" t="s">
        <v>74</v>
      </c>
      <c r="C67" s="3">
        <v>26</v>
      </c>
      <c r="D67" s="3"/>
      <c r="E67" s="3">
        <v>16</v>
      </c>
      <c r="F67" s="3"/>
      <c r="G67" s="3"/>
      <c r="H67" s="3"/>
      <c r="I67" s="3">
        <v>10</v>
      </c>
      <c r="J67" s="3"/>
      <c r="K67" s="3"/>
      <c r="L67" s="3"/>
      <c r="M67" s="3"/>
      <c r="N67" s="3"/>
      <c r="O67" s="3"/>
      <c r="P67" s="3"/>
      <c r="Q67" s="3"/>
      <c r="R67" s="122"/>
      <c r="S67" s="3"/>
      <c r="T67" s="3"/>
      <c r="U67" s="3"/>
      <c r="V67" s="4"/>
      <c r="W67" s="3"/>
      <c r="X67" s="122"/>
      <c r="Y67" s="122"/>
    </row>
    <row r="68" spans="1:25">
      <c r="A68" s="15" t="s">
        <v>86</v>
      </c>
      <c r="B68" s="3" t="s">
        <v>74</v>
      </c>
      <c r="C68" s="3">
        <v>26</v>
      </c>
      <c r="D68" s="3"/>
      <c r="E68" s="3"/>
      <c r="F68" s="3">
        <v>16</v>
      </c>
      <c r="G68" s="3"/>
      <c r="H68" s="3"/>
      <c r="I68" s="3"/>
      <c r="J68" s="3"/>
      <c r="K68" s="3"/>
      <c r="L68" s="3"/>
      <c r="M68" s="3">
        <v>6</v>
      </c>
      <c r="N68" s="3"/>
      <c r="O68" s="3"/>
      <c r="P68" s="3"/>
      <c r="Q68" s="3"/>
      <c r="R68" s="122"/>
      <c r="S68" s="3"/>
      <c r="T68" s="3"/>
      <c r="U68" s="3"/>
      <c r="V68" s="4"/>
      <c r="W68" s="3"/>
      <c r="X68" s="122"/>
      <c r="Y68" s="122"/>
    </row>
    <row r="69" spans="1:25">
      <c r="A69" s="16" t="s">
        <v>87</v>
      </c>
      <c r="B69" s="3" t="s">
        <v>74</v>
      </c>
      <c r="C69" s="3">
        <v>37</v>
      </c>
      <c r="D69" s="3"/>
      <c r="E69" s="3"/>
      <c r="F69" s="3"/>
      <c r="G69" s="3"/>
      <c r="H69" s="3"/>
      <c r="I69" s="3">
        <v>30</v>
      </c>
      <c r="J69" s="3"/>
      <c r="K69" s="3"/>
      <c r="L69" s="3"/>
      <c r="M69" s="3">
        <v>30</v>
      </c>
      <c r="N69" s="3"/>
      <c r="O69" s="3"/>
      <c r="P69" s="3"/>
      <c r="Q69" s="3"/>
      <c r="R69" s="122"/>
      <c r="S69" s="3"/>
      <c r="T69" s="3"/>
      <c r="U69" s="3"/>
      <c r="V69" s="4"/>
      <c r="W69" s="3"/>
      <c r="X69" s="122"/>
      <c r="Y69" s="122"/>
    </row>
    <row r="70" spans="1:25">
      <c r="A70" s="16" t="s">
        <v>89</v>
      </c>
      <c r="B70" s="3" t="s">
        <v>74</v>
      </c>
      <c r="C70" s="3">
        <v>36</v>
      </c>
      <c r="D70" s="3"/>
      <c r="E70" s="3"/>
      <c r="F70" s="3"/>
      <c r="G70" s="3">
        <v>10</v>
      </c>
      <c r="H70" s="3"/>
      <c r="I70" s="3">
        <v>22</v>
      </c>
      <c r="J70" s="3"/>
      <c r="K70" s="3">
        <v>5</v>
      </c>
      <c r="L70" s="3">
        <v>5</v>
      </c>
      <c r="M70" s="3"/>
      <c r="N70" s="3"/>
      <c r="O70" s="3"/>
      <c r="P70" s="3"/>
      <c r="Q70" s="3"/>
      <c r="R70" s="122"/>
      <c r="S70" s="3"/>
      <c r="T70" s="3"/>
      <c r="U70" s="3"/>
      <c r="V70" s="4"/>
      <c r="W70" s="3"/>
      <c r="X70" s="122"/>
      <c r="Y70" s="122"/>
    </row>
    <row r="71" spans="1:25">
      <c r="A71" s="16" t="s">
        <v>90</v>
      </c>
      <c r="B71" s="3" t="s">
        <v>74</v>
      </c>
      <c r="C71" s="3">
        <v>30</v>
      </c>
      <c r="D71" s="3"/>
      <c r="E71" s="3"/>
      <c r="F71" s="3"/>
      <c r="G71" s="3">
        <v>10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122"/>
      <c r="S71" s="3">
        <v>5</v>
      </c>
      <c r="T71" s="3">
        <v>120</v>
      </c>
      <c r="U71" s="3"/>
      <c r="V71" s="4"/>
      <c r="W71" s="3"/>
      <c r="X71" s="122"/>
      <c r="Y71" s="122"/>
    </row>
    <row r="72" spans="1:25">
      <c r="A72" s="16" t="s">
        <v>92</v>
      </c>
      <c r="B72" s="3" t="s">
        <v>74</v>
      </c>
      <c r="C72" s="3">
        <v>31</v>
      </c>
      <c r="D72" s="3"/>
      <c r="E72" s="3">
        <v>25</v>
      </c>
      <c r="F72" s="3">
        <v>25</v>
      </c>
      <c r="G72" s="3">
        <v>25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122"/>
      <c r="S72" s="3"/>
      <c r="T72" s="3"/>
      <c r="U72" s="3"/>
      <c r="V72" s="4"/>
      <c r="W72" s="3"/>
      <c r="X72" s="122"/>
      <c r="Y72" s="122"/>
    </row>
    <row r="73" spans="1:25">
      <c r="A73" s="16" t="s">
        <v>93</v>
      </c>
      <c r="B73" s="3" t="s">
        <v>74</v>
      </c>
      <c r="C73" s="3">
        <v>32</v>
      </c>
      <c r="D73" s="3"/>
      <c r="E73" s="3">
        <v>25</v>
      </c>
      <c r="F73" s="3"/>
      <c r="G73" s="3"/>
      <c r="H73" s="3"/>
      <c r="I73" s="3">
        <v>9</v>
      </c>
      <c r="J73" s="3"/>
      <c r="K73" s="3">
        <v>5</v>
      </c>
      <c r="L73" s="3"/>
      <c r="M73" s="3">
        <v>10</v>
      </c>
      <c r="N73" s="3"/>
      <c r="O73" s="3"/>
      <c r="P73" s="3"/>
      <c r="Q73" s="3"/>
      <c r="R73" s="122"/>
      <c r="S73" s="3"/>
      <c r="T73" s="3"/>
      <c r="U73" s="3"/>
      <c r="V73" s="4"/>
      <c r="W73" s="3"/>
      <c r="X73" s="122"/>
      <c r="Y73" s="122"/>
    </row>
    <row r="74" spans="1:25">
      <c r="A74" s="16" t="s">
        <v>94</v>
      </c>
      <c r="B74" s="3" t="s">
        <v>74</v>
      </c>
      <c r="C74" s="3">
        <v>43</v>
      </c>
      <c r="D74" s="3"/>
      <c r="E74" s="3"/>
      <c r="F74" s="3"/>
      <c r="G74" s="3"/>
      <c r="H74" s="3"/>
      <c r="I74" s="3">
        <v>24</v>
      </c>
      <c r="J74" s="3"/>
      <c r="K74" s="3"/>
      <c r="L74" s="3"/>
      <c r="M74" s="3">
        <v>15</v>
      </c>
      <c r="N74" s="3"/>
      <c r="O74" s="3"/>
      <c r="P74" s="3"/>
      <c r="Q74" s="3"/>
      <c r="R74" s="122"/>
      <c r="S74" s="3"/>
      <c r="T74" s="3"/>
      <c r="U74" s="3"/>
      <c r="V74" s="4"/>
      <c r="W74" s="3"/>
      <c r="X74" s="122"/>
      <c r="Y74" s="122"/>
    </row>
    <row r="75" spans="1:25">
      <c r="A75" s="16" t="s">
        <v>97</v>
      </c>
      <c r="B75" s="3" t="s">
        <v>74</v>
      </c>
      <c r="C75" s="3">
        <v>34</v>
      </c>
      <c r="D75" s="3"/>
      <c r="E75" s="3"/>
      <c r="F75" s="3"/>
      <c r="G75" s="3">
        <v>10</v>
      </c>
      <c r="H75" s="3"/>
      <c r="I75" s="3"/>
      <c r="J75" s="3"/>
      <c r="K75" s="3"/>
      <c r="L75" s="3"/>
      <c r="M75" s="3"/>
      <c r="N75" s="3"/>
      <c r="O75" s="3"/>
      <c r="P75" s="3">
        <v>5</v>
      </c>
      <c r="Q75" s="3"/>
      <c r="R75" s="122"/>
      <c r="S75" s="3"/>
      <c r="T75" s="3"/>
      <c r="U75" s="3">
        <v>90</v>
      </c>
      <c r="V75" s="4"/>
      <c r="W75" s="3"/>
      <c r="X75" s="122"/>
      <c r="Y75" s="122"/>
    </row>
    <row r="76" spans="1:25">
      <c r="A76" s="16" t="s">
        <v>99</v>
      </c>
      <c r="B76" s="3" t="s">
        <v>74</v>
      </c>
      <c r="C76" s="3">
        <v>34</v>
      </c>
      <c r="D76" s="3"/>
      <c r="E76" s="3"/>
      <c r="F76" s="3"/>
      <c r="G76" s="3"/>
      <c r="H76" s="3"/>
      <c r="I76" s="3">
        <v>30</v>
      </c>
      <c r="J76" s="3"/>
      <c r="K76" s="3"/>
      <c r="L76" s="3"/>
      <c r="M76" s="3">
        <v>15</v>
      </c>
      <c r="N76" s="3"/>
      <c r="O76" s="3"/>
      <c r="P76" s="3"/>
      <c r="Q76" s="3"/>
      <c r="R76" s="122"/>
      <c r="S76" s="3"/>
      <c r="T76" s="3"/>
      <c r="U76" s="3"/>
      <c r="V76" s="4"/>
      <c r="W76" s="3"/>
      <c r="X76" s="122"/>
      <c r="Y76" s="122"/>
    </row>
    <row r="77" spans="1:25">
      <c r="A77" s="16" t="s">
        <v>100</v>
      </c>
      <c r="B77" s="3" t="s">
        <v>74</v>
      </c>
      <c r="C77" s="3">
        <v>44</v>
      </c>
      <c r="D77" s="3"/>
      <c r="E77" s="3">
        <v>3</v>
      </c>
      <c r="F77" s="3"/>
      <c r="G77" s="3"/>
      <c r="H77" s="3"/>
      <c r="I77" s="3">
        <v>40</v>
      </c>
      <c r="J77" s="3"/>
      <c r="K77" s="3"/>
      <c r="L77" s="3"/>
      <c r="M77" s="3">
        <v>10</v>
      </c>
      <c r="N77" s="3"/>
      <c r="O77" s="3"/>
      <c r="P77" s="3"/>
      <c r="Q77" s="3"/>
      <c r="R77" s="122"/>
      <c r="S77" s="3"/>
      <c r="T77" s="3"/>
      <c r="U77" s="3"/>
      <c r="V77" s="4"/>
      <c r="W77" s="3"/>
      <c r="X77" s="122"/>
      <c r="Y77" s="122"/>
    </row>
    <row r="78" spans="1:25">
      <c r="A78" s="16" t="s">
        <v>101</v>
      </c>
      <c r="B78" s="3" t="s">
        <v>74</v>
      </c>
      <c r="C78" s="3">
        <v>41</v>
      </c>
      <c r="D78" s="3"/>
      <c r="E78" s="3"/>
      <c r="F78" s="3"/>
      <c r="G78" s="3">
        <v>12</v>
      </c>
      <c r="H78" s="3"/>
      <c r="I78" s="3"/>
      <c r="J78" s="3"/>
      <c r="K78" s="3"/>
      <c r="L78" s="3"/>
      <c r="M78" s="3"/>
      <c r="N78" s="3"/>
      <c r="O78" s="3"/>
      <c r="P78" s="3">
        <v>12</v>
      </c>
      <c r="Q78" s="3"/>
      <c r="R78" s="122"/>
      <c r="S78" s="3"/>
      <c r="T78" s="3"/>
      <c r="U78" s="3"/>
      <c r="V78" s="4"/>
      <c r="W78" s="3"/>
      <c r="X78" s="122"/>
      <c r="Y78" s="122"/>
    </row>
    <row r="79" spans="1:25">
      <c r="A79" s="16" t="s">
        <v>102</v>
      </c>
      <c r="B79" s="3" t="s">
        <v>74</v>
      </c>
      <c r="C79" s="3">
        <v>42</v>
      </c>
      <c r="D79" s="3"/>
      <c r="E79" s="3"/>
      <c r="F79" s="3"/>
      <c r="G79" s="3">
        <v>25</v>
      </c>
      <c r="H79" s="3">
        <v>325</v>
      </c>
      <c r="I79" s="3"/>
      <c r="J79" s="3"/>
      <c r="K79" s="3"/>
      <c r="L79" s="3"/>
      <c r="M79" s="3"/>
      <c r="N79" s="3"/>
      <c r="O79" s="3"/>
      <c r="P79" s="3">
        <v>5</v>
      </c>
      <c r="Q79" s="3"/>
      <c r="R79" s="122"/>
      <c r="S79" s="3"/>
      <c r="T79" s="3"/>
      <c r="U79" s="3"/>
      <c r="V79" s="4"/>
      <c r="W79" s="3"/>
      <c r="X79" s="122"/>
      <c r="Y79" s="122"/>
    </row>
    <row r="80" spans="1:25">
      <c r="A80" s="16" t="s">
        <v>104</v>
      </c>
      <c r="B80" s="3" t="s">
        <v>74</v>
      </c>
      <c r="C80" s="3">
        <v>35</v>
      </c>
      <c r="D80" s="3"/>
      <c r="E80" s="3"/>
      <c r="F80" s="3"/>
      <c r="G80" s="3"/>
      <c r="H80" s="3">
        <v>350</v>
      </c>
      <c r="I80" s="3"/>
      <c r="J80" s="3">
        <v>40</v>
      </c>
      <c r="K80" s="3"/>
      <c r="L80" s="3"/>
      <c r="M80" s="3"/>
      <c r="N80" s="3"/>
      <c r="O80" s="3"/>
      <c r="P80" s="3"/>
      <c r="Q80" s="3"/>
      <c r="R80" s="122"/>
      <c r="S80" s="3"/>
      <c r="T80" s="3">
        <v>100</v>
      </c>
      <c r="U80" s="3">
        <v>32</v>
      </c>
      <c r="V80" s="4"/>
      <c r="W80" s="3"/>
      <c r="X80" s="122"/>
      <c r="Y80" s="122"/>
    </row>
    <row r="81" spans="1:25">
      <c r="A81" s="16" t="s">
        <v>106</v>
      </c>
      <c r="B81" s="3" t="s">
        <v>74</v>
      </c>
      <c r="C81" s="3">
        <v>42</v>
      </c>
      <c r="D81" s="3"/>
      <c r="E81" s="3">
        <v>10</v>
      </c>
      <c r="F81" s="3"/>
      <c r="G81" s="3"/>
      <c r="H81" s="3"/>
      <c r="I81" s="3">
        <v>24</v>
      </c>
      <c r="J81" s="3"/>
      <c r="K81" s="3"/>
      <c r="L81" s="3">
        <v>10</v>
      </c>
      <c r="M81" s="3"/>
      <c r="N81" s="3"/>
      <c r="O81" s="3"/>
      <c r="P81" s="3"/>
      <c r="Q81" s="3"/>
      <c r="R81" s="122"/>
      <c r="S81" s="3"/>
      <c r="T81" s="3"/>
      <c r="U81" s="3"/>
      <c r="V81" s="4"/>
      <c r="W81" s="3"/>
      <c r="X81" s="122"/>
      <c r="Y81" s="122"/>
    </row>
    <row r="82" spans="1:25">
      <c r="A82" s="16" t="s">
        <v>108</v>
      </c>
      <c r="B82" s="3" t="s">
        <v>74</v>
      </c>
      <c r="C82" s="3">
        <v>35</v>
      </c>
      <c r="D82" s="3"/>
      <c r="E82" s="3">
        <v>16</v>
      </c>
      <c r="F82" s="3">
        <v>16</v>
      </c>
      <c r="G82" s="3"/>
      <c r="H82" s="3"/>
      <c r="I82" s="3">
        <v>12</v>
      </c>
      <c r="J82" s="3"/>
      <c r="K82" s="3"/>
      <c r="L82" s="3"/>
      <c r="M82" s="3">
        <v>12</v>
      </c>
      <c r="N82" s="3"/>
      <c r="O82" s="3"/>
      <c r="P82" s="3"/>
      <c r="Q82" s="3"/>
      <c r="R82" s="122"/>
      <c r="S82" s="3"/>
      <c r="T82" s="3"/>
      <c r="U82" s="3"/>
      <c r="V82" s="4"/>
      <c r="W82" s="3"/>
      <c r="X82" s="122"/>
      <c r="Y82" s="122"/>
    </row>
    <row r="83" spans="1:25">
      <c r="A83" s="16" t="s">
        <v>109</v>
      </c>
      <c r="B83" s="3" t="s">
        <v>74</v>
      </c>
      <c r="C83" s="3">
        <v>35</v>
      </c>
      <c r="D83" s="3"/>
      <c r="E83" s="3">
        <v>10</v>
      </c>
      <c r="F83" s="3">
        <v>10</v>
      </c>
      <c r="G83" s="3">
        <v>10</v>
      </c>
      <c r="H83" s="3">
        <v>200</v>
      </c>
      <c r="I83" s="3"/>
      <c r="J83" s="3"/>
      <c r="K83" s="3"/>
      <c r="L83" s="3"/>
      <c r="M83" s="3"/>
      <c r="N83" s="3"/>
      <c r="O83" s="3">
        <v>10</v>
      </c>
      <c r="P83" s="3"/>
      <c r="Q83" s="3"/>
      <c r="R83" s="122"/>
      <c r="S83" s="3"/>
      <c r="T83" s="3"/>
      <c r="U83" s="3"/>
      <c r="V83" s="4"/>
      <c r="W83" s="3"/>
      <c r="X83" s="122"/>
      <c r="Y83" s="122"/>
    </row>
    <row r="84" spans="1:25">
      <c r="A84" s="16" t="s">
        <v>111</v>
      </c>
      <c r="B84" s="3" t="s">
        <v>74</v>
      </c>
      <c r="C84" s="3">
        <v>43</v>
      </c>
      <c r="D84" s="3"/>
      <c r="E84" s="3"/>
      <c r="F84" s="3"/>
      <c r="G84" s="3"/>
      <c r="H84" s="3"/>
      <c r="I84" s="3">
        <v>65</v>
      </c>
      <c r="J84" s="3"/>
      <c r="K84" s="3"/>
      <c r="L84" s="3"/>
      <c r="M84" s="3"/>
      <c r="N84" s="3"/>
      <c r="O84" s="3"/>
      <c r="P84" s="3"/>
      <c r="Q84" s="3"/>
      <c r="R84" s="122"/>
      <c r="S84" s="3"/>
      <c r="T84" s="3">
        <v>140</v>
      </c>
      <c r="U84" s="3">
        <v>50</v>
      </c>
      <c r="V84" s="4"/>
      <c r="W84" s="3"/>
      <c r="X84" s="122"/>
      <c r="Y84" s="122"/>
    </row>
    <row r="85" spans="1:25">
      <c r="A85" s="16" t="s">
        <v>112</v>
      </c>
      <c r="B85" s="3" t="s">
        <v>74</v>
      </c>
      <c r="C85" s="3">
        <v>44</v>
      </c>
      <c r="D85" s="3"/>
      <c r="E85" s="3"/>
      <c r="F85" s="3"/>
      <c r="G85" s="3"/>
      <c r="H85" s="3"/>
      <c r="I85" s="3">
        <v>60</v>
      </c>
      <c r="J85" s="3"/>
      <c r="K85" s="3"/>
      <c r="L85" s="3"/>
      <c r="M85" s="3"/>
      <c r="N85" s="3">
        <v>7</v>
      </c>
      <c r="O85" s="3"/>
      <c r="P85" s="3"/>
      <c r="Q85" s="3"/>
      <c r="R85" s="122"/>
      <c r="S85" s="3"/>
      <c r="T85" s="3"/>
      <c r="U85" s="3"/>
      <c r="V85" s="4"/>
      <c r="W85" s="3"/>
      <c r="X85" s="122"/>
      <c r="Y85" s="122"/>
    </row>
    <row r="86" spans="1:25">
      <c r="A86" s="16" t="s">
        <v>113</v>
      </c>
      <c r="B86" s="3" t="s">
        <v>74</v>
      </c>
      <c r="C86" s="3">
        <v>41</v>
      </c>
      <c r="D86" s="3"/>
      <c r="E86" s="3">
        <v>5</v>
      </c>
      <c r="F86" s="3">
        <v>5</v>
      </c>
      <c r="G86" s="3">
        <v>5</v>
      </c>
      <c r="H86" s="3"/>
      <c r="I86" s="3"/>
      <c r="J86" s="3"/>
      <c r="K86" s="3"/>
      <c r="L86" s="3"/>
      <c r="M86" s="3"/>
      <c r="N86" s="3">
        <v>5</v>
      </c>
      <c r="O86" s="3"/>
      <c r="P86" s="3"/>
      <c r="Q86" s="3"/>
      <c r="R86" s="122"/>
      <c r="S86" s="3"/>
      <c r="T86" s="3"/>
      <c r="U86" s="3"/>
      <c r="V86" s="4">
        <v>20</v>
      </c>
      <c r="W86" s="3"/>
      <c r="X86" s="122"/>
      <c r="Y86" s="122"/>
    </row>
    <row r="87" spans="1:25">
      <c r="A87" s="16" t="s">
        <v>95</v>
      </c>
      <c r="B87" s="3" t="s">
        <v>74</v>
      </c>
      <c r="C87" s="3">
        <v>43</v>
      </c>
      <c r="D87" s="3"/>
      <c r="E87" s="3">
        <v>8</v>
      </c>
      <c r="F87" s="3"/>
      <c r="G87" s="3">
        <v>15</v>
      </c>
      <c r="H87" s="3">
        <v>200</v>
      </c>
      <c r="I87" s="3">
        <v>21</v>
      </c>
      <c r="J87" s="3">
        <v>21</v>
      </c>
      <c r="K87" s="3"/>
      <c r="L87" s="3"/>
      <c r="M87" s="3"/>
      <c r="N87" s="3"/>
      <c r="O87" s="3"/>
      <c r="P87" s="3"/>
      <c r="Q87" s="3"/>
      <c r="R87" s="122"/>
      <c r="S87" s="3"/>
      <c r="T87" s="3"/>
      <c r="U87" s="3"/>
      <c r="V87" s="4"/>
      <c r="W87" s="3"/>
      <c r="X87" s="122"/>
      <c r="Y87" s="122"/>
    </row>
    <row r="88" spans="1:25">
      <c r="A88" s="16" t="s">
        <v>96</v>
      </c>
      <c r="B88" s="3" t="s">
        <v>74</v>
      </c>
      <c r="C88" s="3">
        <v>33</v>
      </c>
      <c r="D88" s="3"/>
      <c r="E88" s="3"/>
      <c r="F88" s="3"/>
      <c r="G88" s="3">
        <v>15</v>
      </c>
      <c r="H88" s="3"/>
      <c r="I88" s="3"/>
      <c r="J88" s="3">
        <v>30</v>
      </c>
      <c r="K88" s="3"/>
      <c r="L88" s="3"/>
      <c r="M88" s="3"/>
      <c r="N88" s="3"/>
      <c r="O88" s="3">
        <v>5</v>
      </c>
      <c r="P88" s="3"/>
      <c r="Q88" s="3"/>
      <c r="R88" s="122"/>
      <c r="S88" s="3"/>
      <c r="T88" s="3"/>
      <c r="U88" s="3"/>
      <c r="V88" s="4"/>
      <c r="W88" s="3"/>
      <c r="X88" s="122"/>
      <c r="Y88" s="122"/>
    </row>
    <row r="89" spans="1:25">
      <c r="A89" s="16" t="s">
        <v>105</v>
      </c>
      <c r="B89" s="3" t="s">
        <v>74</v>
      </c>
      <c r="C89" s="3">
        <v>35</v>
      </c>
      <c r="D89" s="3"/>
      <c r="E89" s="3"/>
      <c r="F89" s="3">
        <v>22</v>
      </c>
      <c r="G89" s="3">
        <v>4</v>
      </c>
      <c r="H89" s="3"/>
      <c r="I89" s="3">
        <v>20</v>
      </c>
      <c r="J89" s="3"/>
      <c r="K89" s="3"/>
      <c r="L89" s="3"/>
      <c r="M89" s="3"/>
      <c r="N89" s="3"/>
      <c r="O89" s="3"/>
      <c r="P89" s="3"/>
      <c r="Q89" s="3"/>
      <c r="R89" s="122"/>
      <c r="S89" s="3"/>
      <c r="T89" s="3"/>
      <c r="U89" s="3"/>
      <c r="V89" s="4"/>
      <c r="W89" s="3"/>
      <c r="X89" s="122"/>
      <c r="Y89" s="122"/>
    </row>
    <row r="90" spans="1:25">
      <c r="A90" s="16" t="s">
        <v>114</v>
      </c>
      <c r="B90" s="3" t="s">
        <v>74</v>
      </c>
      <c r="C90" s="3">
        <v>45</v>
      </c>
      <c r="D90" s="3"/>
      <c r="E90" s="3"/>
      <c r="F90" s="3"/>
      <c r="G90" s="3"/>
      <c r="H90" s="3">
        <v>400</v>
      </c>
      <c r="I90" s="3"/>
      <c r="J90" s="3">
        <v>48</v>
      </c>
      <c r="K90" s="3"/>
      <c r="L90" s="3"/>
      <c r="M90" s="3"/>
      <c r="N90" s="3"/>
      <c r="O90" s="3"/>
      <c r="P90" s="3"/>
      <c r="Q90" s="3"/>
      <c r="R90" s="122"/>
      <c r="S90" s="3"/>
      <c r="T90" s="3">
        <v>200</v>
      </c>
      <c r="U90" s="3">
        <v>30</v>
      </c>
      <c r="V90" s="4">
        <v>20</v>
      </c>
      <c r="W90" s="3"/>
      <c r="X90" s="122"/>
      <c r="Y90" s="122"/>
    </row>
    <row r="91" spans="1:25">
      <c r="A91" s="17" t="s">
        <v>116</v>
      </c>
      <c r="B91" s="3" t="s">
        <v>115</v>
      </c>
      <c r="C91" s="3">
        <v>47</v>
      </c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122"/>
      <c r="S91" s="3">
        <v>20</v>
      </c>
      <c r="T91" s="3"/>
      <c r="U91" s="3"/>
      <c r="V91" s="4"/>
      <c r="W91" s="3"/>
      <c r="X91" s="122"/>
      <c r="Y91" s="122"/>
    </row>
    <row r="92" spans="1:25">
      <c r="A92" s="17" t="s">
        <v>117</v>
      </c>
      <c r="B92" s="3" t="s">
        <v>115</v>
      </c>
      <c r="C92" s="3">
        <v>48</v>
      </c>
      <c r="D92" s="3"/>
      <c r="E92" s="3">
        <v>10</v>
      </c>
      <c r="F92" s="3">
        <v>10</v>
      </c>
      <c r="G92" s="3">
        <v>10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122"/>
      <c r="S92" s="3"/>
      <c r="T92" s="3"/>
      <c r="U92" s="3"/>
      <c r="V92" s="4"/>
      <c r="W92" s="3"/>
      <c r="X92" s="122"/>
      <c r="Y92" s="122"/>
    </row>
    <row r="93" spans="1:25">
      <c r="A93" s="17" t="s">
        <v>118</v>
      </c>
      <c r="B93" s="3" t="s">
        <v>115</v>
      </c>
      <c r="C93" s="3">
        <v>49</v>
      </c>
      <c r="D93" s="3"/>
      <c r="E93" s="3"/>
      <c r="F93" s="3"/>
      <c r="G93" s="3"/>
      <c r="H93" s="3"/>
      <c r="I93" s="3"/>
      <c r="J93" s="3"/>
      <c r="K93" s="3"/>
      <c r="L93" s="3"/>
      <c r="M93" s="3">
        <v>25</v>
      </c>
      <c r="N93" s="3"/>
      <c r="O93" s="3"/>
      <c r="P93" s="3"/>
      <c r="Q93" s="3"/>
      <c r="R93" s="122"/>
      <c r="S93" s="3"/>
      <c r="T93" s="3"/>
      <c r="U93" s="3"/>
      <c r="V93" s="4"/>
      <c r="W93" s="3"/>
      <c r="X93" s="122"/>
      <c r="Y93" s="122"/>
    </row>
    <row r="94" spans="1:25">
      <c r="A94" s="17" t="s">
        <v>119</v>
      </c>
      <c r="B94" s="3" t="s">
        <v>115</v>
      </c>
      <c r="C94" s="3">
        <v>50</v>
      </c>
      <c r="D94" s="3"/>
      <c r="E94" s="3"/>
      <c r="F94" s="3"/>
      <c r="G94" s="3"/>
      <c r="H94" s="3"/>
      <c r="I94" s="3">
        <v>46</v>
      </c>
      <c r="J94" s="3"/>
      <c r="K94" s="3"/>
      <c r="L94" s="3"/>
      <c r="M94" s="3"/>
      <c r="N94" s="3"/>
      <c r="O94" s="3"/>
      <c r="P94" s="3"/>
      <c r="Q94" s="3"/>
      <c r="R94" s="122"/>
      <c r="S94" s="3"/>
      <c r="T94" s="3"/>
      <c r="U94" s="3"/>
      <c r="V94" s="4"/>
      <c r="W94" s="3"/>
      <c r="X94" s="122"/>
      <c r="Y94" s="122"/>
    </row>
    <row r="95" spans="1:25">
      <c r="A95" s="17" t="s">
        <v>121</v>
      </c>
      <c r="B95" s="3" t="s">
        <v>115</v>
      </c>
      <c r="C95" s="3">
        <v>65</v>
      </c>
      <c r="D95" s="3"/>
      <c r="E95" s="3">
        <v>25</v>
      </c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122"/>
      <c r="S95" s="3"/>
      <c r="T95" s="3"/>
      <c r="U95" s="3"/>
      <c r="V95" s="4"/>
      <c r="W95" s="3"/>
      <c r="X95" s="122"/>
      <c r="Y95" s="122"/>
    </row>
    <row r="96" spans="1:25">
      <c r="A96" s="17" t="s">
        <v>122</v>
      </c>
      <c r="B96" s="3" t="s">
        <v>115</v>
      </c>
      <c r="C96" s="3">
        <v>66</v>
      </c>
      <c r="D96" s="3"/>
      <c r="E96" s="3"/>
      <c r="F96" s="3">
        <v>25</v>
      </c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122"/>
      <c r="S96" s="3"/>
      <c r="T96" s="3"/>
      <c r="U96" s="3"/>
      <c r="V96" s="4"/>
      <c r="W96" s="3"/>
      <c r="X96" s="122"/>
      <c r="Y96" s="122"/>
    </row>
    <row r="97" spans="1:25">
      <c r="A97" s="17" t="s">
        <v>120</v>
      </c>
      <c r="B97" s="3" t="s">
        <v>115</v>
      </c>
      <c r="C97" s="3">
        <v>49</v>
      </c>
      <c r="D97" s="3"/>
      <c r="E97" s="3"/>
      <c r="F97" s="3"/>
      <c r="G97" s="3">
        <v>25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122"/>
      <c r="S97" s="3"/>
      <c r="T97" s="3"/>
      <c r="U97" s="3"/>
      <c r="V97" s="4"/>
      <c r="W97" s="3"/>
      <c r="X97" s="122"/>
      <c r="Y97" s="122"/>
    </row>
    <row r="98" spans="1:25">
      <c r="A98" s="17" t="s">
        <v>123</v>
      </c>
      <c r="B98" s="3" t="s">
        <v>115</v>
      </c>
      <c r="C98" s="3">
        <v>70</v>
      </c>
      <c r="D98" s="3"/>
      <c r="E98" s="3"/>
      <c r="F98" s="3"/>
      <c r="G98" s="3"/>
      <c r="H98" s="3"/>
      <c r="I98" s="3">
        <v>60</v>
      </c>
      <c r="J98" s="3"/>
      <c r="K98" s="3"/>
      <c r="L98" s="3"/>
      <c r="M98" s="3"/>
      <c r="N98" s="3"/>
      <c r="O98" s="3"/>
      <c r="P98" s="3"/>
      <c r="Q98" s="3"/>
      <c r="R98" s="122"/>
      <c r="S98" s="3"/>
      <c r="T98" s="3"/>
      <c r="U98" s="3"/>
      <c r="V98" s="4"/>
      <c r="W98" s="3"/>
      <c r="X98" s="122"/>
      <c r="Y98" s="122"/>
    </row>
    <row r="99" spans="1:25">
      <c r="A99" s="17" t="s">
        <v>124</v>
      </c>
      <c r="B99" s="3" t="s">
        <v>115</v>
      </c>
      <c r="C99" s="3">
        <v>52</v>
      </c>
      <c r="D99" s="3"/>
      <c r="E99" s="3"/>
      <c r="F99" s="3"/>
      <c r="G99" s="3"/>
      <c r="H99" s="3"/>
      <c r="I99" s="3"/>
      <c r="J99" s="3"/>
      <c r="K99" s="3"/>
      <c r="L99" s="3">
        <v>35</v>
      </c>
      <c r="M99" s="3"/>
      <c r="N99" s="3"/>
      <c r="O99" s="3"/>
      <c r="P99" s="3"/>
      <c r="Q99" s="3"/>
      <c r="R99" s="122"/>
      <c r="S99" s="3"/>
      <c r="T99" s="3">
        <v>100</v>
      </c>
      <c r="U99" s="3"/>
      <c r="V99" s="4"/>
      <c r="W99" s="3"/>
      <c r="X99" s="122"/>
      <c r="Y99" s="122"/>
    </row>
    <row r="100" spans="1:25">
      <c r="A100" s="17" t="s">
        <v>125</v>
      </c>
      <c r="B100" s="3" t="s">
        <v>115</v>
      </c>
      <c r="C100" s="3">
        <v>64</v>
      </c>
      <c r="D100" s="3"/>
      <c r="E100" s="3">
        <v>20</v>
      </c>
      <c r="F100" s="3"/>
      <c r="G100" s="3"/>
      <c r="H100" s="3"/>
      <c r="I100" s="3">
        <v>20</v>
      </c>
      <c r="J100" s="3"/>
      <c r="K100" s="3"/>
      <c r="L100" s="3"/>
      <c r="M100" s="3">
        <v>30</v>
      </c>
      <c r="N100" s="3"/>
      <c r="O100" s="3"/>
      <c r="P100" s="3"/>
      <c r="Q100" s="3"/>
      <c r="R100" s="122"/>
      <c r="S100" s="3">
        <v>25</v>
      </c>
      <c r="T100" s="3"/>
      <c r="U100" s="3"/>
      <c r="V100" s="4"/>
      <c r="W100" s="3"/>
      <c r="X100" s="122"/>
      <c r="Y100" s="122"/>
    </row>
    <row r="101" spans="1:25">
      <c r="A101" s="17" t="s">
        <v>127</v>
      </c>
      <c r="B101" s="3" t="s">
        <v>115</v>
      </c>
      <c r="C101" s="3">
        <v>53</v>
      </c>
      <c r="D101" s="3"/>
      <c r="E101" s="3">
        <v>10</v>
      </c>
      <c r="F101" s="3">
        <v>26</v>
      </c>
      <c r="G101" s="3">
        <v>10</v>
      </c>
      <c r="H101" s="3">
        <v>250</v>
      </c>
      <c r="I101" s="3"/>
      <c r="J101" s="3"/>
      <c r="K101" s="3"/>
      <c r="L101" s="3"/>
      <c r="M101" s="3">
        <v>16</v>
      </c>
      <c r="N101" s="3"/>
      <c r="O101" s="3"/>
      <c r="P101" s="3"/>
      <c r="Q101" s="3"/>
      <c r="R101" s="122"/>
      <c r="S101" s="3"/>
      <c r="T101" s="3"/>
      <c r="U101" s="3"/>
      <c r="V101" s="4"/>
      <c r="W101" s="3"/>
      <c r="X101" s="122"/>
      <c r="Y101" s="122"/>
    </row>
    <row r="102" spans="1:25">
      <c r="A102" s="17" t="s">
        <v>128</v>
      </c>
      <c r="B102" s="3" t="s">
        <v>115</v>
      </c>
      <c r="C102" s="3">
        <v>59</v>
      </c>
      <c r="D102" s="3"/>
      <c r="E102" s="3">
        <v>15</v>
      </c>
      <c r="F102" s="3">
        <v>15</v>
      </c>
      <c r="G102" s="3">
        <v>15</v>
      </c>
      <c r="H102" s="3"/>
      <c r="I102" s="3">
        <v>10</v>
      </c>
      <c r="J102" s="3"/>
      <c r="K102" s="3"/>
      <c r="L102" s="3">
        <v>15</v>
      </c>
      <c r="M102" s="3"/>
      <c r="N102" s="3"/>
      <c r="O102" s="3"/>
      <c r="P102" s="3"/>
      <c r="Q102" s="3"/>
      <c r="R102" s="122"/>
      <c r="S102" s="3"/>
      <c r="T102" s="3"/>
      <c r="U102" s="3"/>
      <c r="V102" s="4"/>
      <c r="W102" s="3"/>
      <c r="X102" s="122"/>
      <c r="Y102" s="122"/>
    </row>
    <row r="103" spans="1:25">
      <c r="A103" s="17" t="s">
        <v>131</v>
      </c>
      <c r="B103" s="3" t="s">
        <v>115</v>
      </c>
      <c r="C103" s="3">
        <v>51</v>
      </c>
      <c r="D103" s="3"/>
      <c r="E103" s="3"/>
      <c r="F103" s="3"/>
      <c r="G103" s="3"/>
      <c r="H103" s="3"/>
      <c r="I103" s="3"/>
      <c r="J103" s="3"/>
      <c r="K103" s="3">
        <v>15</v>
      </c>
      <c r="L103" s="3"/>
      <c r="M103" s="3">
        <v>35</v>
      </c>
      <c r="N103" s="3">
        <v>5</v>
      </c>
      <c r="O103" s="3"/>
      <c r="P103" s="3"/>
      <c r="Q103" s="3"/>
      <c r="R103" s="122"/>
      <c r="S103" s="3"/>
      <c r="T103" s="3"/>
      <c r="U103" s="3"/>
      <c r="V103" s="4"/>
      <c r="W103" s="3"/>
      <c r="X103" s="122"/>
      <c r="Y103" s="122"/>
    </row>
    <row r="104" spans="1:25">
      <c r="A104" s="17" t="s">
        <v>132</v>
      </c>
      <c r="B104" s="3" t="s">
        <v>115</v>
      </c>
      <c r="C104" s="3">
        <v>62</v>
      </c>
      <c r="D104" s="3"/>
      <c r="E104" s="3"/>
      <c r="F104" s="3"/>
      <c r="G104" s="3"/>
      <c r="H104" s="3"/>
      <c r="I104" s="3">
        <v>48</v>
      </c>
      <c r="J104" s="3"/>
      <c r="K104" s="3"/>
      <c r="L104" s="3"/>
      <c r="M104" s="3">
        <v>40</v>
      </c>
      <c r="N104" s="3"/>
      <c r="O104" s="3"/>
      <c r="P104" s="3"/>
      <c r="Q104" s="3"/>
      <c r="R104" s="122"/>
      <c r="S104" s="3"/>
      <c r="T104" s="3"/>
      <c r="U104" s="3"/>
      <c r="V104" s="4"/>
      <c r="W104" s="3"/>
      <c r="X104" s="122"/>
      <c r="Y104" s="122"/>
    </row>
    <row r="105" spans="1:25">
      <c r="A105" s="17" t="s">
        <v>135</v>
      </c>
      <c r="B105" s="3" t="s">
        <v>115</v>
      </c>
      <c r="C105" s="3">
        <v>65</v>
      </c>
      <c r="D105" s="3"/>
      <c r="E105" s="3">
        <v>25</v>
      </c>
      <c r="F105" s="3">
        <v>25</v>
      </c>
      <c r="G105" s="3">
        <v>25</v>
      </c>
      <c r="H105" s="3">
        <v>250</v>
      </c>
      <c r="I105" s="3">
        <v>30</v>
      </c>
      <c r="J105" s="3">
        <v>60</v>
      </c>
      <c r="K105" s="3"/>
      <c r="L105" s="3"/>
      <c r="M105" s="3"/>
      <c r="N105" s="3"/>
      <c r="O105" s="3"/>
      <c r="P105" s="3"/>
      <c r="Q105" s="3"/>
      <c r="R105" s="122"/>
      <c r="S105" s="3"/>
      <c r="T105" s="3"/>
      <c r="U105" s="3"/>
      <c r="V105" s="4"/>
      <c r="W105" s="3"/>
      <c r="X105" s="122"/>
      <c r="Y105" s="122"/>
    </row>
    <row r="106" spans="1:25">
      <c r="A106" s="17" t="s">
        <v>138</v>
      </c>
      <c r="B106" s="3" t="s">
        <v>115</v>
      </c>
      <c r="C106" s="3">
        <v>64</v>
      </c>
      <c r="D106" s="3"/>
      <c r="E106" s="3"/>
      <c r="F106" s="3"/>
      <c r="G106" s="3"/>
      <c r="H106" s="3"/>
      <c r="I106" s="3">
        <v>88</v>
      </c>
      <c r="J106" s="3"/>
      <c r="K106" s="3"/>
      <c r="L106" s="3"/>
      <c r="M106" s="3">
        <v>15</v>
      </c>
      <c r="N106" s="3">
        <v>10</v>
      </c>
      <c r="O106" s="3"/>
      <c r="P106" s="3"/>
      <c r="Q106" s="3"/>
      <c r="R106" s="122"/>
      <c r="S106" s="3"/>
      <c r="T106" s="3"/>
      <c r="U106" s="3"/>
      <c r="V106" s="4"/>
      <c r="W106" s="3"/>
      <c r="X106" s="122"/>
      <c r="Y106" s="122"/>
    </row>
    <row r="107" spans="1:25">
      <c r="A107" s="17" t="s">
        <v>139</v>
      </c>
      <c r="B107" s="3" t="s">
        <v>115</v>
      </c>
      <c r="C107" s="3">
        <v>53</v>
      </c>
      <c r="D107" s="3"/>
      <c r="E107" s="3">
        <v>10</v>
      </c>
      <c r="F107" s="3">
        <v>10</v>
      </c>
      <c r="G107" s="3">
        <v>35</v>
      </c>
      <c r="H107" s="3"/>
      <c r="I107" s="3"/>
      <c r="J107" s="3"/>
      <c r="K107" s="3"/>
      <c r="L107" s="3"/>
      <c r="M107" s="3"/>
      <c r="N107" s="3"/>
      <c r="O107" s="3"/>
      <c r="P107" s="3">
        <v>10</v>
      </c>
      <c r="Q107" s="3"/>
      <c r="R107" s="122"/>
      <c r="S107" s="3"/>
      <c r="T107" s="3"/>
      <c r="U107" s="3">
        <v>110</v>
      </c>
      <c r="V107" s="4"/>
      <c r="W107" s="3"/>
      <c r="X107" s="122"/>
      <c r="Y107" s="122"/>
    </row>
    <row r="108" spans="1:25">
      <c r="A108" s="17" t="s">
        <v>142</v>
      </c>
      <c r="B108" s="3" t="s">
        <v>115</v>
      </c>
      <c r="C108" s="3">
        <v>70</v>
      </c>
      <c r="D108" s="3"/>
      <c r="E108" s="3"/>
      <c r="F108" s="3"/>
      <c r="G108" s="3">
        <v>30</v>
      </c>
      <c r="H108" s="3"/>
      <c r="I108" s="3"/>
      <c r="J108" s="3"/>
      <c r="K108" s="3">
        <v>40</v>
      </c>
      <c r="L108" s="3"/>
      <c r="M108" s="3"/>
      <c r="N108" s="3"/>
      <c r="O108" s="3"/>
      <c r="P108" s="3"/>
      <c r="Q108" s="3"/>
      <c r="R108" s="122"/>
      <c r="S108" s="3"/>
      <c r="T108" s="3"/>
      <c r="U108" s="3"/>
      <c r="V108" s="4"/>
      <c r="W108" s="3"/>
      <c r="X108" s="122"/>
      <c r="Y108" s="122"/>
    </row>
    <row r="109" spans="1:25">
      <c r="A109" s="17" t="s">
        <v>143</v>
      </c>
      <c r="B109" s="3" t="s">
        <v>115</v>
      </c>
      <c r="C109" s="3">
        <v>80</v>
      </c>
      <c r="D109" s="3"/>
      <c r="E109" s="3">
        <v>10</v>
      </c>
      <c r="F109" s="3">
        <v>40</v>
      </c>
      <c r="G109" s="3">
        <v>10</v>
      </c>
      <c r="H109" s="3"/>
      <c r="I109" s="3"/>
      <c r="J109" s="3">
        <v>15</v>
      </c>
      <c r="K109" s="3"/>
      <c r="L109" s="3"/>
      <c r="M109" s="3"/>
      <c r="N109" s="3"/>
      <c r="O109" s="3">
        <v>30</v>
      </c>
      <c r="P109" s="3"/>
      <c r="Q109" s="3"/>
      <c r="R109" s="122"/>
      <c r="S109" s="3"/>
      <c r="T109" s="3"/>
      <c r="U109" s="3"/>
      <c r="V109" s="4"/>
      <c r="W109" s="3"/>
      <c r="X109" s="122"/>
      <c r="Y109" s="122"/>
    </row>
    <row r="110" spans="1:25">
      <c r="A110" s="17" t="s">
        <v>144</v>
      </c>
      <c r="B110" s="3" t="s">
        <v>115</v>
      </c>
      <c r="C110" s="3">
        <v>80</v>
      </c>
      <c r="D110" s="3"/>
      <c r="E110" s="3"/>
      <c r="F110" s="3"/>
      <c r="G110" s="3"/>
      <c r="H110" s="3"/>
      <c r="I110" s="3">
        <v>100</v>
      </c>
      <c r="J110" s="3"/>
      <c r="K110" s="3"/>
      <c r="L110" s="3"/>
      <c r="M110" s="3"/>
      <c r="N110" s="3">
        <v>30</v>
      </c>
      <c r="O110" s="3"/>
      <c r="P110" s="3"/>
      <c r="Q110" s="3"/>
      <c r="R110" s="122"/>
      <c r="S110" s="3"/>
      <c r="T110" s="3"/>
      <c r="U110" s="3"/>
      <c r="V110" s="4"/>
      <c r="W110" s="3"/>
      <c r="X110" s="122"/>
      <c r="Y110" s="122"/>
    </row>
    <row r="111" spans="1:25">
      <c r="A111" s="17" t="s">
        <v>145</v>
      </c>
      <c r="B111" s="3" t="s">
        <v>115</v>
      </c>
      <c r="C111" s="3">
        <v>72</v>
      </c>
      <c r="D111" s="3"/>
      <c r="E111" s="3">
        <v>40</v>
      </c>
      <c r="F111" s="3"/>
      <c r="G111" s="3"/>
      <c r="H111" s="3">
        <v>600</v>
      </c>
      <c r="I111" s="3"/>
      <c r="J111" s="3"/>
      <c r="K111" s="3"/>
      <c r="L111" s="3"/>
      <c r="M111" s="3"/>
      <c r="N111" s="3"/>
      <c r="O111" s="3"/>
      <c r="P111" s="3"/>
      <c r="Q111" s="3"/>
      <c r="R111" s="122"/>
      <c r="S111" s="3"/>
      <c r="T111" s="3">
        <v>600</v>
      </c>
      <c r="U111" s="3"/>
      <c r="V111" s="4"/>
      <c r="W111" s="3"/>
      <c r="X111" s="122"/>
      <c r="Y111" s="122"/>
    </row>
    <row r="112" spans="1:25">
      <c r="A112" s="17" t="s">
        <v>146</v>
      </c>
      <c r="B112" s="3" t="s">
        <v>115</v>
      </c>
      <c r="C112" s="3">
        <v>73</v>
      </c>
      <c r="D112" s="3"/>
      <c r="E112" s="3"/>
      <c r="F112" s="3">
        <v>30</v>
      </c>
      <c r="G112" s="3"/>
      <c r="H112" s="3"/>
      <c r="I112" s="3">
        <v>30</v>
      </c>
      <c r="J112" s="3"/>
      <c r="K112" s="3"/>
      <c r="L112" s="3"/>
      <c r="M112" s="3">
        <v>30</v>
      </c>
      <c r="N112" s="3"/>
      <c r="O112" s="3"/>
      <c r="P112" s="3"/>
      <c r="Q112" s="3"/>
      <c r="R112" s="122"/>
      <c r="S112" s="3">
        <v>30</v>
      </c>
      <c r="T112" s="3"/>
      <c r="U112" s="3"/>
      <c r="V112" s="4"/>
      <c r="W112" s="3"/>
      <c r="X112" s="122"/>
      <c r="Y112" s="122"/>
    </row>
    <row r="113" spans="1:25">
      <c r="A113" s="17" t="s">
        <v>126</v>
      </c>
      <c r="B113" s="3" t="s">
        <v>115</v>
      </c>
      <c r="C113" s="3">
        <v>51</v>
      </c>
      <c r="D113" s="3"/>
      <c r="E113" s="3"/>
      <c r="F113" s="3"/>
      <c r="G113" s="3">
        <v>25</v>
      </c>
      <c r="H113" s="3"/>
      <c r="I113" s="3">
        <v>30</v>
      </c>
      <c r="J113" s="3"/>
      <c r="K113" s="3"/>
      <c r="L113" s="3"/>
      <c r="M113" s="3">
        <v>15</v>
      </c>
      <c r="N113" s="3"/>
      <c r="O113" s="3"/>
      <c r="P113" s="3"/>
      <c r="Q113" s="3"/>
      <c r="R113" s="122"/>
      <c r="S113" s="3"/>
      <c r="T113" s="3"/>
      <c r="U113" s="3">
        <v>100</v>
      </c>
      <c r="V113" s="4"/>
      <c r="W113" s="3"/>
      <c r="X113" s="122"/>
      <c r="Y113" s="122"/>
    </row>
    <row r="114" spans="1:25">
      <c r="A114" s="17" t="s">
        <v>147</v>
      </c>
      <c r="B114" s="3" t="s">
        <v>115</v>
      </c>
      <c r="C114" s="3">
        <v>79</v>
      </c>
      <c r="D114" s="3"/>
      <c r="E114" s="3"/>
      <c r="F114" s="3"/>
      <c r="G114" s="3"/>
      <c r="H114" s="3"/>
      <c r="I114" s="3">
        <v>81</v>
      </c>
      <c r="J114" s="3"/>
      <c r="K114" s="3"/>
      <c r="L114" s="3"/>
      <c r="M114" s="3">
        <v>50</v>
      </c>
      <c r="N114" s="3"/>
      <c r="O114" s="3"/>
      <c r="P114" s="3"/>
      <c r="Q114" s="3"/>
      <c r="R114" s="122"/>
      <c r="S114" s="3"/>
      <c r="T114" s="3"/>
      <c r="U114" s="3"/>
      <c r="V114" s="4"/>
      <c r="W114" s="3"/>
      <c r="X114" s="122"/>
      <c r="Y114" s="122"/>
    </row>
    <row r="115" spans="1:25">
      <c r="A115" s="17" t="s">
        <v>148</v>
      </c>
      <c r="B115" s="3" t="s">
        <v>115</v>
      </c>
      <c r="C115" s="3">
        <v>80</v>
      </c>
      <c r="D115" s="3"/>
      <c r="E115" s="3">
        <v>25</v>
      </c>
      <c r="F115" s="3"/>
      <c r="G115" s="3"/>
      <c r="H115" s="3"/>
      <c r="I115" s="3">
        <v>50</v>
      </c>
      <c r="J115" s="3"/>
      <c r="K115" s="3">
        <v>15</v>
      </c>
      <c r="L115" s="3"/>
      <c r="M115" s="3"/>
      <c r="N115" s="3"/>
      <c r="O115" s="3"/>
      <c r="P115" s="3"/>
      <c r="Q115" s="3">
        <v>25</v>
      </c>
      <c r="R115" s="122"/>
      <c r="S115" s="3"/>
      <c r="T115" s="3"/>
      <c r="U115" s="3"/>
      <c r="V115" s="4"/>
      <c r="W115" s="3"/>
      <c r="X115" s="122"/>
      <c r="Y115" s="122"/>
    </row>
    <row r="116" spans="1:25">
      <c r="A116" s="17" t="s">
        <v>149</v>
      </c>
      <c r="B116" s="3" t="s">
        <v>115</v>
      </c>
      <c r="C116" s="3">
        <v>78</v>
      </c>
      <c r="D116" s="3"/>
      <c r="E116" s="3">
        <v>10</v>
      </c>
      <c r="F116" s="3"/>
      <c r="G116" s="3"/>
      <c r="H116" s="3"/>
      <c r="I116" s="3">
        <v>100</v>
      </c>
      <c r="J116" s="3"/>
      <c r="K116" s="3"/>
      <c r="L116" s="3"/>
      <c r="M116" s="3">
        <v>30</v>
      </c>
      <c r="N116" s="3"/>
      <c r="O116" s="3"/>
      <c r="P116" s="3"/>
      <c r="Q116" s="3"/>
      <c r="R116" s="122"/>
      <c r="S116" s="3"/>
      <c r="T116" s="3"/>
      <c r="U116" s="3"/>
      <c r="V116" s="4"/>
      <c r="W116" s="3"/>
      <c r="X116" s="122"/>
      <c r="Y116" s="122"/>
    </row>
    <row r="117" spans="1:25">
      <c r="A117" s="17" t="s">
        <v>137</v>
      </c>
      <c r="B117" s="3" t="s">
        <v>115</v>
      </c>
      <c r="C117" s="3">
        <v>62</v>
      </c>
      <c r="D117" s="3"/>
      <c r="E117" s="3">
        <v>5</v>
      </c>
      <c r="F117" s="3">
        <v>5</v>
      </c>
      <c r="G117" s="3">
        <v>5</v>
      </c>
      <c r="H117" s="3"/>
      <c r="I117" s="3"/>
      <c r="J117" s="3"/>
      <c r="K117" s="3"/>
      <c r="L117" s="3"/>
      <c r="M117" s="3"/>
      <c r="N117" s="3">
        <v>5</v>
      </c>
      <c r="O117" s="3"/>
      <c r="P117" s="3"/>
      <c r="Q117" s="3"/>
      <c r="R117" s="122"/>
      <c r="S117" s="3"/>
      <c r="T117" s="3"/>
      <c r="U117" s="3"/>
      <c r="V117" s="4">
        <v>30</v>
      </c>
      <c r="W117" s="3"/>
      <c r="X117" s="122"/>
      <c r="Y117" s="122"/>
    </row>
    <row r="118" spans="1:25">
      <c r="A118" s="17" t="s">
        <v>155</v>
      </c>
      <c r="B118" s="3" t="s">
        <v>115</v>
      </c>
      <c r="C118" s="3">
        <v>77</v>
      </c>
      <c r="D118" s="3"/>
      <c r="E118" s="3">
        <v>5</v>
      </c>
      <c r="F118" s="3">
        <v>5</v>
      </c>
      <c r="G118" s="3">
        <v>5</v>
      </c>
      <c r="H118" s="3"/>
      <c r="I118" s="3"/>
      <c r="J118" s="3"/>
      <c r="K118" s="3"/>
      <c r="L118" s="3"/>
      <c r="M118" s="3"/>
      <c r="N118" s="3">
        <v>5</v>
      </c>
      <c r="O118" s="3"/>
      <c r="P118" s="3"/>
      <c r="Q118" s="3"/>
      <c r="R118" s="122"/>
      <c r="S118" s="3"/>
      <c r="T118" s="3"/>
      <c r="U118" s="3"/>
      <c r="V118" s="4">
        <v>40</v>
      </c>
      <c r="W118" s="3"/>
      <c r="X118" s="122"/>
      <c r="Y118" s="122"/>
    </row>
    <row r="119" spans="1:25">
      <c r="A119" s="17" t="s">
        <v>133</v>
      </c>
      <c r="B119" s="3" t="s">
        <v>115</v>
      </c>
      <c r="C119" s="3">
        <v>63</v>
      </c>
      <c r="D119" s="3"/>
      <c r="E119" s="3">
        <v>12</v>
      </c>
      <c r="F119" s="3"/>
      <c r="G119" s="3">
        <v>21</v>
      </c>
      <c r="H119" s="3">
        <v>300</v>
      </c>
      <c r="I119" s="3">
        <v>31</v>
      </c>
      <c r="J119" s="3">
        <v>31</v>
      </c>
      <c r="K119" s="3"/>
      <c r="L119" s="3"/>
      <c r="M119" s="3"/>
      <c r="N119" s="3"/>
      <c r="O119" s="3"/>
      <c r="P119" s="3"/>
      <c r="Q119" s="3"/>
      <c r="R119" s="122"/>
      <c r="S119" s="3"/>
      <c r="T119" s="3"/>
      <c r="U119" s="3"/>
      <c r="V119" s="4"/>
      <c r="W119" s="3"/>
      <c r="X119" s="122"/>
      <c r="Y119" s="122"/>
    </row>
    <row r="120" spans="1:25">
      <c r="A120" s="17" t="s">
        <v>150</v>
      </c>
      <c r="B120" s="3" t="s">
        <v>115</v>
      </c>
      <c r="C120" s="3">
        <v>74</v>
      </c>
      <c r="D120" s="3"/>
      <c r="E120" s="3">
        <v>16</v>
      </c>
      <c r="F120" s="3"/>
      <c r="G120" s="3">
        <v>24</v>
      </c>
      <c r="H120" s="3">
        <v>400</v>
      </c>
      <c r="I120" s="3">
        <v>41</v>
      </c>
      <c r="J120" s="3">
        <v>41</v>
      </c>
      <c r="K120" s="3"/>
      <c r="L120" s="3"/>
      <c r="M120" s="3"/>
      <c r="N120" s="3"/>
      <c r="O120" s="3"/>
      <c r="P120" s="3"/>
      <c r="Q120" s="3"/>
      <c r="R120" s="122"/>
      <c r="S120" s="3"/>
      <c r="T120" s="3"/>
      <c r="U120" s="3"/>
      <c r="V120" s="4"/>
      <c r="W120" s="3"/>
      <c r="X120" s="122"/>
      <c r="Y120" s="122"/>
    </row>
    <row r="121" spans="1:25">
      <c r="A121" s="17" t="s">
        <v>134</v>
      </c>
      <c r="B121" s="3" t="s">
        <v>115</v>
      </c>
      <c r="C121" s="3">
        <v>51</v>
      </c>
      <c r="D121" s="3"/>
      <c r="E121" s="3"/>
      <c r="F121" s="3"/>
      <c r="G121" s="3">
        <v>17</v>
      </c>
      <c r="H121" s="3"/>
      <c r="I121" s="3"/>
      <c r="J121" s="3">
        <v>60</v>
      </c>
      <c r="K121" s="3"/>
      <c r="L121" s="3"/>
      <c r="M121" s="3"/>
      <c r="N121" s="3"/>
      <c r="O121" s="3">
        <v>10</v>
      </c>
      <c r="P121" s="3"/>
      <c r="Q121" s="3"/>
      <c r="R121" s="122"/>
      <c r="S121" s="3"/>
      <c r="T121" s="3"/>
      <c r="U121" s="3"/>
      <c r="V121" s="4"/>
      <c r="W121" s="3"/>
      <c r="X121" s="122"/>
      <c r="Y121" s="122"/>
    </row>
    <row r="122" spans="1:25">
      <c r="A122" s="17" t="s">
        <v>151</v>
      </c>
      <c r="B122" s="3" t="s">
        <v>115</v>
      </c>
      <c r="C122" s="3">
        <v>78</v>
      </c>
      <c r="D122" s="3"/>
      <c r="E122" s="3"/>
      <c r="F122" s="3"/>
      <c r="G122" s="3">
        <v>19</v>
      </c>
      <c r="H122" s="3"/>
      <c r="I122" s="3"/>
      <c r="J122" s="3">
        <v>90</v>
      </c>
      <c r="K122" s="3"/>
      <c r="L122" s="3"/>
      <c r="M122" s="3"/>
      <c r="N122" s="3"/>
      <c r="O122" s="3">
        <v>30</v>
      </c>
      <c r="P122" s="3"/>
      <c r="Q122" s="3"/>
      <c r="R122" s="122"/>
      <c r="S122" s="3"/>
      <c r="T122" s="3"/>
      <c r="U122" s="3"/>
      <c r="V122" s="4"/>
      <c r="W122" s="3"/>
      <c r="X122" s="122"/>
      <c r="Y122" s="122"/>
    </row>
    <row r="123" spans="1:25">
      <c r="A123" s="17" t="s">
        <v>152</v>
      </c>
      <c r="B123" s="3" t="s">
        <v>115</v>
      </c>
      <c r="C123" s="3">
        <v>80</v>
      </c>
      <c r="D123" s="3"/>
      <c r="E123" s="3"/>
      <c r="F123" s="3"/>
      <c r="G123" s="3">
        <v>21</v>
      </c>
      <c r="H123" s="3"/>
      <c r="I123" s="3"/>
      <c r="J123" s="3">
        <v>140</v>
      </c>
      <c r="K123" s="3"/>
      <c r="L123" s="3"/>
      <c r="M123" s="3"/>
      <c r="N123" s="3"/>
      <c r="O123" s="3">
        <v>50</v>
      </c>
      <c r="P123" s="3"/>
      <c r="Q123" s="3"/>
      <c r="R123" s="122"/>
      <c r="S123" s="3"/>
      <c r="T123" s="3"/>
      <c r="U123" s="3"/>
      <c r="V123" s="4"/>
      <c r="W123" s="3"/>
      <c r="X123" s="122"/>
      <c r="Y123" s="122"/>
    </row>
    <row r="124" spans="1:25">
      <c r="A124" s="17" t="s">
        <v>136</v>
      </c>
      <c r="B124" s="3" t="s">
        <v>115</v>
      </c>
      <c r="C124" s="3">
        <v>61</v>
      </c>
      <c r="D124" s="3"/>
      <c r="E124" s="3"/>
      <c r="F124" s="3">
        <v>28</v>
      </c>
      <c r="G124" s="3">
        <v>12</v>
      </c>
      <c r="H124" s="3"/>
      <c r="I124" s="3">
        <v>40</v>
      </c>
      <c r="J124" s="3"/>
      <c r="K124" s="3"/>
      <c r="L124" s="3"/>
      <c r="M124" s="3"/>
      <c r="N124" s="3"/>
      <c r="O124" s="3"/>
      <c r="P124" s="3"/>
      <c r="Q124" s="3"/>
      <c r="R124" s="122"/>
      <c r="S124" s="3"/>
      <c r="T124" s="3"/>
      <c r="U124" s="3"/>
      <c r="V124" s="4"/>
      <c r="W124" s="3"/>
      <c r="X124" s="122"/>
      <c r="Y124" s="122"/>
    </row>
    <row r="125" spans="1:25">
      <c r="A125" s="17" t="s">
        <v>153</v>
      </c>
      <c r="B125" s="3" t="s">
        <v>115</v>
      </c>
      <c r="C125" s="3">
        <v>79</v>
      </c>
      <c r="D125" s="3"/>
      <c r="E125" s="3"/>
      <c r="F125" s="3">
        <v>34</v>
      </c>
      <c r="G125" s="3">
        <v>20</v>
      </c>
      <c r="H125" s="3"/>
      <c r="I125" s="3">
        <v>60</v>
      </c>
      <c r="J125" s="3"/>
      <c r="K125" s="3"/>
      <c r="L125" s="3"/>
      <c r="M125" s="3"/>
      <c r="N125" s="3"/>
      <c r="O125" s="3"/>
      <c r="P125" s="3"/>
      <c r="Q125" s="3"/>
      <c r="R125" s="122"/>
      <c r="S125" s="3"/>
      <c r="T125" s="3"/>
      <c r="U125" s="3"/>
      <c r="V125" s="4"/>
      <c r="W125" s="3"/>
      <c r="X125" s="122"/>
      <c r="Y125" s="122"/>
    </row>
    <row r="126" spans="1:25">
      <c r="A126" s="17" t="s">
        <v>140</v>
      </c>
      <c r="B126" s="3" t="s">
        <v>115</v>
      </c>
      <c r="C126" s="3">
        <v>55</v>
      </c>
      <c r="D126" s="3"/>
      <c r="E126" s="3"/>
      <c r="F126" s="3"/>
      <c r="G126" s="3"/>
      <c r="H126" s="3">
        <v>425</v>
      </c>
      <c r="I126" s="3"/>
      <c r="J126" s="3"/>
      <c r="K126" s="3"/>
      <c r="L126" s="3"/>
      <c r="M126" s="3"/>
      <c r="N126" s="3"/>
      <c r="O126" s="3">
        <v>60</v>
      </c>
      <c r="P126" s="3"/>
      <c r="Q126" s="3"/>
      <c r="R126" s="122"/>
      <c r="S126" s="3"/>
      <c r="T126" s="3">
        <v>200</v>
      </c>
      <c r="U126" s="3">
        <v>30</v>
      </c>
      <c r="V126" s="4">
        <v>40</v>
      </c>
      <c r="W126" s="3"/>
      <c r="X126" s="122"/>
      <c r="Y126" s="122"/>
    </row>
    <row r="127" spans="1:25">
      <c r="A127" s="17" t="s">
        <v>141</v>
      </c>
      <c r="B127" s="3" t="s">
        <v>115</v>
      </c>
      <c r="C127" s="3">
        <v>75</v>
      </c>
      <c r="D127" s="3"/>
      <c r="E127" s="3"/>
      <c r="F127" s="3"/>
      <c r="G127" s="3"/>
      <c r="H127" s="3">
        <v>450</v>
      </c>
      <c r="I127" s="3"/>
      <c r="J127" s="3"/>
      <c r="K127" s="3"/>
      <c r="L127" s="3"/>
      <c r="M127" s="3"/>
      <c r="N127" s="3"/>
      <c r="O127" s="3">
        <v>72</v>
      </c>
      <c r="P127" s="3"/>
      <c r="Q127" s="3"/>
      <c r="R127" s="122"/>
      <c r="S127" s="3"/>
      <c r="T127" s="3">
        <v>200</v>
      </c>
      <c r="U127" s="3">
        <v>30</v>
      </c>
      <c r="V127" s="4">
        <v>60</v>
      </c>
      <c r="W127" s="3"/>
      <c r="X127" s="122"/>
      <c r="Y127" s="122"/>
    </row>
    <row r="128" spans="1:25">
      <c r="A128" s="17" t="s">
        <v>129</v>
      </c>
      <c r="B128" s="3" t="s">
        <v>115</v>
      </c>
      <c r="C128" s="3">
        <v>60</v>
      </c>
      <c r="D128" s="3"/>
      <c r="E128" s="3"/>
      <c r="F128" s="3"/>
      <c r="G128" s="3">
        <v>6</v>
      </c>
      <c r="H128" s="3"/>
      <c r="I128" s="3">
        <v>40</v>
      </c>
      <c r="J128" s="3"/>
      <c r="K128" s="3"/>
      <c r="L128" s="3"/>
      <c r="M128" s="3"/>
      <c r="N128" s="3"/>
      <c r="O128" s="3"/>
      <c r="P128" s="3"/>
      <c r="Q128" s="3"/>
      <c r="R128" s="122"/>
      <c r="S128" s="3"/>
      <c r="T128" s="3">
        <v>200</v>
      </c>
      <c r="U128" s="3">
        <v>100</v>
      </c>
      <c r="V128" s="4"/>
      <c r="W128" s="3">
        <v>15</v>
      </c>
      <c r="X128" s="122"/>
      <c r="Y128" s="122"/>
    </row>
    <row r="129" spans="1:25">
      <c r="A129" s="17" t="s">
        <v>154</v>
      </c>
      <c r="B129" s="3" t="s">
        <v>115</v>
      </c>
      <c r="C129" s="3">
        <v>75</v>
      </c>
      <c r="D129" s="3"/>
      <c r="E129" s="3"/>
      <c r="F129" s="3"/>
      <c r="G129" s="3">
        <v>18</v>
      </c>
      <c r="H129" s="3"/>
      <c r="I129" s="3">
        <v>40</v>
      </c>
      <c r="J129" s="3"/>
      <c r="K129" s="3"/>
      <c r="L129" s="3"/>
      <c r="M129" s="3"/>
      <c r="N129" s="3"/>
      <c r="O129" s="3"/>
      <c r="P129" s="3"/>
      <c r="Q129" s="3"/>
      <c r="R129" s="122"/>
      <c r="S129" s="3"/>
      <c r="T129" s="3">
        <v>200</v>
      </c>
      <c r="U129" s="3">
        <v>120</v>
      </c>
      <c r="V129" s="4"/>
      <c r="W129" s="3">
        <v>30</v>
      </c>
      <c r="X129" s="122"/>
      <c r="Y129" s="122"/>
    </row>
    <row r="130" spans="1:25">
      <c r="A130" s="17" t="s">
        <v>1865</v>
      </c>
      <c r="B130" s="122" t="s">
        <v>115</v>
      </c>
      <c r="C130" s="122">
        <v>82</v>
      </c>
      <c r="D130" s="122"/>
      <c r="E130" s="122"/>
      <c r="F130" s="122"/>
      <c r="G130" s="122"/>
      <c r="H130" s="122"/>
      <c r="I130" s="122"/>
      <c r="J130" s="122">
        <v>120</v>
      </c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4"/>
      <c r="W130" s="122"/>
      <c r="X130" s="122"/>
      <c r="Y130" s="122"/>
    </row>
    <row r="131" spans="1:25">
      <c r="A131" s="124" t="s">
        <v>1866</v>
      </c>
      <c r="B131" s="122" t="s">
        <v>115</v>
      </c>
      <c r="C131" s="122">
        <v>84</v>
      </c>
      <c r="D131" s="122"/>
      <c r="E131" s="122"/>
      <c r="F131" s="122"/>
      <c r="G131" s="122">
        <v>35</v>
      </c>
      <c r="H131" s="122">
        <v>470</v>
      </c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>
        <v>250</v>
      </c>
      <c r="U131" s="122"/>
      <c r="V131" s="4"/>
      <c r="W131" s="122"/>
      <c r="X131" s="122">
        <v>30</v>
      </c>
      <c r="Y131" s="122"/>
    </row>
    <row r="132" spans="1:25" s="32" customFormat="1">
      <c r="A132" s="125" t="s">
        <v>1870</v>
      </c>
      <c r="B132" s="122" t="s">
        <v>1864</v>
      </c>
      <c r="C132" s="122">
        <v>84</v>
      </c>
      <c r="D132" s="122"/>
      <c r="E132" s="122"/>
      <c r="F132" s="122"/>
      <c r="G132" s="122"/>
      <c r="H132" s="122"/>
      <c r="I132" s="122"/>
      <c r="J132" s="122">
        <v>55</v>
      </c>
      <c r="K132" s="122"/>
      <c r="L132" s="122"/>
      <c r="M132" s="122"/>
      <c r="N132" s="122"/>
      <c r="O132" s="122"/>
      <c r="P132" s="122"/>
      <c r="Q132" s="122"/>
      <c r="R132" s="122"/>
      <c r="S132" s="122"/>
      <c r="T132" s="122">
        <v>100</v>
      </c>
      <c r="U132" s="122"/>
      <c r="V132" s="4">
        <v>50</v>
      </c>
      <c r="W132" s="122"/>
      <c r="X132" s="122"/>
      <c r="Y132" s="122"/>
    </row>
    <row r="133" spans="1:25">
      <c r="A133" s="124" t="s">
        <v>1868</v>
      </c>
      <c r="B133" s="122" t="s">
        <v>115</v>
      </c>
      <c r="C133" s="122">
        <v>84</v>
      </c>
      <c r="D133" s="122"/>
      <c r="E133" s="122">
        <v>10</v>
      </c>
      <c r="F133" s="122"/>
      <c r="G133" s="122"/>
      <c r="H133" s="122">
        <v>480</v>
      </c>
      <c r="I133" s="122">
        <v>16</v>
      </c>
      <c r="J133" s="122"/>
      <c r="K133" s="122"/>
      <c r="L133" s="122">
        <v>35</v>
      </c>
      <c r="M133" s="122"/>
      <c r="N133" s="122"/>
      <c r="O133" s="122"/>
      <c r="P133" s="122"/>
      <c r="Q133" s="122"/>
      <c r="R133" s="122"/>
      <c r="S133" s="122"/>
      <c r="T133" s="122"/>
      <c r="U133" s="122"/>
      <c r="V133" s="4"/>
      <c r="W133" s="122"/>
      <c r="X133" s="122"/>
      <c r="Y133" s="122"/>
    </row>
    <row r="134" spans="1:25">
      <c r="A134" s="125" t="s">
        <v>1871</v>
      </c>
      <c r="B134" s="122" t="s">
        <v>1864</v>
      </c>
      <c r="C134" s="122">
        <v>82</v>
      </c>
      <c r="D134" s="122"/>
      <c r="E134" s="122">
        <v>36</v>
      </c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4"/>
      <c r="W134" s="122"/>
      <c r="X134" s="122"/>
      <c r="Y134" s="122"/>
    </row>
    <row r="135" spans="1:25">
      <c r="A135" s="125" t="s">
        <v>1872</v>
      </c>
      <c r="B135" s="122" t="s">
        <v>1864</v>
      </c>
      <c r="C135" s="122">
        <v>82</v>
      </c>
      <c r="D135" s="122"/>
      <c r="E135" s="122"/>
      <c r="F135" s="122"/>
      <c r="G135" s="122">
        <v>36</v>
      </c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4"/>
      <c r="W135" s="122"/>
      <c r="X135" s="122"/>
      <c r="Y135" s="122"/>
    </row>
    <row r="136" spans="1:25">
      <c r="A136" s="124" t="s">
        <v>1869</v>
      </c>
      <c r="B136" s="122" t="s">
        <v>115</v>
      </c>
      <c r="C136" s="122">
        <v>81</v>
      </c>
      <c r="D136" s="122"/>
      <c r="E136" s="122">
        <v>31</v>
      </c>
      <c r="F136" s="122">
        <v>31</v>
      </c>
      <c r="G136" s="122">
        <v>31</v>
      </c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4"/>
      <c r="W136" s="122"/>
      <c r="X136" s="122"/>
      <c r="Y136" s="122"/>
    </row>
    <row r="137" spans="1:25">
      <c r="A137" s="127" t="s">
        <v>1873</v>
      </c>
      <c r="B137" s="122" t="s">
        <v>74</v>
      </c>
      <c r="C137" s="122">
        <v>81</v>
      </c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>
        <v>8</v>
      </c>
      <c r="S137" s="122"/>
      <c r="T137" s="122"/>
      <c r="U137" s="122"/>
      <c r="V137" s="4"/>
      <c r="W137" s="122"/>
      <c r="X137" s="122"/>
      <c r="Y137" s="122"/>
    </row>
    <row r="138" spans="1:25">
      <c r="A138" s="125" t="s">
        <v>1875</v>
      </c>
      <c r="B138" s="122" t="s">
        <v>1864</v>
      </c>
      <c r="C138" s="122">
        <v>84</v>
      </c>
      <c r="D138" s="122"/>
      <c r="E138" s="122">
        <v>40</v>
      </c>
      <c r="F138" s="122"/>
      <c r="G138" s="122"/>
      <c r="H138" s="122"/>
      <c r="I138" s="122">
        <v>80</v>
      </c>
      <c r="J138" s="122"/>
      <c r="K138" s="122">
        <v>15</v>
      </c>
      <c r="L138" s="122"/>
      <c r="M138" s="122"/>
      <c r="N138" s="122"/>
      <c r="O138" s="122"/>
      <c r="P138" s="122"/>
      <c r="Q138" s="122">
        <v>30</v>
      </c>
      <c r="R138" s="122"/>
      <c r="S138" s="122"/>
      <c r="T138" s="122"/>
      <c r="U138" s="122"/>
      <c r="V138" s="4"/>
      <c r="W138" s="122"/>
      <c r="X138" s="122"/>
      <c r="Y138" s="122"/>
    </row>
    <row r="139" spans="1:25">
      <c r="A139" s="124" t="s">
        <v>1876</v>
      </c>
      <c r="B139" s="122" t="s">
        <v>115</v>
      </c>
      <c r="C139" s="122">
        <v>81</v>
      </c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4">
        <v>12</v>
      </c>
      <c r="W139" s="122"/>
      <c r="X139" s="122"/>
      <c r="Y139" s="122"/>
    </row>
    <row r="140" spans="1:25">
      <c r="A140" s="124" t="s">
        <v>1878</v>
      </c>
      <c r="B140" s="122" t="s">
        <v>115</v>
      </c>
      <c r="C140" s="122">
        <v>81</v>
      </c>
      <c r="D140" s="122"/>
      <c r="E140" s="122"/>
      <c r="F140" s="122"/>
      <c r="G140" s="122">
        <v>10</v>
      </c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4"/>
      <c r="W140" s="122"/>
      <c r="X140" s="122"/>
      <c r="Y140" s="122">
        <v>1</v>
      </c>
    </row>
    <row r="141" spans="1:25">
      <c r="A141" s="125" t="s">
        <v>1879</v>
      </c>
      <c r="B141" s="122" t="s">
        <v>1864</v>
      </c>
      <c r="C141" s="122">
        <v>85</v>
      </c>
      <c r="D141" s="122"/>
      <c r="E141" s="122"/>
      <c r="F141" s="122"/>
      <c r="G141" s="122">
        <v>60</v>
      </c>
      <c r="H141" s="122"/>
      <c r="I141" s="122"/>
      <c r="J141" s="122"/>
      <c r="K141" s="122">
        <v>15</v>
      </c>
      <c r="L141" s="122">
        <v>18</v>
      </c>
      <c r="M141" s="122"/>
      <c r="N141" s="122"/>
      <c r="O141" s="122"/>
      <c r="P141" s="122"/>
      <c r="Q141" s="122"/>
      <c r="R141" s="122"/>
      <c r="S141" s="122"/>
      <c r="T141" s="122">
        <v>200</v>
      </c>
      <c r="U141" s="122"/>
      <c r="V141" s="4"/>
      <c r="W141" s="122"/>
      <c r="X141" s="122"/>
      <c r="Y141" s="122"/>
    </row>
    <row r="142" spans="1:25">
      <c r="A142" s="125" t="s">
        <v>1880</v>
      </c>
      <c r="B142" s="122" t="s">
        <v>1864</v>
      </c>
      <c r="C142" s="122">
        <v>82</v>
      </c>
      <c r="D142" s="122"/>
      <c r="E142" s="122"/>
      <c r="F142" s="122">
        <v>36</v>
      </c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4"/>
      <c r="W142" s="122"/>
      <c r="X142" s="122"/>
      <c r="Y142" s="122"/>
    </row>
    <row r="143" spans="1:25">
      <c r="A143" s="124" t="s">
        <v>1957</v>
      </c>
      <c r="B143" s="122" t="s">
        <v>115</v>
      </c>
      <c r="C143" s="122">
        <v>83</v>
      </c>
      <c r="D143" s="122"/>
      <c r="E143" s="122"/>
      <c r="F143" s="122"/>
      <c r="G143" s="122"/>
      <c r="H143" s="122">
        <v>250</v>
      </c>
      <c r="I143" s="122">
        <v>85</v>
      </c>
      <c r="J143" s="122"/>
      <c r="K143" s="122"/>
      <c r="L143" s="122"/>
      <c r="M143" s="122"/>
      <c r="N143" s="122">
        <v>14</v>
      </c>
      <c r="O143" s="122"/>
      <c r="P143" s="122"/>
      <c r="Q143" s="122"/>
      <c r="R143" s="122"/>
      <c r="S143" s="122"/>
      <c r="T143" s="122"/>
      <c r="U143" s="122"/>
      <c r="V143" s="4"/>
      <c r="W143" s="122"/>
      <c r="X143" s="122"/>
      <c r="Y143" s="122"/>
    </row>
    <row r="144" spans="1:25">
      <c r="A144" s="124" t="s">
        <v>1881</v>
      </c>
      <c r="B144" s="114" t="s">
        <v>1087</v>
      </c>
      <c r="C144" s="122">
        <v>83</v>
      </c>
      <c r="D144" s="122"/>
      <c r="E144" s="122">
        <v>10</v>
      </c>
      <c r="F144" s="122">
        <v>10</v>
      </c>
      <c r="G144" s="122">
        <v>10</v>
      </c>
      <c r="H144" s="122"/>
      <c r="I144" s="122"/>
      <c r="J144" s="122"/>
      <c r="K144" s="122"/>
      <c r="L144" s="122"/>
      <c r="M144" s="122">
        <v>60</v>
      </c>
      <c r="N144" s="122"/>
      <c r="O144" s="122">
        <v>60</v>
      </c>
      <c r="P144" s="122"/>
      <c r="Q144" s="122"/>
      <c r="R144" s="122"/>
      <c r="S144" s="122"/>
      <c r="T144" s="122"/>
      <c r="U144" s="122"/>
      <c r="V144" s="4"/>
      <c r="W144" s="122"/>
      <c r="X144" s="122"/>
      <c r="Y144" s="122"/>
    </row>
    <row r="145" spans="1:25" s="32" customFormat="1">
      <c r="A145" s="125" t="s">
        <v>1882</v>
      </c>
      <c r="B145" s="122" t="s">
        <v>1864</v>
      </c>
      <c r="C145" s="122">
        <v>85</v>
      </c>
      <c r="D145" s="122"/>
      <c r="E145" s="122"/>
      <c r="F145" s="122">
        <v>60</v>
      </c>
      <c r="G145" s="122"/>
      <c r="H145" s="122">
        <v>260</v>
      </c>
      <c r="I145" s="122">
        <v>90</v>
      </c>
      <c r="J145" s="122"/>
      <c r="K145" s="122"/>
      <c r="L145" s="122"/>
      <c r="M145" s="122"/>
      <c r="N145" s="122"/>
      <c r="O145" s="122"/>
      <c r="P145" s="122"/>
      <c r="Q145" s="122"/>
      <c r="R145" s="122">
        <v>12</v>
      </c>
      <c r="S145" s="122"/>
      <c r="T145" s="122"/>
      <c r="U145" s="122"/>
      <c r="V145" s="4"/>
      <c r="W145" s="122"/>
      <c r="X145" s="122"/>
      <c r="Y145" s="122"/>
    </row>
    <row r="146" spans="1:25" s="32" customFormat="1">
      <c r="A146" s="125" t="s">
        <v>1863</v>
      </c>
      <c r="B146" s="122" t="s">
        <v>1864</v>
      </c>
      <c r="C146" s="122">
        <v>85</v>
      </c>
      <c r="D146" s="122"/>
      <c r="E146" s="122">
        <v>60</v>
      </c>
      <c r="F146" s="122"/>
      <c r="G146" s="122"/>
      <c r="H146" s="122">
        <v>1000</v>
      </c>
      <c r="I146" s="122">
        <v>22</v>
      </c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>
        <v>400</v>
      </c>
      <c r="U146" s="122"/>
      <c r="V146" s="4"/>
      <c r="W146" s="122"/>
      <c r="X146" s="122"/>
      <c r="Y146" s="122"/>
    </row>
    <row r="147" spans="1:25" s="32" customFormat="1">
      <c r="A147" s="124" t="s">
        <v>1883</v>
      </c>
      <c r="B147" s="114" t="s">
        <v>1087</v>
      </c>
      <c r="C147" s="122">
        <v>83</v>
      </c>
      <c r="D147" s="122"/>
      <c r="E147" s="122"/>
      <c r="F147" s="122"/>
      <c r="G147" s="122">
        <v>50</v>
      </c>
      <c r="H147" s="122"/>
      <c r="I147" s="122"/>
      <c r="J147" s="122">
        <v>100</v>
      </c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4"/>
      <c r="W147" s="122"/>
      <c r="X147" s="122"/>
      <c r="Y147" s="122">
        <v>2</v>
      </c>
    </row>
    <row r="148" spans="1:25" s="32" customFormat="1">
      <c r="A148" s="124" t="s">
        <v>1884</v>
      </c>
      <c r="B148" s="114" t="s">
        <v>1087</v>
      </c>
      <c r="C148" s="122">
        <v>83</v>
      </c>
      <c r="D148" s="122"/>
      <c r="E148" s="122"/>
      <c r="F148" s="122"/>
      <c r="G148" s="122"/>
      <c r="H148" s="122">
        <v>300</v>
      </c>
      <c r="I148" s="122"/>
      <c r="J148" s="122"/>
      <c r="K148" s="122"/>
      <c r="L148" s="122">
        <v>26</v>
      </c>
      <c r="M148" s="122"/>
      <c r="N148" s="122"/>
      <c r="O148" s="122"/>
      <c r="P148" s="122"/>
      <c r="Q148" s="122"/>
      <c r="R148" s="122"/>
      <c r="S148" s="122"/>
      <c r="T148" s="122">
        <v>300</v>
      </c>
      <c r="U148" s="122">
        <v>100</v>
      </c>
      <c r="V148" s="4"/>
      <c r="W148" s="122"/>
      <c r="X148" s="122"/>
      <c r="Y148" s="122"/>
    </row>
    <row r="149" spans="1:25" s="32" customFormat="1">
      <c r="A149" s="125" t="s">
        <v>1885</v>
      </c>
      <c r="B149" s="122" t="s">
        <v>1864</v>
      </c>
      <c r="C149" s="122">
        <v>87</v>
      </c>
      <c r="D149" s="122"/>
      <c r="E149" s="122"/>
      <c r="F149" s="122"/>
      <c r="G149" s="122"/>
      <c r="H149" s="122">
        <v>298</v>
      </c>
      <c r="I149" s="122"/>
      <c r="J149" s="122">
        <v>200</v>
      </c>
      <c r="K149" s="122"/>
      <c r="L149" s="122">
        <v>16</v>
      </c>
      <c r="M149" s="122"/>
      <c r="N149" s="122"/>
      <c r="O149" s="122">
        <v>25</v>
      </c>
      <c r="P149" s="122"/>
      <c r="Q149" s="122"/>
      <c r="R149" s="122"/>
      <c r="S149" s="122"/>
      <c r="T149" s="122"/>
      <c r="U149" s="122"/>
      <c r="V149" s="4"/>
      <c r="W149" s="122"/>
      <c r="X149" s="122"/>
      <c r="Y149" s="122"/>
    </row>
    <row r="150" spans="1:25">
      <c r="A150" s="125" t="s">
        <v>1891</v>
      </c>
      <c r="B150" s="132" t="s">
        <v>1864</v>
      </c>
      <c r="C150" s="131">
        <v>88</v>
      </c>
      <c r="D150" s="131"/>
      <c r="E150" s="131">
        <v>10</v>
      </c>
      <c r="F150" s="131"/>
      <c r="G150" s="131"/>
      <c r="H150" s="131">
        <v>1300</v>
      </c>
      <c r="I150" s="131"/>
      <c r="J150" s="131"/>
      <c r="K150" s="131">
        <v>40</v>
      </c>
      <c r="L150" s="131"/>
      <c r="M150" s="131"/>
      <c r="N150" s="131"/>
      <c r="O150" s="131"/>
      <c r="P150" s="131"/>
      <c r="Q150" s="131"/>
      <c r="R150" s="131"/>
      <c r="S150" s="131"/>
      <c r="T150" s="131"/>
      <c r="U150" s="131"/>
      <c r="V150" s="4"/>
      <c r="W150" s="131"/>
      <c r="X150" s="131"/>
      <c r="Y150" s="131"/>
    </row>
    <row r="151" spans="1:25">
      <c r="A151" s="124" t="s">
        <v>1894</v>
      </c>
      <c r="B151" s="132" t="s">
        <v>115</v>
      </c>
      <c r="C151" s="136">
        <v>87</v>
      </c>
      <c r="D151" s="131"/>
      <c r="E151" s="131"/>
      <c r="F151" s="131"/>
      <c r="G151" s="131"/>
      <c r="H151" s="131">
        <v>900</v>
      </c>
      <c r="I151" s="131"/>
      <c r="J151" s="131"/>
      <c r="K151" s="131"/>
      <c r="L151" s="131"/>
      <c r="M151" s="131"/>
      <c r="N151" s="131"/>
      <c r="O151" s="131"/>
      <c r="P151" s="131"/>
      <c r="Q151" s="131"/>
      <c r="R151" s="131"/>
      <c r="S151" s="131"/>
      <c r="T151" s="131"/>
      <c r="U151" s="131"/>
      <c r="V151" s="4"/>
      <c r="W151" s="131"/>
      <c r="X151" s="131"/>
      <c r="Y151" s="131"/>
    </row>
    <row r="152" spans="1:25">
      <c r="A152" s="17" t="s">
        <v>2178</v>
      </c>
      <c r="B152" s="132" t="s">
        <v>115</v>
      </c>
      <c r="C152" s="131">
        <v>87</v>
      </c>
      <c r="D152" s="131"/>
      <c r="E152" s="131"/>
      <c r="F152" s="131"/>
      <c r="G152" s="131"/>
      <c r="H152" s="131"/>
      <c r="I152" s="131"/>
      <c r="J152" s="131"/>
      <c r="K152" s="131">
        <v>20</v>
      </c>
      <c r="L152" s="131"/>
      <c r="M152" s="131"/>
      <c r="N152" s="131"/>
      <c r="O152" s="131"/>
      <c r="P152" s="131"/>
      <c r="Q152" s="131"/>
      <c r="R152" s="131"/>
      <c r="S152" s="131"/>
      <c r="T152" s="131"/>
      <c r="U152" s="131"/>
      <c r="V152" s="4"/>
      <c r="W152" s="131"/>
      <c r="X152" s="131"/>
      <c r="Y152" s="131"/>
    </row>
    <row r="153" spans="1:25">
      <c r="A153" s="125" t="s">
        <v>1912</v>
      </c>
      <c r="B153" s="114" t="s">
        <v>1913</v>
      </c>
      <c r="C153" s="131">
        <v>87</v>
      </c>
      <c r="D153" s="131"/>
      <c r="E153" s="131">
        <v>30</v>
      </c>
      <c r="F153" s="131">
        <v>20</v>
      </c>
      <c r="G153" s="131">
        <v>20</v>
      </c>
      <c r="H153" s="131"/>
      <c r="I153" s="131"/>
      <c r="J153" s="131"/>
      <c r="K153" s="131">
        <v>35</v>
      </c>
      <c r="L153" s="131"/>
      <c r="M153" s="131"/>
      <c r="N153" s="131"/>
      <c r="O153" s="131"/>
      <c r="P153" s="131"/>
      <c r="Q153" s="131"/>
      <c r="R153" s="131"/>
      <c r="S153" s="131"/>
      <c r="T153" s="131"/>
      <c r="U153" s="131"/>
      <c r="V153" s="4"/>
      <c r="W153" s="131"/>
      <c r="X153" s="131"/>
      <c r="Y153" s="131"/>
    </row>
    <row r="154" spans="1:25">
      <c r="A154" s="125" t="s">
        <v>1925</v>
      </c>
      <c r="B154" s="114" t="s">
        <v>1913</v>
      </c>
      <c r="C154" s="131">
        <v>89</v>
      </c>
      <c r="D154" s="131"/>
      <c r="E154" s="131">
        <v>10</v>
      </c>
      <c r="F154" s="131">
        <v>10</v>
      </c>
      <c r="G154" s="131">
        <v>10</v>
      </c>
      <c r="H154" s="131"/>
      <c r="I154" s="131">
        <v>125</v>
      </c>
      <c r="J154" s="131"/>
      <c r="K154" s="131"/>
      <c r="L154" s="131"/>
      <c r="M154" s="131"/>
      <c r="N154" s="131"/>
      <c r="O154" s="131"/>
      <c r="P154" s="131"/>
      <c r="Q154" s="131"/>
      <c r="R154" s="131"/>
      <c r="S154" s="131"/>
      <c r="T154" s="131">
        <v>500</v>
      </c>
      <c r="U154" s="131"/>
      <c r="V154" s="4"/>
      <c r="W154" s="131"/>
      <c r="X154" s="131"/>
      <c r="Y154" s="131"/>
    </row>
    <row r="155" spans="1:25">
      <c r="A155" s="124" t="s">
        <v>1930</v>
      </c>
      <c r="B155" s="132" t="s">
        <v>115</v>
      </c>
      <c r="C155" s="136">
        <v>86</v>
      </c>
      <c r="D155" s="131"/>
      <c r="E155" s="131"/>
      <c r="F155" s="131"/>
      <c r="G155" s="131"/>
      <c r="H155" s="131"/>
      <c r="I155" s="131">
        <v>30</v>
      </c>
      <c r="J155" s="131"/>
      <c r="K155" s="131"/>
      <c r="L155" s="131"/>
      <c r="M155" s="131">
        <v>6</v>
      </c>
      <c r="N155" s="131"/>
      <c r="O155" s="131"/>
      <c r="P155" s="131"/>
      <c r="Q155" s="131"/>
      <c r="R155" s="131"/>
      <c r="S155" s="131"/>
      <c r="T155" s="131"/>
      <c r="U155" s="131"/>
      <c r="V155" s="4"/>
      <c r="W155" s="131"/>
      <c r="X155" s="131"/>
      <c r="Y155" s="131"/>
    </row>
    <row r="156" spans="1:25">
      <c r="A156" s="124" t="s">
        <v>1938</v>
      </c>
      <c r="B156" s="133" t="s">
        <v>115</v>
      </c>
      <c r="C156" s="136">
        <v>82</v>
      </c>
      <c r="D156" s="131"/>
      <c r="E156" s="131"/>
      <c r="F156" s="131"/>
      <c r="G156" s="131"/>
      <c r="H156" s="131"/>
      <c r="I156" s="131"/>
      <c r="J156" s="131"/>
      <c r="K156" s="131"/>
      <c r="L156" s="131">
        <v>20</v>
      </c>
      <c r="M156" s="131"/>
      <c r="N156" s="131"/>
      <c r="O156" s="131"/>
      <c r="P156" s="131"/>
      <c r="Q156" s="131"/>
      <c r="R156" s="131"/>
      <c r="S156" s="131"/>
      <c r="T156" s="131"/>
      <c r="U156" s="131"/>
      <c r="V156" s="4"/>
      <c r="W156" s="131"/>
      <c r="X156" s="131"/>
      <c r="Y156" s="131"/>
    </row>
    <row r="157" spans="1:25">
      <c r="A157" s="124" t="s">
        <v>1963</v>
      </c>
      <c r="B157" s="134" t="s">
        <v>115</v>
      </c>
      <c r="C157" s="131">
        <v>81</v>
      </c>
      <c r="D157" s="131"/>
      <c r="E157" s="131"/>
      <c r="F157" s="131"/>
      <c r="G157" s="131"/>
      <c r="H157" s="131"/>
      <c r="I157" s="131">
        <v>75</v>
      </c>
      <c r="J157" s="131"/>
      <c r="K157" s="131"/>
      <c r="L157" s="131"/>
      <c r="M157" s="131"/>
      <c r="N157" s="131"/>
      <c r="O157" s="131"/>
      <c r="P157" s="131"/>
      <c r="Q157" s="131"/>
      <c r="R157" s="131"/>
      <c r="S157" s="131"/>
      <c r="T157" s="131"/>
      <c r="U157" s="131"/>
      <c r="V157" s="4"/>
      <c r="W157" s="131"/>
      <c r="X157" s="131"/>
      <c r="Y157" s="131"/>
    </row>
    <row r="158" spans="1:25">
      <c r="A158" s="125" t="s">
        <v>1971</v>
      </c>
      <c r="B158" s="114" t="s">
        <v>1972</v>
      </c>
      <c r="C158" s="131">
        <v>89</v>
      </c>
      <c r="D158" s="131"/>
      <c r="E158" s="131">
        <v>60</v>
      </c>
      <c r="F158" s="131"/>
      <c r="G158" s="131"/>
      <c r="H158" s="131"/>
      <c r="I158" s="131">
        <v>100</v>
      </c>
      <c r="J158" s="131"/>
      <c r="K158" s="131"/>
      <c r="L158" s="131"/>
      <c r="M158" s="131"/>
      <c r="N158" s="131"/>
      <c r="O158" s="131"/>
      <c r="P158" s="131"/>
      <c r="Q158" s="131"/>
      <c r="R158" s="131"/>
      <c r="S158" s="131"/>
      <c r="T158" s="131">
        <v>200</v>
      </c>
      <c r="U158" s="131">
        <v>50</v>
      </c>
      <c r="V158" s="4"/>
      <c r="W158" s="131"/>
      <c r="X158" s="131"/>
      <c r="Y158" s="131"/>
    </row>
    <row r="159" spans="1:25">
      <c r="A159" s="125" t="s">
        <v>1976</v>
      </c>
      <c r="B159" s="134" t="s">
        <v>115</v>
      </c>
      <c r="C159" s="134">
        <v>87</v>
      </c>
      <c r="D159" s="131"/>
      <c r="E159" s="131"/>
      <c r="F159" s="131"/>
      <c r="G159" s="131"/>
      <c r="H159" s="131"/>
      <c r="I159" s="131">
        <v>90</v>
      </c>
      <c r="J159" s="131"/>
      <c r="K159" s="131"/>
      <c r="L159" s="131"/>
      <c r="M159" s="131"/>
      <c r="N159" s="131"/>
      <c r="O159" s="131"/>
      <c r="P159" s="131"/>
      <c r="Q159" s="131"/>
      <c r="R159" s="131"/>
      <c r="S159" s="131"/>
      <c r="T159" s="131"/>
      <c r="U159" s="131"/>
      <c r="V159" s="4"/>
      <c r="W159" s="131"/>
      <c r="X159" s="131"/>
      <c r="Y159" s="131"/>
    </row>
    <row r="160" spans="1:25">
      <c r="A160" s="125" t="s">
        <v>1993</v>
      </c>
      <c r="B160" s="135" t="s">
        <v>1864</v>
      </c>
      <c r="C160" s="135">
        <v>88</v>
      </c>
      <c r="D160" s="135"/>
      <c r="E160" s="135"/>
      <c r="F160" s="135"/>
      <c r="G160" s="135">
        <v>25</v>
      </c>
      <c r="H160" s="135"/>
      <c r="I160" s="135"/>
      <c r="J160" s="135">
        <v>150</v>
      </c>
      <c r="K160" s="135"/>
      <c r="L160" s="135"/>
      <c r="M160" s="135"/>
      <c r="N160" s="135"/>
      <c r="O160" s="135"/>
      <c r="P160" s="135">
        <v>15</v>
      </c>
      <c r="Q160" s="135"/>
      <c r="R160" s="135"/>
      <c r="S160" s="135"/>
      <c r="T160" s="135"/>
      <c r="U160" s="135"/>
      <c r="V160" s="4"/>
      <c r="W160" s="135"/>
      <c r="X160" s="135"/>
      <c r="Y160" s="135"/>
    </row>
    <row r="161" spans="1:25" s="32" customFormat="1">
      <c r="A161" s="126" t="s">
        <v>2180</v>
      </c>
      <c r="B161" s="194" t="s">
        <v>1864</v>
      </c>
      <c r="C161" s="194">
        <v>87</v>
      </c>
      <c r="D161" s="194"/>
      <c r="E161" s="194"/>
      <c r="F161" s="194"/>
      <c r="G161" s="194"/>
      <c r="H161" s="194"/>
      <c r="I161" s="194"/>
      <c r="J161" s="194">
        <v>145</v>
      </c>
      <c r="K161" s="194"/>
      <c r="L161" s="194"/>
      <c r="M161" s="194"/>
      <c r="N161" s="194"/>
      <c r="O161" s="194"/>
      <c r="P161" s="194"/>
      <c r="Q161" s="194"/>
      <c r="R161" s="194"/>
      <c r="S161" s="194"/>
      <c r="T161" s="194"/>
      <c r="U161" s="194"/>
      <c r="V161" s="4"/>
      <c r="W161" s="194"/>
      <c r="X161" s="194"/>
      <c r="Y161" s="194"/>
    </row>
    <row r="162" spans="1:25" s="32" customFormat="1">
      <c r="A162" s="8"/>
      <c r="V162" s="7"/>
    </row>
    <row r="163" spans="1:25" s="32" customFormat="1">
      <c r="A163" s="8"/>
      <c r="V163" s="7"/>
    </row>
    <row r="164" spans="1:25" s="32" customFormat="1">
      <c r="A164" s="8"/>
      <c r="V164" s="7"/>
    </row>
    <row r="165" spans="1:25" s="32" customFormat="1">
      <c r="A165" s="8"/>
      <c r="V165" s="7"/>
    </row>
    <row r="166" spans="1:25" s="32" customFormat="1">
      <c r="A166" s="8"/>
      <c r="V166" s="7"/>
    </row>
    <row r="167" spans="1:25">
      <c r="A167" s="8"/>
    </row>
    <row r="168" spans="1:25">
      <c r="A168" s="8"/>
    </row>
    <row r="169" spans="1:25">
      <c r="A169" s="8"/>
    </row>
    <row r="170" spans="1:25">
      <c r="A170" s="8"/>
    </row>
    <row r="171" spans="1:25">
      <c r="A171" s="8"/>
    </row>
    <row r="172" spans="1:25">
      <c r="A172" s="8"/>
    </row>
  </sheetData>
  <sheetProtection password="8926" sheet="1" objects="1" scenarios="1" selectLockedCells="1" selectUnlockedCells="1"/>
  <phoneticPr fontId="1" type="noConversion"/>
  <dataValidations count="1">
    <dataValidation type="list" allowBlank="1" showInputMessage="1" showErrorMessage="1" sqref="B2:B65537">
      <formula1>"白装,绿装,蓝装,紫装,橙装"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Z171"/>
  <sheetViews>
    <sheetView zoomScale="81" zoomScaleNormal="81" workbookViewId="0">
      <pane ySplit="1" topLeftCell="A140" activePane="bottomLeft" state="frozen"/>
      <selection activeCell="BE12" sqref="BE12"/>
      <selection pane="bottomLeft" activeCell="J162" sqref="J162"/>
    </sheetView>
  </sheetViews>
  <sheetFormatPr defaultRowHeight="13.5" outlineLevelCol="1"/>
  <cols>
    <col min="1" max="1" width="11.625" style="2" hidden="1" customWidth="1" outlineLevel="1"/>
    <col min="2" max="3" width="7.75" style="2" hidden="1" customWidth="1" outlineLevel="1"/>
    <col min="4" max="4" width="1.875" style="2" hidden="1" customWidth="1" outlineLevel="1"/>
    <col min="5" max="17" width="8.375" style="2" hidden="1" customWidth="1" outlineLevel="1"/>
    <col min="18" max="18" width="8.375" style="32" hidden="1" customWidth="1" outlineLevel="1"/>
    <col min="19" max="21" width="8.375" style="2" hidden="1" customWidth="1" outlineLevel="1"/>
    <col min="22" max="22" width="8.375" style="7" hidden="1" customWidth="1" outlineLevel="1"/>
    <col min="23" max="23" width="8.25" style="2" hidden="1" customWidth="1" outlineLevel="1"/>
    <col min="24" max="25" width="8.25" style="32" hidden="1" customWidth="1" outlineLevel="1"/>
    <col min="26" max="26" width="9" style="2" collapsed="1"/>
    <col min="27" max="16384" width="9" style="2"/>
  </cols>
  <sheetData>
    <row r="1" spans="1:25">
      <c r="A1" s="3" t="s">
        <v>0</v>
      </c>
      <c r="B1" s="18" t="s">
        <v>73</v>
      </c>
      <c r="C1" s="3" t="s">
        <v>2</v>
      </c>
      <c r="D1" s="3"/>
      <c r="E1" s="3" t="s">
        <v>3</v>
      </c>
      <c r="F1" s="3" t="s">
        <v>4</v>
      </c>
      <c r="G1" s="3" t="s">
        <v>5</v>
      </c>
      <c r="H1" s="3" t="s">
        <v>103</v>
      </c>
      <c r="I1" s="3" t="s">
        <v>14</v>
      </c>
      <c r="J1" s="3" t="s">
        <v>47</v>
      </c>
      <c r="K1" s="3" t="s">
        <v>35</v>
      </c>
      <c r="L1" s="3" t="s">
        <v>38</v>
      </c>
      <c r="M1" s="3" t="s">
        <v>34</v>
      </c>
      <c r="N1" s="3" t="s">
        <v>56</v>
      </c>
      <c r="O1" s="3" t="s">
        <v>84</v>
      </c>
      <c r="P1" s="3" t="s">
        <v>98</v>
      </c>
      <c r="Q1" s="114" t="s">
        <v>2101</v>
      </c>
      <c r="R1" s="147" t="s">
        <v>1874</v>
      </c>
      <c r="S1" s="19" t="s">
        <v>91</v>
      </c>
      <c r="T1" s="19" t="s">
        <v>13</v>
      </c>
      <c r="U1" s="19" t="s">
        <v>18</v>
      </c>
      <c r="V1" s="148" t="s">
        <v>71</v>
      </c>
      <c r="W1" s="19" t="s">
        <v>130</v>
      </c>
      <c r="X1" s="147" t="s">
        <v>1867</v>
      </c>
      <c r="Y1" s="147" t="s">
        <v>1877</v>
      </c>
    </row>
    <row r="2" spans="1:25">
      <c r="A2" s="27" t="s">
        <v>7</v>
      </c>
      <c r="B2" s="18">
        <v>2</v>
      </c>
      <c r="C2" s="3">
        <v>0</v>
      </c>
      <c r="D2" s="6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122"/>
      <c r="S2" s="3"/>
      <c r="T2" s="3"/>
      <c r="U2" s="3"/>
      <c r="V2" s="4"/>
      <c r="W2" s="3"/>
      <c r="X2" s="122"/>
      <c r="Y2" s="122"/>
    </row>
    <row r="3" spans="1:25">
      <c r="A3" s="28" t="s">
        <v>219</v>
      </c>
      <c r="B3" s="18">
        <v>2</v>
      </c>
      <c r="C3" s="3">
        <v>0</v>
      </c>
      <c r="D3" s="6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122"/>
      <c r="S3" s="3"/>
      <c r="T3" s="3"/>
      <c r="U3" s="3"/>
      <c r="V3" s="4"/>
      <c r="W3" s="3"/>
      <c r="X3" s="122"/>
      <c r="Y3" s="122"/>
    </row>
    <row r="4" spans="1:25">
      <c r="A4" s="28" t="s">
        <v>8</v>
      </c>
      <c r="B4" s="18">
        <v>2</v>
      </c>
      <c r="C4" s="3">
        <v>0</v>
      </c>
      <c r="D4" s="6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122"/>
      <c r="S4" s="3"/>
      <c r="T4" s="3"/>
      <c r="U4" s="3"/>
      <c r="V4" s="4"/>
      <c r="W4" s="3"/>
      <c r="X4" s="122"/>
      <c r="Y4" s="122"/>
    </row>
    <row r="5" spans="1:25">
      <c r="A5" s="28" t="s">
        <v>9</v>
      </c>
      <c r="B5" s="18">
        <v>2</v>
      </c>
      <c r="C5" s="3">
        <v>0</v>
      </c>
      <c r="D5" s="6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122"/>
      <c r="S5" s="3"/>
      <c r="T5" s="3"/>
      <c r="U5" s="3"/>
      <c r="V5" s="4"/>
      <c r="W5" s="3"/>
      <c r="X5" s="122"/>
      <c r="Y5" s="122"/>
    </row>
    <row r="6" spans="1:25">
      <c r="A6" s="28" t="s">
        <v>10</v>
      </c>
      <c r="B6" s="18">
        <v>2</v>
      </c>
      <c r="C6" s="3">
        <v>0</v>
      </c>
      <c r="D6" s="6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122"/>
      <c r="S6" s="3"/>
      <c r="T6" s="3"/>
      <c r="U6" s="3"/>
      <c r="V6" s="4"/>
      <c r="W6" s="3"/>
      <c r="X6" s="122"/>
      <c r="Y6" s="122"/>
    </row>
    <row r="7" spans="1:25">
      <c r="A7" s="28" t="s">
        <v>11</v>
      </c>
      <c r="B7" s="18">
        <v>2</v>
      </c>
      <c r="C7" s="3">
        <v>0</v>
      </c>
      <c r="D7" s="6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122"/>
      <c r="S7" s="3"/>
      <c r="T7" s="3"/>
      <c r="U7" s="3"/>
      <c r="V7" s="4"/>
      <c r="W7" s="3"/>
      <c r="X7" s="122"/>
      <c r="Y7" s="122"/>
    </row>
    <row r="8" spans="1:25">
      <c r="A8" s="28" t="s">
        <v>12</v>
      </c>
      <c r="B8" s="18">
        <v>2</v>
      </c>
      <c r="C8" s="3">
        <v>0</v>
      </c>
      <c r="D8" s="6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122"/>
      <c r="S8" s="3"/>
      <c r="T8" s="3"/>
      <c r="U8" s="3"/>
      <c r="V8" s="4"/>
      <c r="W8" s="3"/>
      <c r="X8" s="122"/>
      <c r="Y8" s="122"/>
    </row>
    <row r="9" spans="1:25">
      <c r="A9" s="28" t="s">
        <v>15</v>
      </c>
      <c r="B9" s="18">
        <v>1</v>
      </c>
      <c r="C9" s="3">
        <v>0</v>
      </c>
      <c r="D9" s="6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122"/>
      <c r="S9" s="3"/>
      <c r="T9" s="3"/>
      <c r="U9" s="3"/>
      <c r="V9" s="4"/>
      <c r="W9" s="3"/>
      <c r="X9" s="122"/>
      <c r="Y9" s="122"/>
    </row>
    <row r="10" spans="1:25">
      <c r="A10" s="28" t="s">
        <v>16</v>
      </c>
      <c r="B10" s="18">
        <v>2</v>
      </c>
      <c r="C10" s="3">
        <v>0</v>
      </c>
      <c r="D10" s="6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122"/>
      <c r="S10" s="3"/>
      <c r="T10" s="3"/>
      <c r="U10" s="3"/>
      <c r="V10" s="4"/>
      <c r="W10" s="3"/>
      <c r="X10" s="122"/>
      <c r="Y10" s="122"/>
    </row>
    <row r="11" spans="1:25">
      <c r="A11" s="28" t="s">
        <v>17</v>
      </c>
      <c r="B11" s="18">
        <v>2</v>
      </c>
      <c r="C11" s="3">
        <v>0</v>
      </c>
      <c r="D11" s="6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122"/>
      <c r="S11" s="3"/>
      <c r="T11" s="3"/>
      <c r="U11" s="3"/>
      <c r="V11" s="4"/>
      <c r="W11" s="3"/>
      <c r="X11" s="122"/>
      <c r="Y11" s="122"/>
    </row>
    <row r="12" spans="1:25">
      <c r="A12" s="28" t="s">
        <v>19</v>
      </c>
      <c r="B12" s="18">
        <v>2</v>
      </c>
      <c r="C12" s="3">
        <v>0</v>
      </c>
      <c r="D12" s="6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122"/>
      <c r="S12" s="3"/>
      <c r="T12" s="3"/>
      <c r="U12" s="3"/>
      <c r="V12" s="4"/>
      <c r="W12" s="3"/>
      <c r="X12" s="122"/>
      <c r="Y12" s="122"/>
    </row>
    <row r="13" spans="1:25">
      <c r="A13" s="28" t="s">
        <v>20</v>
      </c>
      <c r="B13" s="18">
        <v>8</v>
      </c>
      <c r="C13" s="3">
        <v>0</v>
      </c>
      <c r="D13" s="6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122"/>
      <c r="S13" s="3"/>
      <c r="T13" s="3"/>
      <c r="U13" s="3"/>
      <c r="V13" s="4"/>
      <c r="W13" s="3"/>
      <c r="X13" s="122"/>
      <c r="Y13" s="122"/>
    </row>
    <row r="14" spans="1:25">
      <c r="A14" s="28" t="s">
        <v>21</v>
      </c>
      <c r="B14" s="18">
        <v>10</v>
      </c>
      <c r="C14" s="3">
        <v>0</v>
      </c>
      <c r="D14" s="6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122"/>
      <c r="S14" s="3"/>
      <c r="T14" s="3"/>
      <c r="U14" s="3"/>
      <c r="V14" s="4"/>
      <c r="W14" s="3"/>
      <c r="X14" s="122"/>
      <c r="Y14" s="122"/>
    </row>
    <row r="15" spans="1:25">
      <c r="A15" s="28" t="s">
        <v>22</v>
      </c>
      <c r="B15" s="18">
        <v>9</v>
      </c>
      <c r="C15" s="3">
        <v>0</v>
      </c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122"/>
      <c r="S15" s="3"/>
      <c r="T15" s="3"/>
      <c r="U15" s="3"/>
      <c r="V15" s="4"/>
      <c r="W15" s="3"/>
      <c r="X15" s="122"/>
      <c r="Y15" s="122"/>
    </row>
    <row r="16" spans="1:25">
      <c r="A16" s="28" t="s">
        <v>23</v>
      </c>
      <c r="B16" s="18">
        <v>9</v>
      </c>
      <c r="C16" s="3">
        <v>0</v>
      </c>
      <c r="D16" s="6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122"/>
      <c r="S16" s="3"/>
      <c r="T16" s="3"/>
      <c r="U16" s="3"/>
      <c r="V16" s="4"/>
      <c r="W16" s="3"/>
      <c r="X16" s="122"/>
      <c r="Y16" s="122"/>
    </row>
    <row r="17" spans="1:25">
      <c r="A17" s="28" t="s">
        <v>24</v>
      </c>
      <c r="B17" s="18">
        <v>9</v>
      </c>
      <c r="C17" s="3">
        <v>0</v>
      </c>
      <c r="D17" s="6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122"/>
      <c r="S17" s="3"/>
      <c r="T17" s="3"/>
      <c r="U17" s="3"/>
      <c r="V17" s="4"/>
      <c r="W17" s="3"/>
      <c r="X17" s="122"/>
      <c r="Y17" s="122"/>
    </row>
    <row r="18" spans="1:25">
      <c r="A18" s="28" t="s">
        <v>25</v>
      </c>
      <c r="B18" s="18">
        <v>9</v>
      </c>
      <c r="C18" s="3">
        <v>0</v>
      </c>
      <c r="D18" s="6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122"/>
      <c r="S18" s="3"/>
      <c r="T18" s="3"/>
      <c r="U18" s="3"/>
      <c r="V18" s="4"/>
      <c r="W18" s="3"/>
      <c r="X18" s="122"/>
      <c r="Y18" s="122"/>
    </row>
    <row r="19" spans="1:25">
      <c r="A19" s="28" t="s">
        <v>26</v>
      </c>
      <c r="B19" s="18">
        <v>10</v>
      </c>
      <c r="C19" s="3">
        <v>0</v>
      </c>
      <c r="D19" s="6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122"/>
      <c r="S19" s="3"/>
      <c r="T19" s="3"/>
      <c r="U19" s="3"/>
      <c r="V19" s="4"/>
      <c r="W19" s="3"/>
      <c r="X19" s="122"/>
      <c r="Y19" s="122"/>
    </row>
    <row r="20" spans="1:25">
      <c r="A20" s="28" t="s">
        <v>27</v>
      </c>
      <c r="B20" s="18">
        <v>10</v>
      </c>
      <c r="C20" s="3">
        <v>0</v>
      </c>
      <c r="D20" s="6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122"/>
      <c r="S20" s="3"/>
      <c r="T20" s="3"/>
      <c r="U20" s="3"/>
      <c r="V20" s="4"/>
      <c r="W20" s="3"/>
      <c r="X20" s="122"/>
      <c r="Y20" s="122"/>
    </row>
    <row r="21" spans="1:25">
      <c r="A21" s="14" t="s">
        <v>28</v>
      </c>
      <c r="B21" s="18">
        <v>15</v>
      </c>
      <c r="C21" s="3">
        <v>1</v>
      </c>
      <c r="D21" s="34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122"/>
      <c r="S21" s="3"/>
      <c r="T21" s="3"/>
      <c r="U21" s="3"/>
      <c r="V21" s="4"/>
      <c r="W21" s="3"/>
      <c r="X21" s="122"/>
      <c r="Y21" s="122"/>
    </row>
    <row r="22" spans="1:25">
      <c r="A22" s="14" t="s">
        <v>30</v>
      </c>
      <c r="B22" s="18">
        <v>10</v>
      </c>
      <c r="C22" s="3">
        <v>1</v>
      </c>
      <c r="D22" s="6"/>
      <c r="E22" s="3">
        <v>6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122"/>
      <c r="S22" s="3"/>
      <c r="T22" s="3"/>
      <c r="U22" s="3"/>
      <c r="V22" s="4"/>
      <c r="W22" s="3"/>
      <c r="X22" s="122"/>
      <c r="Y22" s="122"/>
    </row>
    <row r="23" spans="1:25">
      <c r="A23" s="14" t="s">
        <v>31</v>
      </c>
      <c r="B23" s="18">
        <v>10</v>
      </c>
      <c r="C23" s="3">
        <v>1</v>
      </c>
      <c r="D23" s="6"/>
      <c r="E23" s="3"/>
      <c r="F23" s="3">
        <v>6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122"/>
      <c r="S23" s="3"/>
      <c r="T23" s="3"/>
      <c r="U23" s="3"/>
      <c r="V23" s="4"/>
      <c r="W23" s="3"/>
      <c r="X23" s="122"/>
      <c r="Y23" s="122"/>
    </row>
    <row r="24" spans="1:25">
      <c r="A24" s="14" t="s">
        <v>32</v>
      </c>
      <c r="B24" s="18">
        <v>10</v>
      </c>
      <c r="C24" s="3">
        <v>1</v>
      </c>
      <c r="D24" s="6"/>
      <c r="E24" s="3"/>
      <c r="F24" s="3"/>
      <c r="G24" s="3">
        <v>6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122"/>
      <c r="S24" s="3"/>
      <c r="T24" s="3"/>
      <c r="U24" s="3"/>
      <c r="V24" s="4"/>
      <c r="W24" s="3"/>
      <c r="X24" s="122"/>
      <c r="Y24" s="122"/>
    </row>
    <row r="25" spans="1:25">
      <c r="A25" s="14" t="s">
        <v>33</v>
      </c>
      <c r="B25" s="18">
        <v>10</v>
      </c>
      <c r="C25" s="3">
        <v>1</v>
      </c>
      <c r="D25" s="6"/>
      <c r="E25" s="3"/>
      <c r="F25" s="3"/>
      <c r="G25" s="3"/>
      <c r="H25" s="3"/>
      <c r="I25" s="3"/>
      <c r="J25" s="3"/>
      <c r="K25" s="3"/>
      <c r="L25" s="3"/>
      <c r="M25" s="3">
        <v>7.5</v>
      </c>
      <c r="N25" s="3"/>
      <c r="O25" s="3"/>
      <c r="P25" s="3"/>
      <c r="Q25" s="3"/>
      <c r="R25" s="122"/>
      <c r="S25" s="3"/>
      <c r="T25" s="3"/>
      <c r="U25" s="3"/>
      <c r="V25" s="4"/>
      <c r="W25" s="3"/>
      <c r="X25" s="122"/>
      <c r="Y25" s="122"/>
    </row>
    <row r="26" spans="1:25">
      <c r="A26" s="14" t="s">
        <v>36</v>
      </c>
      <c r="B26" s="18">
        <v>20</v>
      </c>
      <c r="C26" s="3">
        <v>1</v>
      </c>
      <c r="D26" s="6"/>
      <c r="E26" s="3"/>
      <c r="F26" s="3"/>
      <c r="G26" s="3"/>
      <c r="H26" s="3"/>
      <c r="I26" s="3"/>
      <c r="J26" s="3"/>
      <c r="K26" s="3">
        <v>5</v>
      </c>
      <c r="L26" s="3"/>
      <c r="M26" s="3"/>
      <c r="N26" s="3"/>
      <c r="O26" s="3"/>
      <c r="P26" s="3"/>
      <c r="Q26" s="3"/>
      <c r="R26" s="122"/>
      <c r="S26" s="3"/>
      <c r="T26" s="3"/>
      <c r="U26" s="3"/>
      <c r="V26" s="4"/>
      <c r="W26" s="3"/>
      <c r="X26" s="122"/>
      <c r="Y26" s="122"/>
    </row>
    <row r="27" spans="1:25">
      <c r="A27" s="14" t="s">
        <v>37</v>
      </c>
      <c r="B27" s="18">
        <v>27</v>
      </c>
      <c r="C27" s="3">
        <v>1</v>
      </c>
      <c r="D27" s="6"/>
      <c r="E27" s="3"/>
      <c r="F27" s="3"/>
      <c r="G27" s="3"/>
      <c r="H27" s="3"/>
      <c r="I27" s="3"/>
      <c r="J27" s="3"/>
      <c r="K27" s="3"/>
      <c r="L27" s="3">
        <v>5</v>
      </c>
      <c r="M27" s="3"/>
      <c r="N27" s="3"/>
      <c r="O27" s="3"/>
      <c r="P27" s="3"/>
      <c r="Q27" s="3"/>
      <c r="R27" s="122"/>
      <c r="S27" s="3"/>
      <c r="T27" s="3"/>
      <c r="U27" s="3"/>
      <c r="V27" s="4"/>
      <c r="W27" s="3"/>
      <c r="X27" s="122"/>
      <c r="Y27" s="122"/>
    </row>
    <row r="28" spans="1:25">
      <c r="A28" s="14" t="s">
        <v>39</v>
      </c>
      <c r="B28" s="18">
        <v>20</v>
      </c>
      <c r="C28" s="3">
        <v>1</v>
      </c>
      <c r="D28" s="19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122"/>
      <c r="S28" s="3"/>
      <c r="T28" s="3">
        <v>150</v>
      </c>
      <c r="U28" s="3"/>
      <c r="V28" s="4"/>
      <c r="W28" s="3"/>
      <c r="X28" s="122"/>
      <c r="Y28" s="122"/>
    </row>
    <row r="29" spans="1:25">
      <c r="A29" s="14" t="s">
        <v>40</v>
      </c>
      <c r="B29" s="18">
        <v>11</v>
      </c>
      <c r="C29" s="3">
        <v>1</v>
      </c>
      <c r="D29" s="6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122"/>
      <c r="S29" s="3"/>
      <c r="T29" s="3"/>
      <c r="U29" s="3">
        <v>60</v>
      </c>
      <c r="V29" s="4"/>
      <c r="W29" s="3"/>
      <c r="X29" s="122"/>
      <c r="Y29" s="122"/>
    </row>
    <row r="30" spans="1:25">
      <c r="A30" s="14" t="s">
        <v>41</v>
      </c>
      <c r="B30" s="18">
        <v>11</v>
      </c>
      <c r="C30" s="3">
        <v>1</v>
      </c>
      <c r="D30" s="6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>
        <v>15</v>
      </c>
      <c r="R30" s="122"/>
      <c r="S30" s="3"/>
      <c r="T30" s="3"/>
      <c r="U30" s="3"/>
      <c r="V30" s="4"/>
      <c r="W30" s="3"/>
      <c r="X30" s="122"/>
      <c r="Y30" s="122"/>
    </row>
    <row r="31" spans="1:25">
      <c r="A31" s="14" t="s">
        <v>43</v>
      </c>
      <c r="B31" s="18">
        <v>10</v>
      </c>
      <c r="C31" s="3">
        <v>1</v>
      </c>
      <c r="D31" s="6"/>
      <c r="E31" s="3"/>
      <c r="F31" s="3"/>
      <c r="G31" s="3"/>
      <c r="H31" s="3"/>
      <c r="I31" s="3">
        <v>8</v>
      </c>
      <c r="J31" s="3"/>
      <c r="K31" s="3"/>
      <c r="L31" s="3"/>
      <c r="M31" s="3">
        <v>4</v>
      </c>
      <c r="N31" s="3"/>
      <c r="O31" s="3"/>
      <c r="P31" s="3"/>
      <c r="Q31" s="3"/>
      <c r="R31" s="122"/>
      <c r="S31" s="3"/>
      <c r="T31" s="3"/>
      <c r="U31" s="3"/>
      <c r="V31" s="4"/>
      <c r="W31" s="3"/>
      <c r="X31" s="122"/>
      <c r="Y31" s="122"/>
    </row>
    <row r="32" spans="1:25">
      <c r="A32" s="14" t="s">
        <v>44</v>
      </c>
      <c r="B32" s="18">
        <v>10</v>
      </c>
      <c r="C32" s="3">
        <v>1</v>
      </c>
      <c r="D32" s="6"/>
      <c r="E32" s="3"/>
      <c r="F32" s="3"/>
      <c r="G32" s="3"/>
      <c r="H32" s="3"/>
      <c r="I32" s="3"/>
      <c r="J32" s="3"/>
      <c r="K32" s="3">
        <v>3</v>
      </c>
      <c r="L32" s="3"/>
      <c r="M32" s="3"/>
      <c r="N32" s="3"/>
      <c r="O32" s="3"/>
      <c r="P32" s="3"/>
      <c r="Q32" s="3"/>
      <c r="R32" s="122"/>
      <c r="S32" s="3"/>
      <c r="T32" s="3">
        <v>60</v>
      </c>
      <c r="U32" s="3"/>
      <c r="V32" s="4"/>
      <c r="W32" s="3"/>
      <c r="X32" s="122"/>
      <c r="Y32" s="122"/>
    </row>
    <row r="33" spans="1:25">
      <c r="A33" s="14" t="s">
        <v>45</v>
      </c>
      <c r="B33" s="18">
        <v>12</v>
      </c>
      <c r="C33" s="3">
        <v>1</v>
      </c>
      <c r="D33" s="6"/>
      <c r="E33" s="3"/>
      <c r="F33" s="3"/>
      <c r="G33" s="3"/>
      <c r="H33" s="3">
        <v>250</v>
      </c>
      <c r="I33" s="3"/>
      <c r="J33" s="3"/>
      <c r="K33" s="3"/>
      <c r="L33" s="3"/>
      <c r="M33" s="3"/>
      <c r="N33" s="3"/>
      <c r="O33" s="3"/>
      <c r="P33" s="3"/>
      <c r="Q33" s="3"/>
      <c r="R33" s="122"/>
      <c r="S33" s="3"/>
      <c r="T33" s="3"/>
      <c r="U33" s="3"/>
      <c r="V33" s="4"/>
      <c r="W33" s="3"/>
      <c r="X33" s="122"/>
      <c r="Y33" s="122"/>
    </row>
    <row r="34" spans="1:25">
      <c r="A34" s="14" t="s">
        <v>46</v>
      </c>
      <c r="B34" s="18">
        <v>11</v>
      </c>
      <c r="C34" s="3">
        <v>1</v>
      </c>
      <c r="D34" s="6"/>
      <c r="E34" s="3"/>
      <c r="F34" s="3"/>
      <c r="G34" s="3"/>
      <c r="H34" s="3"/>
      <c r="I34" s="3"/>
      <c r="J34" s="3">
        <v>15</v>
      </c>
      <c r="K34" s="3"/>
      <c r="L34" s="3"/>
      <c r="M34" s="3"/>
      <c r="N34" s="3"/>
      <c r="O34" s="3"/>
      <c r="P34" s="3"/>
      <c r="Q34" s="3"/>
      <c r="R34" s="122"/>
      <c r="S34" s="3"/>
      <c r="T34" s="3"/>
      <c r="U34" s="3"/>
      <c r="V34" s="4"/>
      <c r="W34" s="3"/>
      <c r="X34" s="122"/>
      <c r="Y34" s="122"/>
    </row>
    <row r="35" spans="1:25">
      <c r="A35" s="14" t="s">
        <v>48</v>
      </c>
      <c r="B35" s="18">
        <v>13</v>
      </c>
      <c r="C35" s="3">
        <v>1</v>
      </c>
      <c r="D35" s="6"/>
      <c r="E35" s="3"/>
      <c r="F35" s="3"/>
      <c r="G35" s="3"/>
      <c r="H35" s="3">
        <v>100</v>
      </c>
      <c r="I35" s="3"/>
      <c r="J35" s="3">
        <v>9</v>
      </c>
      <c r="K35" s="3"/>
      <c r="L35" s="3"/>
      <c r="M35" s="3"/>
      <c r="N35" s="3"/>
      <c r="O35" s="3"/>
      <c r="P35" s="3"/>
      <c r="Q35" s="3"/>
      <c r="R35" s="122"/>
      <c r="S35" s="3"/>
      <c r="T35" s="3"/>
      <c r="U35" s="3"/>
      <c r="V35" s="4"/>
      <c r="W35" s="3"/>
      <c r="X35" s="122"/>
      <c r="Y35" s="122"/>
    </row>
    <row r="36" spans="1:25">
      <c r="A36" s="14" t="s">
        <v>49</v>
      </c>
      <c r="B36" s="18">
        <v>10</v>
      </c>
      <c r="C36" s="3">
        <v>1</v>
      </c>
      <c r="D36" s="6"/>
      <c r="E36" s="3">
        <v>3</v>
      </c>
      <c r="F36" s="3">
        <v>3</v>
      </c>
      <c r="G36" s="3">
        <v>3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122"/>
      <c r="S36" s="3"/>
      <c r="T36" s="3">
        <v>15</v>
      </c>
      <c r="U36" s="3">
        <v>15</v>
      </c>
      <c r="V36" s="4"/>
      <c r="W36" s="3"/>
      <c r="X36" s="122"/>
      <c r="Y36" s="122"/>
    </row>
    <row r="37" spans="1:25">
      <c r="A37" s="14" t="s">
        <v>50</v>
      </c>
      <c r="B37" s="18">
        <v>10</v>
      </c>
      <c r="C37" s="3">
        <v>1</v>
      </c>
      <c r="D37" s="6"/>
      <c r="E37" s="3"/>
      <c r="F37" s="3"/>
      <c r="G37" s="3"/>
      <c r="H37" s="3"/>
      <c r="I37" s="3"/>
      <c r="J37" s="3">
        <v>8</v>
      </c>
      <c r="K37" s="3"/>
      <c r="L37" s="3"/>
      <c r="M37" s="3"/>
      <c r="N37" s="3"/>
      <c r="O37" s="3"/>
      <c r="P37" s="3"/>
      <c r="Q37" s="3"/>
      <c r="R37" s="122"/>
      <c r="S37" s="3"/>
      <c r="T37" s="3">
        <v>80</v>
      </c>
      <c r="U37" s="3">
        <v>20</v>
      </c>
      <c r="V37" s="4"/>
      <c r="W37" s="3"/>
      <c r="X37" s="122"/>
      <c r="Y37" s="122"/>
    </row>
    <row r="38" spans="1:25">
      <c r="A38" s="14" t="s">
        <v>51</v>
      </c>
      <c r="B38" s="18">
        <v>10</v>
      </c>
      <c r="C38" s="3">
        <v>1</v>
      </c>
      <c r="D38" s="19"/>
      <c r="E38" s="3">
        <v>1</v>
      </c>
      <c r="F38" s="3">
        <v>1</v>
      </c>
      <c r="G38" s="3">
        <v>1</v>
      </c>
      <c r="H38" s="3"/>
      <c r="I38" s="3"/>
      <c r="J38" s="3"/>
      <c r="K38" s="3">
        <v>4</v>
      </c>
      <c r="L38" s="3"/>
      <c r="M38" s="3"/>
      <c r="N38" s="3"/>
      <c r="O38" s="3"/>
      <c r="P38" s="3"/>
      <c r="Q38" s="3"/>
      <c r="R38" s="122"/>
      <c r="S38" s="3"/>
      <c r="T38" s="3"/>
      <c r="U38" s="3"/>
      <c r="V38" s="4"/>
      <c r="W38" s="3"/>
      <c r="X38" s="122"/>
      <c r="Y38" s="122"/>
    </row>
    <row r="39" spans="1:25">
      <c r="A39" s="14" t="s">
        <v>52</v>
      </c>
      <c r="B39" s="18">
        <v>16</v>
      </c>
      <c r="C39" s="3">
        <v>1</v>
      </c>
      <c r="D39" s="6"/>
      <c r="E39" s="3">
        <v>5</v>
      </c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122"/>
      <c r="S39" s="3"/>
      <c r="T39" s="3">
        <v>60</v>
      </c>
      <c r="U39" s="3">
        <v>40</v>
      </c>
      <c r="V39" s="4"/>
      <c r="W39" s="3"/>
      <c r="X39" s="122"/>
      <c r="Y39" s="122"/>
    </row>
    <row r="40" spans="1:25">
      <c r="A40" s="14" t="s">
        <v>53</v>
      </c>
      <c r="B40" s="18">
        <v>16</v>
      </c>
      <c r="C40" s="3">
        <v>1</v>
      </c>
      <c r="D40" s="19"/>
      <c r="E40" s="3">
        <v>3</v>
      </c>
      <c r="F40" s="3">
        <v>3</v>
      </c>
      <c r="G40" s="3">
        <v>3</v>
      </c>
      <c r="H40" s="3"/>
      <c r="I40" s="3"/>
      <c r="J40" s="3"/>
      <c r="K40" s="3">
        <v>1</v>
      </c>
      <c r="L40" s="3"/>
      <c r="M40" s="3"/>
      <c r="N40" s="3"/>
      <c r="O40" s="3"/>
      <c r="P40" s="3"/>
      <c r="Q40" s="3"/>
      <c r="R40" s="122"/>
      <c r="S40" s="3"/>
      <c r="T40" s="3">
        <v>30</v>
      </c>
      <c r="U40" s="3"/>
      <c r="V40" s="4"/>
      <c r="W40" s="3"/>
      <c r="X40" s="122"/>
      <c r="Y40" s="122"/>
    </row>
    <row r="41" spans="1:25">
      <c r="A41" s="14" t="s">
        <v>54</v>
      </c>
      <c r="B41" s="18">
        <v>15</v>
      </c>
      <c r="C41" s="3">
        <v>1</v>
      </c>
      <c r="D41" s="6"/>
      <c r="E41" s="3">
        <v>2</v>
      </c>
      <c r="F41" s="3">
        <v>2</v>
      </c>
      <c r="G41" s="3">
        <v>2</v>
      </c>
      <c r="H41" s="3"/>
      <c r="I41" s="3"/>
      <c r="J41" s="3"/>
      <c r="K41" s="3">
        <v>2</v>
      </c>
      <c r="L41" s="3"/>
      <c r="M41" s="3"/>
      <c r="N41" s="3"/>
      <c r="O41" s="3"/>
      <c r="P41" s="3"/>
      <c r="Q41" s="3"/>
      <c r="R41" s="122"/>
      <c r="S41" s="3"/>
      <c r="T41" s="3"/>
      <c r="U41" s="3">
        <v>20</v>
      </c>
      <c r="V41" s="4"/>
      <c r="W41" s="3"/>
      <c r="X41" s="122"/>
      <c r="Y41" s="122"/>
    </row>
    <row r="42" spans="1:25">
      <c r="A42" s="14" t="s">
        <v>55</v>
      </c>
      <c r="B42" s="18">
        <v>18</v>
      </c>
      <c r="C42" s="3">
        <v>1</v>
      </c>
      <c r="D42" s="6"/>
      <c r="E42" s="3"/>
      <c r="F42" s="3"/>
      <c r="G42" s="3"/>
      <c r="H42" s="3"/>
      <c r="I42" s="3"/>
      <c r="J42" s="3"/>
      <c r="K42" s="3"/>
      <c r="L42" s="3"/>
      <c r="M42" s="3"/>
      <c r="N42" s="3">
        <v>2</v>
      </c>
      <c r="O42" s="3"/>
      <c r="P42" s="3"/>
      <c r="Q42" s="3"/>
      <c r="R42" s="122"/>
      <c r="S42" s="3"/>
      <c r="T42" s="3"/>
      <c r="U42" s="3">
        <v>25</v>
      </c>
      <c r="V42" s="4"/>
      <c r="W42" s="3"/>
      <c r="X42" s="122"/>
      <c r="Y42" s="122"/>
    </row>
    <row r="43" spans="1:25">
      <c r="A43" s="14" t="s">
        <v>57</v>
      </c>
      <c r="B43" s="18">
        <v>19</v>
      </c>
      <c r="C43" s="3">
        <v>1</v>
      </c>
      <c r="D43" s="6"/>
      <c r="E43" s="3">
        <v>3</v>
      </c>
      <c r="F43" s="3">
        <v>3</v>
      </c>
      <c r="G43" s="3">
        <v>3</v>
      </c>
      <c r="H43" s="3"/>
      <c r="I43" s="3">
        <v>6</v>
      </c>
      <c r="J43" s="3"/>
      <c r="K43" s="3"/>
      <c r="L43" s="3"/>
      <c r="M43" s="3"/>
      <c r="N43" s="3"/>
      <c r="O43" s="3"/>
      <c r="P43" s="3"/>
      <c r="Q43" s="3"/>
      <c r="R43" s="122"/>
      <c r="S43" s="3"/>
      <c r="T43" s="3"/>
      <c r="U43" s="3"/>
      <c r="V43" s="4"/>
      <c r="W43" s="3"/>
      <c r="X43" s="122"/>
      <c r="Y43" s="122"/>
    </row>
    <row r="44" spans="1:25">
      <c r="A44" s="14" t="s">
        <v>58</v>
      </c>
      <c r="B44" s="18">
        <v>18</v>
      </c>
      <c r="C44" s="3">
        <v>1</v>
      </c>
      <c r="D44" s="6"/>
      <c r="E44" s="3">
        <v>3</v>
      </c>
      <c r="F44" s="3">
        <v>2</v>
      </c>
      <c r="G44" s="3">
        <v>2</v>
      </c>
      <c r="H44" s="3"/>
      <c r="I44" s="3"/>
      <c r="J44" s="3"/>
      <c r="K44" s="3"/>
      <c r="L44" s="3"/>
      <c r="M44" s="3">
        <v>3</v>
      </c>
      <c r="N44" s="3"/>
      <c r="O44" s="3"/>
      <c r="P44" s="3"/>
      <c r="Q44" s="3"/>
      <c r="R44" s="122"/>
      <c r="S44" s="3"/>
      <c r="T44" s="3"/>
      <c r="U44" s="3"/>
      <c r="V44" s="4"/>
      <c r="W44" s="3"/>
      <c r="X44" s="122"/>
      <c r="Y44" s="122"/>
    </row>
    <row r="45" spans="1:25">
      <c r="A45" s="14" t="s">
        <v>59</v>
      </c>
      <c r="B45" s="18">
        <v>18</v>
      </c>
      <c r="C45" s="3">
        <v>1</v>
      </c>
      <c r="D45" s="6"/>
      <c r="E45" s="3">
        <v>2</v>
      </c>
      <c r="F45" s="3">
        <v>3</v>
      </c>
      <c r="G45" s="3">
        <v>2</v>
      </c>
      <c r="H45" s="3"/>
      <c r="I45" s="3"/>
      <c r="J45" s="3"/>
      <c r="K45" s="3"/>
      <c r="L45" s="3"/>
      <c r="M45" s="3">
        <v>3</v>
      </c>
      <c r="N45" s="3"/>
      <c r="O45" s="3"/>
      <c r="P45" s="3"/>
      <c r="Q45" s="3"/>
      <c r="R45" s="122"/>
      <c r="S45" s="3"/>
      <c r="T45" s="3"/>
      <c r="U45" s="3"/>
      <c r="V45" s="4"/>
      <c r="W45" s="3"/>
      <c r="X45" s="122"/>
      <c r="Y45" s="122"/>
    </row>
    <row r="46" spans="1:25">
      <c r="A46" s="14" t="s">
        <v>60</v>
      </c>
      <c r="B46" s="18">
        <v>18</v>
      </c>
      <c r="C46" s="3">
        <v>1</v>
      </c>
      <c r="D46" s="6"/>
      <c r="E46" s="3">
        <v>2</v>
      </c>
      <c r="F46" s="3">
        <v>2</v>
      </c>
      <c r="G46" s="3">
        <v>3</v>
      </c>
      <c r="H46" s="3"/>
      <c r="I46" s="3"/>
      <c r="J46" s="3"/>
      <c r="K46" s="3"/>
      <c r="L46" s="3"/>
      <c r="M46" s="3">
        <v>3</v>
      </c>
      <c r="N46" s="3"/>
      <c r="O46" s="3"/>
      <c r="P46" s="3"/>
      <c r="Q46" s="3"/>
      <c r="R46" s="122"/>
      <c r="S46" s="3"/>
      <c r="T46" s="3"/>
      <c r="U46" s="3"/>
      <c r="V46" s="4"/>
      <c r="W46" s="3"/>
      <c r="X46" s="122"/>
      <c r="Y46" s="122"/>
    </row>
    <row r="47" spans="1:25">
      <c r="A47" s="14" t="s">
        <v>61</v>
      </c>
      <c r="B47" s="18">
        <v>17</v>
      </c>
      <c r="C47" s="3">
        <v>1</v>
      </c>
      <c r="D47" s="6"/>
      <c r="E47" s="3">
        <v>2</v>
      </c>
      <c r="F47" s="3">
        <v>2</v>
      </c>
      <c r="G47" s="3">
        <v>2</v>
      </c>
      <c r="H47" s="3"/>
      <c r="I47" s="3"/>
      <c r="J47" s="3">
        <v>10</v>
      </c>
      <c r="K47" s="3"/>
      <c r="L47" s="3"/>
      <c r="M47" s="3"/>
      <c r="N47" s="3"/>
      <c r="O47" s="3"/>
      <c r="P47" s="3"/>
      <c r="Q47" s="3"/>
      <c r="R47" s="122"/>
      <c r="S47" s="3"/>
      <c r="T47" s="3"/>
      <c r="U47" s="3">
        <v>10</v>
      </c>
      <c r="V47" s="4"/>
      <c r="W47" s="3"/>
      <c r="X47" s="122"/>
      <c r="Y47" s="122"/>
    </row>
    <row r="48" spans="1:25">
      <c r="A48" s="14" t="s">
        <v>62</v>
      </c>
      <c r="B48" s="18">
        <v>18</v>
      </c>
      <c r="C48" s="3">
        <v>1</v>
      </c>
      <c r="D48" s="6"/>
      <c r="E48" s="3"/>
      <c r="F48" s="3"/>
      <c r="G48" s="3"/>
      <c r="H48" s="3"/>
      <c r="I48" s="3">
        <v>5</v>
      </c>
      <c r="J48" s="3"/>
      <c r="K48" s="3"/>
      <c r="L48" s="3"/>
      <c r="M48" s="3"/>
      <c r="N48" s="3"/>
      <c r="O48" s="3"/>
      <c r="P48" s="3"/>
      <c r="Q48" s="3"/>
      <c r="R48" s="122"/>
      <c r="S48" s="3"/>
      <c r="T48" s="3">
        <v>100</v>
      </c>
      <c r="U48" s="3">
        <v>35</v>
      </c>
      <c r="V48" s="4"/>
      <c r="W48" s="3"/>
      <c r="X48" s="122"/>
      <c r="Y48" s="122"/>
    </row>
    <row r="49" spans="1:25">
      <c r="A49" s="14" t="s">
        <v>63</v>
      </c>
      <c r="B49" s="18">
        <v>20</v>
      </c>
      <c r="C49" s="3">
        <v>1</v>
      </c>
      <c r="D49" s="6"/>
      <c r="E49" s="3">
        <v>3</v>
      </c>
      <c r="F49" s="3">
        <v>3</v>
      </c>
      <c r="G49" s="3">
        <v>3</v>
      </c>
      <c r="H49" s="3"/>
      <c r="I49" s="3">
        <v>3</v>
      </c>
      <c r="J49" s="3"/>
      <c r="K49" s="3"/>
      <c r="L49" s="3"/>
      <c r="M49" s="3"/>
      <c r="N49" s="3"/>
      <c r="O49" s="3"/>
      <c r="P49" s="3"/>
      <c r="Q49" s="3"/>
      <c r="R49" s="122"/>
      <c r="S49" s="3"/>
      <c r="T49" s="3"/>
      <c r="U49" s="3"/>
      <c r="V49" s="4"/>
      <c r="W49" s="3"/>
      <c r="X49" s="122"/>
      <c r="Y49" s="122"/>
    </row>
    <row r="50" spans="1:25">
      <c r="A50" s="14" t="s">
        <v>64</v>
      </c>
      <c r="B50" s="18">
        <v>18</v>
      </c>
      <c r="C50" s="3">
        <v>1</v>
      </c>
      <c r="D50" s="6"/>
      <c r="E50" s="3"/>
      <c r="F50" s="3"/>
      <c r="G50" s="3">
        <v>3</v>
      </c>
      <c r="H50" s="3"/>
      <c r="I50" s="3">
        <v>6</v>
      </c>
      <c r="J50" s="3"/>
      <c r="K50" s="3"/>
      <c r="L50" s="3"/>
      <c r="M50" s="3">
        <v>2</v>
      </c>
      <c r="N50" s="3"/>
      <c r="O50" s="3"/>
      <c r="P50" s="3"/>
      <c r="Q50" s="3"/>
      <c r="R50" s="122"/>
      <c r="S50" s="3"/>
      <c r="T50" s="3"/>
      <c r="U50" s="3">
        <v>20</v>
      </c>
      <c r="V50" s="4"/>
      <c r="W50" s="3"/>
      <c r="X50" s="122"/>
      <c r="Y50" s="122"/>
    </row>
    <row r="51" spans="1:25">
      <c r="A51" s="14" t="s">
        <v>65</v>
      </c>
      <c r="B51" s="18">
        <v>19</v>
      </c>
      <c r="C51" s="3">
        <v>1</v>
      </c>
      <c r="D51" s="6"/>
      <c r="E51" s="3"/>
      <c r="F51" s="3"/>
      <c r="G51" s="3"/>
      <c r="H51" s="3"/>
      <c r="I51" s="3">
        <v>7</v>
      </c>
      <c r="J51" s="3"/>
      <c r="K51" s="3">
        <v>2</v>
      </c>
      <c r="L51" s="3"/>
      <c r="M51" s="3"/>
      <c r="N51" s="3"/>
      <c r="O51" s="3"/>
      <c r="P51" s="3"/>
      <c r="Q51" s="3">
        <v>5</v>
      </c>
      <c r="R51" s="122"/>
      <c r="S51" s="3"/>
      <c r="T51" s="3"/>
      <c r="U51" s="3"/>
      <c r="V51" s="4"/>
      <c r="W51" s="3"/>
      <c r="X51" s="122"/>
      <c r="Y51" s="122"/>
    </row>
    <row r="52" spans="1:25">
      <c r="A52" s="14" t="s">
        <v>66</v>
      </c>
      <c r="B52" s="18">
        <v>19</v>
      </c>
      <c r="C52" s="3">
        <v>1</v>
      </c>
      <c r="D52" s="6"/>
      <c r="E52" s="3"/>
      <c r="F52" s="3"/>
      <c r="G52" s="3"/>
      <c r="H52" s="3"/>
      <c r="I52" s="3"/>
      <c r="J52" s="3"/>
      <c r="K52" s="3"/>
      <c r="L52" s="3"/>
      <c r="M52" s="3">
        <v>6</v>
      </c>
      <c r="N52" s="3"/>
      <c r="O52" s="3"/>
      <c r="P52" s="3"/>
      <c r="Q52" s="3">
        <v>5</v>
      </c>
      <c r="R52" s="122"/>
      <c r="S52" s="3"/>
      <c r="T52" s="3"/>
      <c r="U52" s="3"/>
      <c r="V52" s="4"/>
      <c r="W52" s="3"/>
      <c r="X52" s="122"/>
      <c r="Y52" s="122"/>
    </row>
    <row r="53" spans="1:25">
      <c r="A53" s="14" t="s">
        <v>67</v>
      </c>
      <c r="B53" s="18">
        <v>25</v>
      </c>
      <c r="C53" s="3">
        <v>1</v>
      </c>
      <c r="D53" s="6"/>
      <c r="E53" s="3"/>
      <c r="F53" s="3"/>
      <c r="G53" s="3"/>
      <c r="H53" s="3"/>
      <c r="I53" s="3"/>
      <c r="J53" s="3"/>
      <c r="K53" s="3">
        <v>2</v>
      </c>
      <c r="L53" s="3"/>
      <c r="M53" s="3">
        <v>3</v>
      </c>
      <c r="N53" s="3"/>
      <c r="O53" s="3"/>
      <c r="P53" s="3"/>
      <c r="Q53" s="3">
        <v>4</v>
      </c>
      <c r="R53" s="122"/>
      <c r="S53" s="3"/>
      <c r="T53" s="3"/>
      <c r="U53" s="3">
        <v>10</v>
      </c>
      <c r="V53" s="4"/>
      <c r="W53" s="3"/>
      <c r="X53" s="122"/>
      <c r="Y53" s="122"/>
    </row>
    <row r="54" spans="1:25">
      <c r="A54" s="14" t="s">
        <v>68</v>
      </c>
      <c r="B54" s="18">
        <v>18</v>
      </c>
      <c r="C54" s="3">
        <v>1</v>
      </c>
      <c r="D54" s="6"/>
      <c r="E54" s="3"/>
      <c r="F54" s="3"/>
      <c r="G54" s="3"/>
      <c r="H54" s="3"/>
      <c r="I54" s="3"/>
      <c r="J54" s="3"/>
      <c r="K54" s="3"/>
      <c r="L54" s="3">
        <v>4</v>
      </c>
      <c r="M54" s="3"/>
      <c r="N54" s="3"/>
      <c r="O54" s="3"/>
      <c r="P54" s="3"/>
      <c r="Q54" s="3"/>
      <c r="R54" s="122"/>
      <c r="S54" s="3"/>
      <c r="T54" s="3">
        <v>50</v>
      </c>
      <c r="U54" s="3"/>
      <c r="V54" s="4"/>
      <c r="W54" s="3"/>
      <c r="X54" s="122"/>
      <c r="Y54" s="122"/>
    </row>
    <row r="55" spans="1:25">
      <c r="A55" s="14" t="s">
        <v>69</v>
      </c>
      <c r="B55" s="18">
        <v>19</v>
      </c>
      <c r="C55" s="3">
        <v>1</v>
      </c>
      <c r="D55" s="6"/>
      <c r="E55" s="3"/>
      <c r="F55" s="3"/>
      <c r="G55" s="3"/>
      <c r="H55" s="3">
        <v>100</v>
      </c>
      <c r="I55" s="3"/>
      <c r="J55" s="3"/>
      <c r="K55" s="3">
        <v>1</v>
      </c>
      <c r="L55" s="3"/>
      <c r="M55" s="3"/>
      <c r="N55" s="3"/>
      <c r="O55" s="3"/>
      <c r="P55" s="3"/>
      <c r="Q55" s="3"/>
      <c r="R55" s="122"/>
      <c r="S55" s="3"/>
      <c r="T55" s="3">
        <v>100</v>
      </c>
      <c r="U55" s="3"/>
      <c r="V55" s="4"/>
      <c r="W55" s="3"/>
      <c r="X55" s="122"/>
      <c r="Y55" s="122"/>
    </row>
    <row r="56" spans="1:25">
      <c r="A56" s="14" t="s">
        <v>70</v>
      </c>
      <c r="B56" s="18">
        <v>21</v>
      </c>
      <c r="C56" s="3">
        <v>1</v>
      </c>
      <c r="D56" s="6"/>
      <c r="E56" s="3">
        <v>1</v>
      </c>
      <c r="F56" s="3">
        <v>1</v>
      </c>
      <c r="G56" s="3">
        <v>1</v>
      </c>
      <c r="H56" s="3"/>
      <c r="I56" s="3"/>
      <c r="J56" s="3"/>
      <c r="K56" s="3"/>
      <c r="L56" s="3"/>
      <c r="M56" s="3"/>
      <c r="N56" s="3">
        <v>1</v>
      </c>
      <c r="O56" s="3"/>
      <c r="P56" s="3"/>
      <c r="Q56" s="3"/>
      <c r="R56" s="122"/>
      <c r="S56" s="3"/>
      <c r="T56" s="3"/>
      <c r="U56" s="3"/>
      <c r="V56" s="4">
        <v>1</v>
      </c>
      <c r="W56" s="3"/>
      <c r="X56" s="122"/>
      <c r="Y56" s="122"/>
    </row>
    <row r="57" spans="1:25">
      <c r="A57" s="15" t="s">
        <v>72</v>
      </c>
      <c r="B57" s="18">
        <v>20</v>
      </c>
      <c r="C57" s="3">
        <v>3</v>
      </c>
      <c r="D57" s="6"/>
      <c r="E57" s="3">
        <v>10</v>
      </c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122"/>
      <c r="S57" s="3"/>
      <c r="T57" s="3"/>
      <c r="U57" s="3"/>
      <c r="V57" s="4"/>
      <c r="W57" s="3"/>
      <c r="X57" s="122"/>
      <c r="Y57" s="122"/>
    </row>
    <row r="58" spans="1:25">
      <c r="A58" s="15" t="s">
        <v>75</v>
      </c>
      <c r="B58" s="18">
        <v>20</v>
      </c>
      <c r="C58" s="3">
        <v>3</v>
      </c>
      <c r="D58" s="6"/>
      <c r="E58" s="3"/>
      <c r="F58" s="3">
        <v>10</v>
      </c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122"/>
      <c r="S58" s="3"/>
      <c r="T58" s="3"/>
      <c r="U58" s="3"/>
      <c r="V58" s="4"/>
      <c r="W58" s="3"/>
      <c r="X58" s="122"/>
      <c r="Y58" s="122"/>
    </row>
    <row r="59" spans="1:25">
      <c r="A59" s="15" t="s">
        <v>76</v>
      </c>
      <c r="B59" s="18">
        <v>20</v>
      </c>
      <c r="C59" s="3">
        <v>3</v>
      </c>
      <c r="D59" s="6"/>
      <c r="E59" s="3"/>
      <c r="F59" s="3"/>
      <c r="G59" s="3">
        <v>10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122"/>
      <c r="S59" s="3"/>
      <c r="T59" s="3"/>
      <c r="U59" s="3"/>
      <c r="V59" s="4"/>
      <c r="W59" s="3"/>
      <c r="X59" s="122"/>
      <c r="Y59" s="122"/>
    </row>
    <row r="60" spans="1:25">
      <c r="A60" s="15" t="s">
        <v>77</v>
      </c>
      <c r="B60" s="18">
        <v>21</v>
      </c>
      <c r="C60" s="3">
        <v>3</v>
      </c>
      <c r="D60" s="6"/>
      <c r="E60" s="3"/>
      <c r="F60" s="3"/>
      <c r="G60" s="3"/>
      <c r="H60" s="3"/>
      <c r="I60" s="3">
        <v>18</v>
      </c>
      <c r="J60" s="3"/>
      <c r="K60" s="3"/>
      <c r="L60" s="3"/>
      <c r="M60" s="3"/>
      <c r="N60" s="3"/>
      <c r="O60" s="3"/>
      <c r="P60" s="3"/>
      <c r="Q60" s="3"/>
      <c r="R60" s="122"/>
      <c r="S60" s="3"/>
      <c r="T60" s="3"/>
      <c r="U60" s="3"/>
      <c r="V60" s="4"/>
      <c r="W60" s="3"/>
      <c r="X60" s="122"/>
      <c r="Y60" s="122"/>
    </row>
    <row r="61" spans="1:25">
      <c r="A61" s="15" t="s">
        <v>78</v>
      </c>
      <c r="B61" s="18">
        <v>22</v>
      </c>
      <c r="C61" s="3">
        <v>3</v>
      </c>
      <c r="D61" s="6"/>
      <c r="E61" s="3"/>
      <c r="F61" s="3"/>
      <c r="G61" s="3"/>
      <c r="H61" s="3"/>
      <c r="I61" s="3">
        <v>21</v>
      </c>
      <c r="J61" s="3"/>
      <c r="K61" s="3"/>
      <c r="L61" s="3"/>
      <c r="M61" s="3"/>
      <c r="N61" s="3"/>
      <c r="O61" s="3"/>
      <c r="P61" s="3"/>
      <c r="Q61" s="3"/>
      <c r="R61" s="122"/>
      <c r="S61" s="3"/>
      <c r="T61" s="3"/>
      <c r="U61" s="3"/>
      <c r="V61" s="4"/>
      <c r="W61" s="3"/>
      <c r="X61" s="122"/>
      <c r="Y61" s="122"/>
    </row>
    <row r="62" spans="1:25">
      <c r="A62" s="15" t="s">
        <v>79</v>
      </c>
      <c r="B62" s="18">
        <v>22</v>
      </c>
      <c r="C62" s="3">
        <v>3</v>
      </c>
      <c r="D62" s="6"/>
      <c r="E62" s="3"/>
      <c r="F62" s="3"/>
      <c r="G62" s="3"/>
      <c r="H62" s="3"/>
      <c r="I62" s="3"/>
      <c r="J62" s="3"/>
      <c r="K62" s="3">
        <v>5</v>
      </c>
      <c r="L62" s="3"/>
      <c r="M62" s="3"/>
      <c r="N62" s="3"/>
      <c r="O62" s="3"/>
      <c r="P62" s="3"/>
      <c r="Q62" s="3"/>
      <c r="R62" s="122"/>
      <c r="S62" s="3"/>
      <c r="T62" s="3"/>
      <c r="U62" s="3"/>
      <c r="V62" s="4"/>
      <c r="W62" s="3"/>
      <c r="X62" s="122"/>
      <c r="Y62" s="122"/>
    </row>
    <row r="63" spans="1:25">
      <c r="A63" s="15" t="s">
        <v>80</v>
      </c>
      <c r="B63" s="18">
        <v>23</v>
      </c>
      <c r="C63" s="3">
        <v>3</v>
      </c>
      <c r="D63" s="6"/>
      <c r="E63" s="3"/>
      <c r="F63" s="3"/>
      <c r="G63" s="3"/>
      <c r="H63" s="3"/>
      <c r="I63" s="3">
        <v>16</v>
      </c>
      <c r="J63" s="3"/>
      <c r="K63" s="3"/>
      <c r="L63" s="3"/>
      <c r="M63" s="3"/>
      <c r="N63" s="3"/>
      <c r="O63" s="3"/>
      <c r="P63" s="3"/>
      <c r="Q63" s="3"/>
      <c r="R63" s="122"/>
      <c r="S63" s="3"/>
      <c r="T63" s="3"/>
      <c r="U63" s="3"/>
      <c r="V63" s="4"/>
      <c r="W63" s="3"/>
      <c r="X63" s="122"/>
      <c r="Y63" s="122"/>
    </row>
    <row r="64" spans="1:25">
      <c r="A64" s="15" t="s">
        <v>81</v>
      </c>
      <c r="B64" s="18">
        <v>24</v>
      </c>
      <c r="C64" s="3">
        <v>3</v>
      </c>
      <c r="D64" s="6"/>
      <c r="E64" s="3"/>
      <c r="F64" s="3"/>
      <c r="G64" s="3"/>
      <c r="H64" s="3"/>
      <c r="I64" s="3">
        <v>16</v>
      </c>
      <c r="J64" s="3"/>
      <c r="K64" s="3"/>
      <c r="L64" s="3"/>
      <c r="M64" s="3"/>
      <c r="N64" s="3"/>
      <c r="O64" s="3"/>
      <c r="P64" s="3"/>
      <c r="Q64" s="3"/>
      <c r="R64" s="122"/>
      <c r="S64" s="3"/>
      <c r="T64" s="3"/>
      <c r="U64" s="3"/>
      <c r="V64" s="4"/>
      <c r="W64" s="3"/>
      <c r="X64" s="122"/>
      <c r="Y64" s="122"/>
    </row>
    <row r="65" spans="1:25">
      <c r="A65" s="15" t="s">
        <v>82</v>
      </c>
      <c r="B65" s="18">
        <v>25</v>
      </c>
      <c r="C65" s="3">
        <v>3</v>
      </c>
      <c r="D65" s="34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122"/>
      <c r="S65" s="3"/>
      <c r="T65" s="3"/>
      <c r="U65" s="3"/>
      <c r="V65" s="4"/>
      <c r="W65" s="3"/>
      <c r="X65" s="122"/>
      <c r="Y65" s="122"/>
    </row>
    <row r="66" spans="1:25">
      <c r="A66" s="15" t="s">
        <v>83</v>
      </c>
      <c r="B66" s="18">
        <v>24</v>
      </c>
      <c r="C66" s="3">
        <v>3</v>
      </c>
      <c r="D66" s="6"/>
      <c r="E66" s="3">
        <v>2</v>
      </c>
      <c r="F66" s="3">
        <v>2</v>
      </c>
      <c r="G66" s="3">
        <v>2</v>
      </c>
      <c r="H66" s="3"/>
      <c r="I66" s="3"/>
      <c r="J66" s="3"/>
      <c r="K66" s="3"/>
      <c r="L66" s="3"/>
      <c r="M66" s="3"/>
      <c r="N66" s="3"/>
      <c r="O66" s="3">
        <v>4</v>
      </c>
      <c r="P66" s="3"/>
      <c r="Q66" s="3"/>
      <c r="R66" s="122"/>
      <c r="S66" s="3"/>
      <c r="T66" s="3"/>
      <c r="U66" s="3"/>
      <c r="V66" s="4"/>
      <c r="W66" s="3"/>
      <c r="X66" s="122"/>
      <c r="Y66" s="122"/>
    </row>
    <row r="67" spans="1:25">
      <c r="A67" s="15" t="s">
        <v>85</v>
      </c>
      <c r="B67" s="18">
        <v>26</v>
      </c>
      <c r="C67" s="3">
        <v>3</v>
      </c>
      <c r="D67" s="6"/>
      <c r="E67" s="3">
        <v>12</v>
      </c>
      <c r="F67" s="3"/>
      <c r="G67" s="3"/>
      <c r="H67" s="3"/>
      <c r="I67" s="3">
        <v>8</v>
      </c>
      <c r="J67" s="3"/>
      <c r="K67" s="3"/>
      <c r="L67" s="3"/>
      <c r="M67" s="3"/>
      <c r="N67" s="3"/>
      <c r="O67" s="3"/>
      <c r="P67" s="3"/>
      <c r="Q67" s="3"/>
      <c r="R67" s="122"/>
      <c r="S67" s="3"/>
      <c r="T67" s="3"/>
      <c r="U67" s="3"/>
      <c r="V67" s="4"/>
      <c r="W67" s="3"/>
      <c r="X67" s="122"/>
      <c r="Y67" s="122"/>
    </row>
    <row r="68" spans="1:25">
      <c r="A68" s="15" t="s">
        <v>86</v>
      </c>
      <c r="B68" s="18">
        <v>26</v>
      </c>
      <c r="C68" s="3">
        <v>3</v>
      </c>
      <c r="D68" s="6"/>
      <c r="E68" s="3"/>
      <c r="F68" s="3">
        <v>12</v>
      </c>
      <c r="G68" s="3"/>
      <c r="H68" s="3"/>
      <c r="I68" s="3"/>
      <c r="J68" s="3"/>
      <c r="K68" s="3"/>
      <c r="L68" s="3"/>
      <c r="M68" s="3">
        <v>4</v>
      </c>
      <c r="N68" s="3"/>
      <c r="O68" s="3"/>
      <c r="P68" s="3"/>
      <c r="Q68" s="3"/>
      <c r="R68" s="122"/>
      <c r="S68" s="3"/>
      <c r="T68" s="3"/>
      <c r="U68" s="3"/>
      <c r="V68" s="4"/>
      <c r="W68" s="3"/>
      <c r="X68" s="122"/>
      <c r="Y68" s="122"/>
    </row>
    <row r="69" spans="1:25">
      <c r="A69" s="16" t="s">
        <v>87</v>
      </c>
      <c r="B69" s="18">
        <v>37</v>
      </c>
      <c r="C69" s="3">
        <v>3</v>
      </c>
      <c r="D69" s="6"/>
      <c r="E69" s="3"/>
      <c r="F69" s="3"/>
      <c r="G69" s="3"/>
      <c r="H69" s="3"/>
      <c r="I69" s="3">
        <v>8</v>
      </c>
      <c r="J69" s="3"/>
      <c r="K69" s="3"/>
      <c r="L69" s="3"/>
      <c r="M69" s="3">
        <v>8</v>
      </c>
      <c r="N69" s="3"/>
      <c r="O69" s="3"/>
      <c r="P69" s="3"/>
      <c r="Q69" s="3"/>
      <c r="R69" s="122"/>
      <c r="S69" s="3"/>
      <c r="T69" s="3"/>
      <c r="U69" s="3"/>
      <c r="V69" s="4"/>
      <c r="W69" s="3"/>
      <c r="X69" s="122"/>
      <c r="Y69" s="122"/>
    </row>
    <row r="70" spans="1:25">
      <c r="A70" s="16" t="s">
        <v>89</v>
      </c>
      <c r="B70" s="18">
        <v>36</v>
      </c>
      <c r="C70" s="3">
        <v>3</v>
      </c>
      <c r="D70" s="6"/>
      <c r="E70" s="3"/>
      <c r="F70" s="3"/>
      <c r="G70" s="3">
        <v>3</v>
      </c>
      <c r="H70" s="3"/>
      <c r="I70" s="3">
        <v>6</v>
      </c>
      <c r="J70" s="3"/>
      <c r="K70" s="3">
        <v>2</v>
      </c>
      <c r="L70" s="3">
        <v>2</v>
      </c>
      <c r="M70" s="3"/>
      <c r="N70" s="3"/>
      <c r="O70" s="3"/>
      <c r="P70" s="3"/>
      <c r="Q70" s="3"/>
      <c r="R70" s="122"/>
      <c r="S70" s="3"/>
      <c r="T70" s="3"/>
      <c r="U70" s="3"/>
      <c r="V70" s="4"/>
      <c r="W70" s="3"/>
      <c r="X70" s="122"/>
      <c r="Y70" s="122"/>
    </row>
    <row r="71" spans="1:25">
      <c r="A71" s="16" t="s">
        <v>90</v>
      </c>
      <c r="B71" s="18">
        <v>30</v>
      </c>
      <c r="C71" s="3">
        <v>3</v>
      </c>
      <c r="D71" s="6"/>
      <c r="E71" s="3"/>
      <c r="F71" s="3"/>
      <c r="G71" s="3">
        <v>8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122"/>
      <c r="S71" s="3">
        <v>2</v>
      </c>
      <c r="T71" s="3">
        <v>100</v>
      </c>
      <c r="U71" s="3"/>
      <c r="V71" s="4"/>
      <c r="W71" s="3"/>
      <c r="X71" s="122"/>
      <c r="Y71" s="122"/>
    </row>
    <row r="72" spans="1:25">
      <c r="A72" s="16" t="s">
        <v>92</v>
      </c>
      <c r="B72" s="18">
        <v>31</v>
      </c>
      <c r="C72" s="3">
        <v>3</v>
      </c>
      <c r="D72" s="6"/>
      <c r="E72" s="3">
        <v>5</v>
      </c>
      <c r="F72" s="3">
        <v>5</v>
      </c>
      <c r="G72" s="3">
        <v>5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122"/>
      <c r="S72" s="3"/>
      <c r="T72" s="3"/>
      <c r="U72" s="3"/>
      <c r="V72" s="4"/>
      <c r="W72" s="3"/>
      <c r="X72" s="122"/>
      <c r="Y72" s="122"/>
    </row>
    <row r="73" spans="1:25">
      <c r="A73" s="16" t="s">
        <v>93</v>
      </c>
      <c r="B73" s="18">
        <v>32</v>
      </c>
      <c r="C73" s="3">
        <v>3</v>
      </c>
      <c r="D73" s="6"/>
      <c r="E73" s="3">
        <v>8</v>
      </c>
      <c r="F73" s="3"/>
      <c r="G73" s="3"/>
      <c r="H73" s="3"/>
      <c r="I73" s="3">
        <v>3</v>
      </c>
      <c r="J73" s="3"/>
      <c r="K73" s="3">
        <v>1</v>
      </c>
      <c r="L73" s="3"/>
      <c r="M73" s="3">
        <v>3</v>
      </c>
      <c r="N73" s="3"/>
      <c r="O73" s="3"/>
      <c r="P73" s="3"/>
      <c r="Q73" s="3"/>
      <c r="R73" s="122"/>
      <c r="S73" s="3"/>
      <c r="T73" s="3"/>
      <c r="U73" s="3"/>
      <c r="V73" s="4"/>
      <c r="W73" s="3"/>
      <c r="X73" s="122"/>
      <c r="Y73" s="122"/>
    </row>
    <row r="74" spans="1:25">
      <c r="A74" s="16" t="s">
        <v>94</v>
      </c>
      <c r="B74" s="18">
        <v>43</v>
      </c>
      <c r="C74" s="3">
        <v>3</v>
      </c>
      <c r="D74" s="6"/>
      <c r="E74" s="3"/>
      <c r="F74" s="3"/>
      <c r="G74" s="3"/>
      <c r="H74" s="3"/>
      <c r="I74" s="3">
        <v>12</v>
      </c>
      <c r="J74" s="3"/>
      <c r="K74" s="3"/>
      <c r="L74" s="3"/>
      <c r="M74" s="3">
        <v>7</v>
      </c>
      <c r="N74" s="3"/>
      <c r="O74" s="3"/>
      <c r="P74" s="3"/>
      <c r="Q74" s="3"/>
      <c r="R74" s="122"/>
      <c r="S74" s="3"/>
      <c r="T74" s="3"/>
      <c r="U74" s="3"/>
      <c r="V74" s="4"/>
      <c r="W74" s="3"/>
      <c r="X74" s="122"/>
      <c r="Y74" s="122"/>
    </row>
    <row r="75" spans="1:25">
      <c r="A75" s="16" t="s">
        <v>97</v>
      </c>
      <c r="B75" s="18">
        <v>34</v>
      </c>
      <c r="C75" s="3">
        <v>3</v>
      </c>
      <c r="D75" s="6"/>
      <c r="E75" s="3"/>
      <c r="F75" s="3"/>
      <c r="G75" s="3">
        <v>5</v>
      </c>
      <c r="H75" s="3"/>
      <c r="I75" s="3"/>
      <c r="J75" s="3"/>
      <c r="K75" s="3"/>
      <c r="L75" s="3"/>
      <c r="M75" s="3"/>
      <c r="N75" s="3"/>
      <c r="O75" s="3"/>
      <c r="P75" s="3">
        <v>2</v>
      </c>
      <c r="Q75" s="3"/>
      <c r="R75" s="122"/>
      <c r="S75" s="3"/>
      <c r="T75" s="3"/>
      <c r="U75" s="3">
        <v>40</v>
      </c>
      <c r="V75" s="4"/>
      <c r="W75" s="3"/>
      <c r="X75" s="122"/>
      <c r="Y75" s="122"/>
    </row>
    <row r="76" spans="1:25">
      <c r="A76" s="16" t="s">
        <v>99</v>
      </c>
      <c r="B76" s="18">
        <v>34</v>
      </c>
      <c r="C76" s="3">
        <v>3</v>
      </c>
      <c r="D76" s="6"/>
      <c r="E76" s="3"/>
      <c r="F76" s="3"/>
      <c r="G76" s="3"/>
      <c r="H76" s="3"/>
      <c r="I76" s="3">
        <v>12</v>
      </c>
      <c r="J76" s="3"/>
      <c r="K76" s="3"/>
      <c r="L76" s="3"/>
      <c r="M76" s="3">
        <v>6</v>
      </c>
      <c r="N76" s="3"/>
      <c r="O76" s="3"/>
      <c r="P76" s="3"/>
      <c r="Q76" s="3"/>
      <c r="R76" s="122"/>
      <c r="S76" s="3"/>
      <c r="T76" s="3"/>
      <c r="U76" s="3"/>
      <c r="V76" s="4"/>
      <c r="W76" s="3"/>
      <c r="X76" s="122"/>
      <c r="Y76" s="122"/>
    </row>
    <row r="77" spans="1:25">
      <c r="A77" s="16" t="s">
        <v>100</v>
      </c>
      <c r="B77" s="18">
        <v>44</v>
      </c>
      <c r="C77" s="3">
        <v>3</v>
      </c>
      <c r="D77" s="6"/>
      <c r="E77" s="3">
        <v>1</v>
      </c>
      <c r="F77" s="3"/>
      <c r="G77" s="3"/>
      <c r="H77" s="3"/>
      <c r="I77" s="3">
        <v>15</v>
      </c>
      <c r="J77" s="3"/>
      <c r="K77" s="3"/>
      <c r="L77" s="3"/>
      <c r="M77" s="3">
        <v>4</v>
      </c>
      <c r="N77" s="3"/>
      <c r="O77" s="3"/>
      <c r="P77" s="3"/>
      <c r="Q77" s="3"/>
      <c r="R77" s="122"/>
      <c r="S77" s="3"/>
      <c r="T77" s="3"/>
      <c r="U77" s="3"/>
      <c r="V77" s="4"/>
      <c r="W77" s="3"/>
      <c r="X77" s="122"/>
      <c r="Y77" s="122"/>
    </row>
    <row r="78" spans="1:25">
      <c r="A78" s="16" t="s">
        <v>101</v>
      </c>
      <c r="B78" s="18">
        <v>41</v>
      </c>
      <c r="C78" s="3">
        <v>3</v>
      </c>
      <c r="D78" s="6"/>
      <c r="E78" s="3"/>
      <c r="F78" s="3"/>
      <c r="G78" s="3">
        <v>4</v>
      </c>
      <c r="H78" s="3"/>
      <c r="I78" s="3"/>
      <c r="J78" s="3"/>
      <c r="K78" s="3"/>
      <c r="L78" s="3"/>
      <c r="M78" s="3"/>
      <c r="N78" s="3"/>
      <c r="O78" s="3"/>
      <c r="P78" s="3">
        <v>3</v>
      </c>
      <c r="Q78" s="3"/>
      <c r="R78" s="122"/>
      <c r="S78" s="3"/>
      <c r="T78" s="3"/>
      <c r="U78" s="3"/>
      <c r="V78" s="4"/>
      <c r="W78" s="3"/>
      <c r="X78" s="122"/>
      <c r="Y78" s="122"/>
    </row>
    <row r="79" spans="1:25">
      <c r="A79" s="16" t="s">
        <v>102</v>
      </c>
      <c r="B79" s="18">
        <v>42</v>
      </c>
      <c r="C79" s="3">
        <v>3</v>
      </c>
      <c r="D79" s="19"/>
      <c r="E79" s="3"/>
      <c r="F79" s="3"/>
      <c r="G79" s="3">
        <v>6</v>
      </c>
      <c r="H79" s="3">
        <v>60</v>
      </c>
      <c r="I79" s="3"/>
      <c r="J79" s="3"/>
      <c r="K79" s="3"/>
      <c r="L79" s="3"/>
      <c r="M79" s="3"/>
      <c r="N79" s="3"/>
      <c r="O79" s="3"/>
      <c r="P79" s="3">
        <v>2</v>
      </c>
      <c r="Q79" s="3"/>
      <c r="R79" s="122"/>
      <c r="S79" s="3"/>
      <c r="T79" s="3"/>
      <c r="U79" s="3"/>
      <c r="V79" s="4"/>
      <c r="W79" s="3"/>
      <c r="X79" s="122"/>
      <c r="Y79" s="122"/>
    </row>
    <row r="80" spans="1:25">
      <c r="A80" s="16" t="s">
        <v>104</v>
      </c>
      <c r="B80" s="18">
        <v>35</v>
      </c>
      <c r="C80" s="3">
        <v>3</v>
      </c>
      <c r="D80" s="6"/>
      <c r="E80" s="3"/>
      <c r="F80" s="3"/>
      <c r="G80" s="3"/>
      <c r="H80" s="3">
        <v>120</v>
      </c>
      <c r="I80" s="3"/>
      <c r="J80" s="3">
        <v>12</v>
      </c>
      <c r="K80" s="3"/>
      <c r="L80" s="3"/>
      <c r="M80" s="3"/>
      <c r="N80" s="3"/>
      <c r="O80" s="3"/>
      <c r="P80" s="3"/>
      <c r="Q80" s="3"/>
      <c r="R80" s="122"/>
      <c r="S80" s="3"/>
      <c r="T80" s="3">
        <v>30</v>
      </c>
      <c r="U80" s="3">
        <v>10</v>
      </c>
      <c r="V80" s="4"/>
      <c r="W80" s="3"/>
      <c r="X80" s="122"/>
      <c r="Y80" s="122"/>
    </row>
    <row r="81" spans="1:25">
      <c r="A81" s="16" t="s">
        <v>106</v>
      </c>
      <c r="B81" s="18">
        <v>42</v>
      </c>
      <c r="C81" s="3">
        <v>3</v>
      </c>
      <c r="D81" s="6"/>
      <c r="E81" s="3">
        <v>4</v>
      </c>
      <c r="F81" s="3"/>
      <c r="G81" s="3"/>
      <c r="H81" s="3"/>
      <c r="I81" s="3">
        <v>8</v>
      </c>
      <c r="J81" s="3"/>
      <c r="K81" s="3"/>
      <c r="L81" s="3">
        <v>3</v>
      </c>
      <c r="M81" s="3"/>
      <c r="N81" s="3"/>
      <c r="O81" s="3"/>
      <c r="P81" s="3"/>
      <c r="Q81" s="3"/>
      <c r="R81" s="122"/>
      <c r="S81" s="3"/>
      <c r="T81" s="3"/>
      <c r="U81" s="3"/>
      <c r="V81" s="4"/>
      <c r="W81" s="3"/>
      <c r="X81" s="122"/>
      <c r="Y81" s="122"/>
    </row>
    <row r="82" spans="1:25">
      <c r="A82" s="16" t="s">
        <v>108</v>
      </c>
      <c r="B82" s="18">
        <v>35</v>
      </c>
      <c r="C82" s="3">
        <v>3</v>
      </c>
      <c r="D82" s="6"/>
      <c r="E82" s="3">
        <v>5</v>
      </c>
      <c r="F82" s="3">
        <v>5</v>
      </c>
      <c r="G82" s="3"/>
      <c r="H82" s="3"/>
      <c r="I82" s="3">
        <v>4</v>
      </c>
      <c r="J82" s="3"/>
      <c r="K82" s="3"/>
      <c r="L82" s="3"/>
      <c r="M82" s="3">
        <v>4</v>
      </c>
      <c r="N82" s="3"/>
      <c r="O82" s="3"/>
      <c r="P82" s="3"/>
      <c r="Q82" s="3"/>
      <c r="R82" s="122"/>
      <c r="S82" s="3"/>
      <c r="T82" s="3"/>
      <c r="U82" s="3"/>
      <c r="V82" s="4"/>
      <c r="W82" s="3"/>
      <c r="X82" s="122"/>
      <c r="Y82" s="122"/>
    </row>
    <row r="83" spans="1:25">
      <c r="A83" s="16" t="s">
        <v>109</v>
      </c>
      <c r="B83" s="18">
        <v>35</v>
      </c>
      <c r="C83" s="3">
        <v>3</v>
      </c>
      <c r="D83" s="6"/>
      <c r="E83" s="3">
        <v>3</v>
      </c>
      <c r="F83" s="3">
        <v>3</v>
      </c>
      <c r="G83" s="3">
        <v>3</v>
      </c>
      <c r="H83" s="3">
        <v>60</v>
      </c>
      <c r="I83" s="3"/>
      <c r="J83" s="3"/>
      <c r="K83" s="3"/>
      <c r="L83" s="3"/>
      <c r="M83" s="3"/>
      <c r="N83" s="3"/>
      <c r="O83" s="3">
        <v>3</v>
      </c>
      <c r="P83" s="3"/>
      <c r="Q83" s="3"/>
      <c r="R83" s="122"/>
      <c r="S83" s="3"/>
      <c r="T83" s="3"/>
      <c r="U83" s="3"/>
      <c r="V83" s="4"/>
      <c r="W83" s="3"/>
      <c r="X83" s="122"/>
      <c r="Y83" s="122"/>
    </row>
    <row r="84" spans="1:25">
      <c r="A84" s="16" t="s">
        <v>111</v>
      </c>
      <c r="B84" s="18">
        <v>43</v>
      </c>
      <c r="C84" s="3">
        <v>3</v>
      </c>
      <c r="D84" s="6"/>
      <c r="E84" s="3"/>
      <c r="F84" s="3"/>
      <c r="G84" s="3"/>
      <c r="H84" s="3"/>
      <c r="I84" s="3">
        <v>20</v>
      </c>
      <c r="J84" s="3"/>
      <c r="K84" s="3"/>
      <c r="L84" s="3"/>
      <c r="M84" s="3"/>
      <c r="N84" s="3"/>
      <c r="O84" s="3"/>
      <c r="P84" s="3"/>
      <c r="Q84" s="3"/>
      <c r="R84" s="122"/>
      <c r="S84" s="3"/>
      <c r="T84" s="3">
        <v>40</v>
      </c>
      <c r="U84" s="3">
        <v>10</v>
      </c>
      <c r="V84" s="4"/>
      <c r="W84" s="3"/>
      <c r="X84" s="122"/>
      <c r="Y84" s="122"/>
    </row>
    <row r="85" spans="1:25">
      <c r="A85" s="16" t="s">
        <v>112</v>
      </c>
      <c r="B85" s="18">
        <v>44</v>
      </c>
      <c r="C85" s="3">
        <v>3</v>
      </c>
      <c r="D85" s="6"/>
      <c r="E85" s="3"/>
      <c r="F85" s="3"/>
      <c r="G85" s="3"/>
      <c r="H85" s="3"/>
      <c r="I85" s="3">
        <v>12</v>
      </c>
      <c r="J85" s="3"/>
      <c r="K85" s="3"/>
      <c r="L85" s="3"/>
      <c r="M85" s="3"/>
      <c r="N85" s="3">
        <v>2</v>
      </c>
      <c r="O85" s="3"/>
      <c r="P85" s="3"/>
      <c r="Q85" s="3"/>
      <c r="R85" s="122"/>
      <c r="S85" s="3"/>
      <c r="T85" s="3"/>
      <c r="U85" s="3"/>
      <c r="V85" s="4"/>
      <c r="W85" s="3"/>
      <c r="X85" s="122"/>
      <c r="Y85" s="122"/>
    </row>
    <row r="86" spans="1:25">
      <c r="A86" s="16" t="s">
        <v>113</v>
      </c>
      <c r="B86" s="18">
        <v>41</v>
      </c>
      <c r="C86" s="3">
        <v>3</v>
      </c>
      <c r="D86" s="6"/>
      <c r="E86" s="3">
        <v>1</v>
      </c>
      <c r="F86" s="3">
        <v>1</v>
      </c>
      <c r="G86" s="3">
        <v>1</v>
      </c>
      <c r="H86" s="3"/>
      <c r="I86" s="3"/>
      <c r="J86" s="3"/>
      <c r="K86" s="3"/>
      <c r="L86" s="3"/>
      <c r="M86" s="3"/>
      <c r="N86" s="3">
        <v>2</v>
      </c>
      <c r="O86" s="3"/>
      <c r="P86" s="3"/>
      <c r="Q86" s="3"/>
      <c r="R86" s="122"/>
      <c r="S86" s="3"/>
      <c r="T86" s="3"/>
      <c r="U86" s="3"/>
      <c r="V86" s="4">
        <v>2</v>
      </c>
      <c r="W86" s="3"/>
      <c r="X86" s="122"/>
      <c r="Y86" s="122"/>
    </row>
    <row r="87" spans="1:25">
      <c r="A87" s="16" t="s">
        <v>95</v>
      </c>
      <c r="B87" s="18">
        <v>43</v>
      </c>
      <c r="C87" s="3">
        <v>3</v>
      </c>
      <c r="D87" s="6"/>
      <c r="E87" s="3">
        <v>2</v>
      </c>
      <c r="F87" s="3"/>
      <c r="G87" s="3">
        <v>4</v>
      </c>
      <c r="H87" s="3">
        <v>50</v>
      </c>
      <c r="I87" s="3">
        <v>6</v>
      </c>
      <c r="J87" s="3">
        <v>6</v>
      </c>
      <c r="K87" s="3"/>
      <c r="L87" s="3"/>
      <c r="M87" s="3"/>
      <c r="N87" s="3"/>
      <c r="O87" s="3"/>
      <c r="P87" s="3"/>
      <c r="Q87" s="3"/>
      <c r="R87" s="122"/>
      <c r="S87" s="3"/>
      <c r="T87" s="3"/>
      <c r="U87" s="3"/>
      <c r="V87" s="4"/>
      <c r="W87" s="3"/>
      <c r="X87" s="122"/>
      <c r="Y87" s="122"/>
    </row>
    <row r="88" spans="1:25">
      <c r="A88" s="16" t="s">
        <v>96</v>
      </c>
      <c r="B88" s="18">
        <v>33</v>
      </c>
      <c r="C88" s="3">
        <v>3</v>
      </c>
      <c r="D88" s="6"/>
      <c r="E88" s="3"/>
      <c r="F88" s="3"/>
      <c r="G88" s="3">
        <v>5</v>
      </c>
      <c r="H88" s="3"/>
      <c r="I88" s="3"/>
      <c r="J88" s="3">
        <v>15</v>
      </c>
      <c r="K88" s="3"/>
      <c r="L88" s="3"/>
      <c r="M88" s="3"/>
      <c r="N88" s="3"/>
      <c r="O88" s="3">
        <v>1</v>
      </c>
      <c r="P88" s="3"/>
      <c r="Q88" s="3"/>
      <c r="R88" s="122"/>
      <c r="S88" s="3"/>
      <c r="T88" s="3"/>
      <c r="U88" s="3"/>
      <c r="V88" s="4"/>
      <c r="W88" s="3"/>
      <c r="X88" s="122"/>
      <c r="Y88" s="122"/>
    </row>
    <row r="89" spans="1:25">
      <c r="A89" s="16" t="s">
        <v>105</v>
      </c>
      <c r="B89" s="18">
        <v>35</v>
      </c>
      <c r="C89" s="3">
        <v>3</v>
      </c>
      <c r="D89" s="6"/>
      <c r="E89" s="3"/>
      <c r="F89" s="3">
        <v>10</v>
      </c>
      <c r="G89" s="3">
        <v>2</v>
      </c>
      <c r="H89" s="3"/>
      <c r="I89" s="3">
        <v>8</v>
      </c>
      <c r="J89" s="3"/>
      <c r="K89" s="3"/>
      <c r="L89" s="3"/>
      <c r="M89" s="3"/>
      <c r="N89" s="3"/>
      <c r="O89" s="3"/>
      <c r="P89" s="3"/>
      <c r="Q89" s="3"/>
      <c r="R89" s="122"/>
      <c r="S89" s="3"/>
      <c r="T89" s="3"/>
      <c r="U89" s="3"/>
      <c r="V89" s="4"/>
      <c r="W89" s="3"/>
      <c r="X89" s="122"/>
      <c r="Y89" s="122"/>
    </row>
    <row r="90" spans="1:25">
      <c r="A90" s="16" t="s">
        <v>114</v>
      </c>
      <c r="B90" s="18">
        <v>45</v>
      </c>
      <c r="C90" s="3">
        <v>3</v>
      </c>
      <c r="D90" s="6"/>
      <c r="E90" s="3"/>
      <c r="F90" s="3"/>
      <c r="G90" s="3"/>
      <c r="H90" s="3">
        <v>50</v>
      </c>
      <c r="I90" s="3"/>
      <c r="J90" s="3">
        <v>6</v>
      </c>
      <c r="K90" s="3"/>
      <c r="L90" s="3"/>
      <c r="M90" s="3"/>
      <c r="N90" s="3"/>
      <c r="O90" s="3"/>
      <c r="P90" s="3"/>
      <c r="Q90" s="3"/>
      <c r="R90" s="122"/>
      <c r="S90" s="3"/>
      <c r="T90" s="3">
        <v>20</v>
      </c>
      <c r="U90" s="3">
        <v>10</v>
      </c>
      <c r="V90" s="4">
        <v>2</v>
      </c>
      <c r="W90" s="3"/>
      <c r="X90" s="122"/>
      <c r="Y90" s="122"/>
    </row>
    <row r="91" spans="1:25">
      <c r="A91" s="17" t="s">
        <v>116</v>
      </c>
      <c r="B91" s="18">
        <v>47</v>
      </c>
      <c r="C91" s="3">
        <v>5</v>
      </c>
      <c r="D91" s="34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122"/>
      <c r="S91" s="3">
        <v>10</v>
      </c>
      <c r="T91" s="3"/>
      <c r="U91" s="3"/>
      <c r="V91" s="4"/>
      <c r="W91" s="3"/>
      <c r="X91" s="122"/>
      <c r="Y91" s="122"/>
    </row>
    <row r="92" spans="1:25">
      <c r="A92" s="17" t="s">
        <v>117</v>
      </c>
      <c r="B92" s="18">
        <v>48</v>
      </c>
      <c r="C92" s="3">
        <v>5</v>
      </c>
      <c r="D92" s="6"/>
      <c r="E92" s="3">
        <v>5</v>
      </c>
      <c r="F92" s="3">
        <v>5</v>
      </c>
      <c r="G92" s="3">
        <v>5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122"/>
      <c r="S92" s="3"/>
      <c r="T92" s="3"/>
      <c r="U92" s="3"/>
      <c r="V92" s="4"/>
      <c r="W92" s="3"/>
      <c r="X92" s="122"/>
      <c r="Y92" s="122"/>
    </row>
    <row r="93" spans="1:25">
      <c r="A93" s="17" t="s">
        <v>118</v>
      </c>
      <c r="B93" s="18">
        <v>49</v>
      </c>
      <c r="C93" s="3">
        <v>5</v>
      </c>
      <c r="D93" s="19"/>
      <c r="E93" s="3"/>
      <c r="F93" s="3"/>
      <c r="G93" s="3"/>
      <c r="H93" s="3"/>
      <c r="I93" s="3"/>
      <c r="J93" s="3"/>
      <c r="K93" s="3"/>
      <c r="L93" s="3"/>
      <c r="M93" s="3">
        <v>12</v>
      </c>
      <c r="N93" s="3"/>
      <c r="O93" s="3"/>
      <c r="P93" s="3"/>
      <c r="Q93" s="3"/>
      <c r="R93" s="122"/>
      <c r="S93" s="3"/>
      <c r="T93" s="3"/>
      <c r="U93" s="3"/>
      <c r="V93" s="4"/>
      <c r="W93" s="3"/>
      <c r="X93" s="122"/>
      <c r="Y93" s="122"/>
    </row>
    <row r="94" spans="1:25">
      <c r="A94" s="17" t="s">
        <v>119</v>
      </c>
      <c r="B94" s="18">
        <v>50</v>
      </c>
      <c r="C94" s="3">
        <v>5</v>
      </c>
      <c r="D94" s="6"/>
      <c r="E94" s="3"/>
      <c r="F94" s="3"/>
      <c r="G94" s="3"/>
      <c r="H94" s="3"/>
      <c r="I94" s="3">
        <v>25</v>
      </c>
      <c r="J94" s="3"/>
      <c r="K94" s="3"/>
      <c r="L94" s="3"/>
      <c r="M94" s="3"/>
      <c r="N94" s="3"/>
      <c r="O94" s="3"/>
      <c r="P94" s="3"/>
      <c r="Q94" s="3"/>
      <c r="R94" s="122"/>
      <c r="S94" s="3"/>
      <c r="T94" s="3"/>
      <c r="U94" s="3"/>
      <c r="V94" s="4"/>
      <c r="W94" s="3"/>
      <c r="X94" s="122"/>
      <c r="Y94" s="122"/>
    </row>
    <row r="95" spans="1:25">
      <c r="A95" s="17" t="s">
        <v>121</v>
      </c>
      <c r="B95" s="18">
        <v>65</v>
      </c>
      <c r="C95" s="3">
        <v>5</v>
      </c>
      <c r="D95" s="19"/>
      <c r="E95" s="3">
        <v>16</v>
      </c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122"/>
      <c r="S95" s="3"/>
      <c r="T95" s="3"/>
      <c r="U95" s="3"/>
      <c r="V95" s="4"/>
      <c r="W95" s="3"/>
      <c r="X95" s="122"/>
      <c r="Y95" s="122"/>
    </row>
    <row r="96" spans="1:25">
      <c r="A96" s="17" t="s">
        <v>122</v>
      </c>
      <c r="B96" s="18">
        <v>66</v>
      </c>
      <c r="C96" s="3">
        <v>5</v>
      </c>
      <c r="D96" s="19"/>
      <c r="E96" s="3"/>
      <c r="F96" s="3">
        <v>16</v>
      </c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122"/>
      <c r="S96" s="3"/>
      <c r="T96" s="3"/>
      <c r="U96" s="3"/>
      <c r="V96" s="4"/>
      <c r="W96" s="3"/>
      <c r="X96" s="122"/>
      <c r="Y96" s="122"/>
    </row>
    <row r="97" spans="1:25">
      <c r="A97" s="17" t="s">
        <v>120</v>
      </c>
      <c r="B97" s="18">
        <v>49</v>
      </c>
      <c r="C97" s="3">
        <v>5</v>
      </c>
      <c r="D97" s="6"/>
      <c r="E97" s="3"/>
      <c r="F97" s="3"/>
      <c r="G97" s="3">
        <v>16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122"/>
      <c r="S97" s="3"/>
      <c r="T97" s="3"/>
      <c r="U97" s="3"/>
      <c r="V97" s="4"/>
      <c r="W97" s="3"/>
      <c r="X97" s="122"/>
      <c r="Y97" s="122"/>
    </row>
    <row r="98" spans="1:25">
      <c r="A98" s="17" t="s">
        <v>123</v>
      </c>
      <c r="B98" s="18">
        <v>70</v>
      </c>
      <c r="C98" s="3">
        <v>5</v>
      </c>
      <c r="D98" s="19"/>
      <c r="E98" s="3"/>
      <c r="F98" s="3"/>
      <c r="G98" s="3"/>
      <c r="H98" s="3"/>
      <c r="I98" s="3">
        <v>30</v>
      </c>
      <c r="J98" s="3"/>
      <c r="K98" s="3"/>
      <c r="L98" s="3"/>
      <c r="M98" s="3"/>
      <c r="N98" s="3"/>
      <c r="O98" s="3"/>
      <c r="P98" s="3"/>
      <c r="Q98" s="3"/>
      <c r="R98" s="122"/>
      <c r="S98" s="3"/>
      <c r="T98" s="3"/>
      <c r="U98" s="3"/>
      <c r="V98" s="4"/>
      <c r="W98" s="3"/>
      <c r="X98" s="122"/>
      <c r="Y98" s="122"/>
    </row>
    <row r="99" spans="1:25">
      <c r="A99" s="17" t="s">
        <v>124</v>
      </c>
      <c r="B99" s="18">
        <v>52</v>
      </c>
      <c r="C99" s="3">
        <v>5</v>
      </c>
      <c r="D99" s="19"/>
      <c r="E99" s="3"/>
      <c r="F99" s="3"/>
      <c r="G99" s="3"/>
      <c r="H99" s="3"/>
      <c r="I99" s="3"/>
      <c r="J99" s="3"/>
      <c r="K99" s="3"/>
      <c r="L99" s="3">
        <v>10</v>
      </c>
      <c r="M99" s="3"/>
      <c r="N99" s="3"/>
      <c r="O99" s="3"/>
      <c r="P99" s="3"/>
      <c r="Q99" s="3"/>
      <c r="R99" s="122"/>
      <c r="S99" s="3"/>
      <c r="T99" s="3">
        <v>20</v>
      </c>
      <c r="U99" s="3"/>
      <c r="V99" s="4"/>
      <c r="W99" s="3"/>
      <c r="X99" s="122"/>
      <c r="Y99" s="122"/>
    </row>
    <row r="100" spans="1:25">
      <c r="A100" s="17" t="s">
        <v>125</v>
      </c>
      <c r="B100" s="18">
        <v>64</v>
      </c>
      <c r="C100" s="3">
        <v>5</v>
      </c>
      <c r="D100" s="19"/>
      <c r="E100" s="3">
        <v>5</v>
      </c>
      <c r="F100" s="3"/>
      <c r="G100" s="3"/>
      <c r="H100" s="3"/>
      <c r="I100" s="3">
        <v>5</v>
      </c>
      <c r="J100" s="3"/>
      <c r="K100" s="3"/>
      <c r="L100" s="3"/>
      <c r="M100" s="3">
        <v>5</v>
      </c>
      <c r="N100" s="3"/>
      <c r="O100" s="3"/>
      <c r="P100" s="3"/>
      <c r="Q100" s="3"/>
      <c r="R100" s="122"/>
      <c r="S100" s="3">
        <v>5</v>
      </c>
      <c r="T100" s="3"/>
      <c r="U100" s="3"/>
      <c r="V100" s="4"/>
      <c r="W100" s="3"/>
      <c r="X100" s="122"/>
      <c r="Y100" s="122"/>
    </row>
    <row r="101" spans="1:25">
      <c r="A101" s="17" t="s">
        <v>127</v>
      </c>
      <c r="B101" s="18">
        <v>53</v>
      </c>
      <c r="C101" s="3">
        <v>5</v>
      </c>
      <c r="D101" s="6"/>
      <c r="E101" s="3">
        <v>3</v>
      </c>
      <c r="F101" s="3">
        <v>6</v>
      </c>
      <c r="G101" s="3">
        <v>3</v>
      </c>
      <c r="H101" s="3">
        <v>80</v>
      </c>
      <c r="I101" s="3"/>
      <c r="J101" s="3"/>
      <c r="K101" s="3"/>
      <c r="L101" s="3"/>
      <c r="M101" s="3">
        <v>5</v>
      </c>
      <c r="N101" s="3"/>
      <c r="O101" s="3"/>
      <c r="P101" s="3"/>
      <c r="Q101" s="3"/>
      <c r="R101" s="122"/>
      <c r="S101" s="3"/>
      <c r="T101" s="3"/>
      <c r="U101" s="3"/>
      <c r="V101" s="4"/>
      <c r="W101" s="3"/>
      <c r="X101" s="122"/>
      <c r="Y101" s="122"/>
    </row>
    <row r="102" spans="1:25">
      <c r="A102" s="17" t="s">
        <v>128</v>
      </c>
      <c r="B102" s="18">
        <v>59</v>
      </c>
      <c r="C102" s="3">
        <v>5</v>
      </c>
      <c r="D102" s="19"/>
      <c r="E102" s="3">
        <v>4</v>
      </c>
      <c r="F102" s="3">
        <v>4</v>
      </c>
      <c r="G102" s="3">
        <v>4</v>
      </c>
      <c r="H102" s="3"/>
      <c r="I102" s="3">
        <v>3</v>
      </c>
      <c r="J102" s="3"/>
      <c r="K102" s="3"/>
      <c r="L102" s="3">
        <v>4</v>
      </c>
      <c r="M102" s="3"/>
      <c r="N102" s="3"/>
      <c r="O102" s="3"/>
      <c r="P102" s="3"/>
      <c r="Q102" s="3"/>
      <c r="R102" s="122"/>
      <c r="S102" s="3"/>
      <c r="T102" s="3"/>
      <c r="U102" s="3"/>
      <c r="V102" s="4"/>
      <c r="W102" s="3"/>
      <c r="X102" s="122"/>
      <c r="Y102" s="122"/>
    </row>
    <row r="103" spans="1:25">
      <c r="A103" s="17" t="s">
        <v>131</v>
      </c>
      <c r="B103" s="18">
        <v>51</v>
      </c>
      <c r="C103" s="3">
        <v>5</v>
      </c>
      <c r="D103" s="6"/>
      <c r="E103" s="3"/>
      <c r="F103" s="3"/>
      <c r="G103" s="3"/>
      <c r="H103" s="3"/>
      <c r="I103" s="3"/>
      <c r="J103" s="3"/>
      <c r="K103" s="3">
        <v>5</v>
      </c>
      <c r="L103" s="3"/>
      <c r="M103" s="3">
        <v>5</v>
      </c>
      <c r="N103" s="3">
        <v>1</v>
      </c>
      <c r="O103" s="3"/>
      <c r="P103" s="3"/>
      <c r="Q103" s="3"/>
      <c r="R103" s="122"/>
      <c r="S103" s="3"/>
      <c r="T103" s="3"/>
      <c r="U103" s="3"/>
      <c r="V103" s="4"/>
      <c r="W103" s="3"/>
      <c r="X103" s="122"/>
      <c r="Y103" s="122"/>
    </row>
    <row r="104" spans="1:25">
      <c r="A104" s="17" t="s">
        <v>132</v>
      </c>
      <c r="B104" s="18">
        <v>62</v>
      </c>
      <c r="C104" s="3">
        <v>5</v>
      </c>
      <c r="D104" s="19"/>
      <c r="E104" s="3"/>
      <c r="F104" s="3"/>
      <c r="G104" s="3"/>
      <c r="H104" s="3"/>
      <c r="I104" s="3">
        <v>12</v>
      </c>
      <c r="J104" s="3"/>
      <c r="K104" s="3"/>
      <c r="L104" s="3"/>
      <c r="M104" s="3">
        <v>10</v>
      </c>
      <c r="N104" s="3"/>
      <c r="O104" s="3"/>
      <c r="P104" s="3"/>
      <c r="Q104" s="3"/>
      <c r="R104" s="122"/>
      <c r="S104" s="3"/>
      <c r="T104" s="3"/>
      <c r="U104" s="3"/>
      <c r="V104" s="4"/>
      <c r="W104" s="3"/>
      <c r="X104" s="122"/>
      <c r="Y104" s="122"/>
    </row>
    <row r="105" spans="1:25">
      <c r="A105" s="17" t="s">
        <v>135</v>
      </c>
      <c r="B105" s="18">
        <v>65</v>
      </c>
      <c r="C105" s="3">
        <v>5</v>
      </c>
      <c r="D105" s="19"/>
      <c r="E105" s="3">
        <v>4</v>
      </c>
      <c r="F105" s="3">
        <v>4</v>
      </c>
      <c r="G105" s="3">
        <v>4</v>
      </c>
      <c r="H105" s="3">
        <v>40</v>
      </c>
      <c r="I105" s="3">
        <v>4</v>
      </c>
      <c r="J105" s="3">
        <v>8</v>
      </c>
      <c r="K105" s="3"/>
      <c r="L105" s="3"/>
      <c r="M105" s="3"/>
      <c r="N105" s="3"/>
      <c r="O105" s="3"/>
      <c r="P105" s="3"/>
      <c r="Q105" s="3"/>
      <c r="R105" s="122"/>
      <c r="S105" s="3"/>
      <c r="T105" s="3"/>
      <c r="U105" s="3"/>
      <c r="V105" s="4"/>
      <c r="W105" s="3"/>
      <c r="X105" s="122"/>
      <c r="Y105" s="122"/>
    </row>
    <row r="106" spans="1:25">
      <c r="A106" s="17" t="s">
        <v>138</v>
      </c>
      <c r="B106" s="18">
        <v>64</v>
      </c>
      <c r="C106" s="3">
        <v>5</v>
      </c>
      <c r="D106" s="19"/>
      <c r="E106" s="3"/>
      <c r="F106" s="3"/>
      <c r="G106" s="3"/>
      <c r="H106" s="3"/>
      <c r="I106" s="3">
        <v>20</v>
      </c>
      <c r="J106" s="3"/>
      <c r="K106" s="3"/>
      <c r="L106" s="3"/>
      <c r="M106" s="3">
        <v>3</v>
      </c>
      <c r="N106" s="3">
        <v>2</v>
      </c>
      <c r="O106" s="3"/>
      <c r="P106" s="3"/>
      <c r="Q106" s="3"/>
      <c r="R106" s="122"/>
      <c r="S106" s="3"/>
      <c r="T106" s="3"/>
      <c r="U106" s="3"/>
      <c r="V106" s="4"/>
      <c r="W106" s="3"/>
      <c r="X106" s="122"/>
      <c r="Y106" s="122"/>
    </row>
    <row r="107" spans="1:25">
      <c r="A107" s="17" t="s">
        <v>139</v>
      </c>
      <c r="B107" s="18">
        <v>53</v>
      </c>
      <c r="C107" s="3">
        <v>5</v>
      </c>
      <c r="D107" s="19"/>
      <c r="E107" s="3">
        <v>2</v>
      </c>
      <c r="F107" s="3">
        <v>2</v>
      </c>
      <c r="G107" s="3">
        <v>7</v>
      </c>
      <c r="H107" s="3"/>
      <c r="I107" s="3"/>
      <c r="J107" s="3"/>
      <c r="K107" s="3"/>
      <c r="L107" s="3"/>
      <c r="M107" s="3"/>
      <c r="N107" s="3"/>
      <c r="O107" s="3"/>
      <c r="P107" s="3">
        <v>2</v>
      </c>
      <c r="Q107" s="3"/>
      <c r="R107" s="122"/>
      <c r="S107" s="3"/>
      <c r="T107" s="3"/>
      <c r="U107" s="3">
        <v>20</v>
      </c>
      <c r="V107" s="4"/>
      <c r="W107" s="3"/>
      <c r="X107" s="122"/>
      <c r="Y107" s="122"/>
    </row>
    <row r="108" spans="1:25">
      <c r="A108" s="17" t="s">
        <v>142</v>
      </c>
      <c r="B108" s="18">
        <v>70</v>
      </c>
      <c r="C108" s="3">
        <v>5</v>
      </c>
      <c r="D108" s="19"/>
      <c r="E108" s="3"/>
      <c r="F108" s="3"/>
      <c r="G108" s="3">
        <v>6</v>
      </c>
      <c r="H108" s="3"/>
      <c r="I108" s="3"/>
      <c r="J108" s="3"/>
      <c r="K108" s="3">
        <v>8</v>
      </c>
      <c r="L108" s="3"/>
      <c r="M108" s="3"/>
      <c r="N108" s="3"/>
      <c r="O108" s="3"/>
      <c r="P108" s="3"/>
      <c r="Q108" s="3"/>
      <c r="R108" s="122"/>
      <c r="S108" s="3"/>
      <c r="T108" s="3"/>
      <c r="U108" s="3"/>
      <c r="V108" s="4"/>
      <c r="W108" s="3"/>
      <c r="X108" s="122"/>
      <c r="Y108" s="122"/>
    </row>
    <row r="109" spans="1:25">
      <c r="A109" s="17" t="s">
        <v>143</v>
      </c>
      <c r="B109" s="18">
        <v>80</v>
      </c>
      <c r="C109" s="3">
        <v>5</v>
      </c>
      <c r="D109" s="19"/>
      <c r="E109" s="3">
        <v>2</v>
      </c>
      <c r="F109" s="3">
        <v>8</v>
      </c>
      <c r="G109" s="3">
        <v>2</v>
      </c>
      <c r="H109" s="3"/>
      <c r="I109" s="3"/>
      <c r="J109" s="3">
        <v>3</v>
      </c>
      <c r="K109" s="3"/>
      <c r="L109" s="3"/>
      <c r="M109" s="3"/>
      <c r="N109" s="3"/>
      <c r="O109" s="3">
        <v>6</v>
      </c>
      <c r="P109" s="3"/>
      <c r="Q109" s="3"/>
      <c r="R109" s="122"/>
      <c r="S109" s="3"/>
      <c r="T109" s="3"/>
      <c r="U109" s="3"/>
      <c r="V109" s="4"/>
      <c r="W109" s="3"/>
      <c r="X109" s="122"/>
      <c r="Y109" s="122"/>
    </row>
    <row r="110" spans="1:25">
      <c r="A110" s="17" t="s">
        <v>144</v>
      </c>
      <c r="B110" s="18">
        <v>80</v>
      </c>
      <c r="C110" s="3">
        <v>5</v>
      </c>
      <c r="D110" s="19"/>
      <c r="E110" s="3"/>
      <c r="F110" s="3"/>
      <c r="G110" s="3"/>
      <c r="H110" s="3"/>
      <c r="I110" s="3">
        <v>15</v>
      </c>
      <c r="J110" s="3"/>
      <c r="K110" s="3"/>
      <c r="L110" s="3"/>
      <c r="M110" s="3"/>
      <c r="N110" s="3">
        <v>3</v>
      </c>
      <c r="O110" s="3"/>
      <c r="P110" s="3"/>
      <c r="Q110" s="3"/>
      <c r="R110" s="122"/>
      <c r="S110" s="3"/>
      <c r="T110" s="3"/>
      <c r="U110" s="3"/>
      <c r="V110" s="4"/>
      <c r="W110" s="3"/>
      <c r="X110" s="122"/>
      <c r="Y110" s="122"/>
    </row>
    <row r="111" spans="1:25">
      <c r="A111" s="17" t="s">
        <v>145</v>
      </c>
      <c r="B111" s="18">
        <v>72</v>
      </c>
      <c r="C111" s="3">
        <v>5</v>
      </c>
      <c r="D111" s="6"/>
      <c r="E111" s="3">
        <v>8</v>
      </c>
      <c r="F111" s="3"/>
      <c r="G111" s="3"/>
      <c r="H111" s="3">
        <v>120</v>
      </c>
      <c r="I111" s="3"/>
      <c r="J111" s="3"/>
      <c r="K111" s="3"/>
      <c r="L111" s="3"/>
      <c r="M111" s="3"/>
      <c r="N111" s="3"/>
      <c r="O111" s="3"/>
      <c r="P111" s="3"/>
      <c r="Q111" s="3"/>
      <c r="R111" s="122"/>
      <c r="S111" s="3"/>
      <c r="T111" s="3">
        <v>120</v>
      </c>
      <c r="U111" s="3"/>
      <c r="V111" s="4"/>
      <c r="W111" s="3"/>
      <c r="X111" s="122"/>
      <c r="Y111" s="122"/>
    </row>
    <row r="112" spans="1:25">
      <c r="A112" s="17" t="s">
        <v>146</v>
      </c>
      <c r="B112" s="18">
        <v>73</v>
      </c>
      <c r="C112" s="3">
        <v>5</v>
      </c>
      <c r="D112" s="19"/>
      <c r="E112" s="3"/>
      <c r="F112" s="3">
        <v>5</v>
      </c>
      <c r="G112" s="3"/>
      <c r="H112" s="3"/>
      <c r="I112" s="3">
        <v>5</v>
      </c>
      <c r="J112" s="3"/>
      <c r="K112" s="3"/>
      <c r="L112" s="3"/>
      <c r="M112" s="3">
        <v>5</v>
      </c>
      <c r="N112" s="3"/>
      <c r="O112" s="3"/>
      <c r="P112" s="3"/>
      <c r="Q112" s="3"/>
      <c r="R112" s="122"/>
      <c r="S112" s="3">
        <v>5</v>
      </c>
      <c r="T112" s="3"/>
      <c r="U112" s="3"/>
      <c r="V112" s="4"/>
      <c r="W112" s="3"/>
      <c r="X112" s="122"/>
      <c r="Y112" s="122"/>
    </row>
    <row r="113" spans="1:25">
      <c r="A113" s="17" t="s">
        <v>126</v>
      </c>
      <c r="B113" s="18">
        <v>51</v>
      </c>
      <c r="C113" s="3">
        <v>5</v>
      </c>
      <c r="D113" s="19"/>
      <c r="E113" s="3"/>
      <c r="F113" s="3"/>
      <c r="G113" s="3">
        <v>8</v>
      </c>
      <c r="H113" s="3"/>
      <c r="I113" s="3">
        <v>10</v>
      </c>
      <c r="J113" s="3"/>
      <c r="K113" s="3"/>
      <c r="L113" s="3"/>
      <c r="M113" s="3">
        <v>5</v>
      </c>
      <c r="N113" s="3"/>
      <c r="O113" s="3"/>
      <c r="P113" s="3"/>
      <c r="Q113" s="3"/>
      <c r="R113" s="122"/>
      <c r="S113" s="3"/>
      <c r="T113" s="3"/>
      <c r="U113" s="3">
        <v>20</v>
      </c>
      <c r="V113" s="4"/>
      <c r="W113" s="3"/>
      <c r="X113" s="122"/>
      <c r="Y113" s="122"/>
    </row>
    <row r="114" spans="1:25">
      <c r="A114" s="17" t="s">
        <v>147</v>
      </c>
      <c r="B114" s="18">
        <v>79</v>
      </c>
      <c r="C114" s="3">
        <v>5</v>
      </c>
      <c r="D114" s="19"/>
      <c r="E114" s="3"/>
      <c r="F114" s="3"/>
      <c r="G114" s="3"/>
      <c r="H114" s="3"/>
      <c r="I114" s="3">
        <v>15</v>
      </c>
      <c r="J114" s="3"/>
      <c r="K114" s="3"/>
      <c r="L114" s="3"/>
      <c r="M114" s="3">
        <v>8</v>
      </c>
      <c r="N114" s="3"/>
      <c r="O114" s="3"/>
      <c r="P114" s="3"/>
      <c r="Q114" s="3"/>
      <c r="R114" s="122"/>
      <c r="S114" s="3"/>
      <c r="T114" s="3"/>
      <c r="U114" s="3"/>
      <c r="V114" s="4"/>
      <c r="W114" s="3"/>
      <c r="X114" s="122"/>
      <c r="Y114" s="122"/>
    </row>
    <row r="115" spans="1:25">
      <c r="A115" s="17" t="s">
        <v>148</v>
      </c>
      <c r="B115" s="18">
        <v>80</v>
      </c>
      <c r="C115" s="3">
        <v>5</v>
      </c>
      <c r="D115" s="6"/>
      <c r="E115" s="3">
        <v>5</v>
      </c>
      <c r="F115" s="3"/>
      <c r="G115" s="3"/>
      <c r="H115" s="3"/>
      <c r="I115" s="3">
        <v>10</v>
      </c>
      <c r="J115" s="3"/>
      <c r="K115" s="3">
        <v>3</v>
      </c>
      <c r="L115" s="3"/>
      <c r="M115" s="3"/>
      <c r="N115" s="3"/>
      <c r="O115" s="3"/>
      <c r="P115" s="3"/>
      <c r="Q115" s="3">
        <v>5</v>
      </c>
      <c r="R115" s="122"/>
      <c r="S115" s="3"/>
      <c r="T115" s="3"/>
      <c r="U115" s="3"/>
      <c r="V115" s="4"/>
      <c r="W115" s="3"/>
      <c r="X115" s="122"/>
      <c r="Y115" s="122"/>
    </row>
    <row r="116" spans="1:25">
      <c r="A116" s="17" t="s">
        <v>149</v>
      </c>
      <c r="B116" s="18">
        <v>78</v>
      </c>
      <c r="C116" s="3">
        <v>5</v>
      </c>
      <c r="D116" s="19"/>
      <c r="E116" s="3">
        <v>2</v>
      </c>
      <c r="F116" s="3"/>
      <c r="G116" s="3"/>
      <c r="H116" s="3"/>
      <c r="I116" s="3">
        <v>20</v>
      </c>
      <c r="J116" s="3"/>
      <c r="K116" s="3"/>
      <c r="L116" s="3"/>
      <c r="M116" s="3">
        <v>5</v>
      </c>
      <c r="N116" s="3"/>
      <c r="O116" s="3"/>
      <c r="P116" s="3"/>
      <c r="Q116" s="3"/>
      <c r="R116" s="122"/>
      <c r="S116" s="3"/>
      <c r="T116" s="3"/>
      <c r="U116" s="3"/>
      <c r="V116" s="4"/>
      <c r="W116" s="3"/>
      <c r="X116" s="122"/>
      <c r="Y116" s="122"/>
    </row>
    <row r="117" spans="1:25">
      <c r="A117" s="17" t="s">
        <v>137</v>
      </c>
      <c r="B117" s="18">
        <v>62</v>
      </c>
      <c r="C117" s="3">
        <v>5</v>
      </c>
      <c r="D117" s="19"/>
      <c r="E117" s="3">
        <v>2</v>
      </c>
      <c r="F117" s="3">
        <v>2</v>
      </c>
      <c r="G117" s="3">
        <v>2</v>
      </c>
      <c r="H117" s="3"/>
      <c r="I117" s="3"/>
      <c r="J117" s="3"/>
      <c r="K117" s="3"/>
      <c r="L117" s="3"/>
      <c r="M117" s="3"/>
      <c r="N117" s="3">
        <v>2</v>
      </c>
      <c r="O117" s="3"/>
      <c r="P117" s="3"/>
      <c r="Q117" s="3"/>
      <c r="R117" s="122"/>
      <c r="S117" s="3"/>
      <c r="T117" s="3"/>
      <c r="U117" s="3"/>
      <c r="V117" s="4">
        <v>3</v>
      </c>
      <c r="W117" s="3"/>
      <c r="X117" s="122"/>
      <c r="Y117" s="122"/>
    </row>
    <row r="118" spans="1:25">
      <c r="A118" s="17" t="s">
        <v>155</v>
      </c>
      <c r="B118" s="18">
        <v>77</v>
      </c>
      <c r="C118" s="3">
        <v>5</v>
      </c>
      <c r="D118" s="19"/>
      <c r="E118" s="3">
        <v>3</v>
      </c>
      <c r="F118" s="3">
        <v>3</v>
      </c>
      <c r="G118" s="3">
        <v>3</v>
      </c>
      <c r="H118" s="3"/>
      <c r="I118" s="3"/>
      <c r="J118" s="3"/>
      <c r="K118" s="3"/>
      <c r="L118" s="3"/>
      <c r="M118" s="3"/>
      <c r="N118" s="3">
        <v>3</v>
      </c>
      <c r="O118" s="3"/>
      <c r="P118" s="3"/>
      <c r="Q118" s="3"/>
      <c r="R118" s="122"/>
      <c r="S118" s="3"/>
      <c r="T118" s="3"/>
      <c r="U118" s="3"/>
      <c r="V118" s="4">
        <v>3</v>
      </c>
      <c r="W118" s="3"/>
      <c r="X118" s="122"/>
      <c r="Y118" s="122"/>
    </row>
    <row r="119" spans="1:25">
      <c r="A119" s="17" t="s">
        <v>133</v>
      </c>
      <c r="B119" s="18">
        <v>63</v>
      </c>
      <c r="C119" s="3">
        <v>5</v>
      </c>
      <c r="D119" s="19"/>
      <c r="E119" s="3">
        <v>3</v>
      </c>
      <c r="F119" s="3"/>
      <c r="G119" s="3">
        <v>5</v>
      </c>
      <c r="H119" s="3">
        <v>80</v>
      </c>
      <c r="I119" s="3">
        <v>8</v>
      </c>
      <c r="J119" s="3">
        <v>8</v>
      </c>
      <c r="K119" s="3"/>
      <c r="L119" s="3"/>
      <c r="M119" s="3"/>
      <c r="N119" s="3"/>
      <c r="O119" s="3"/>
      <c r="P119" s="3"/>
      <c r="Q119" s="3"/>
      <c r="R119" s="122"/>
      <c r="S119" s="3"/>
      <c r="T119" s="3"/>
      <c r="U119" s="3"/>
      <c r="V119" s="4"/>
      <c r="W119" s="3"/>
      <c r="X119" s="122"/>
      <c r="Y119" s="122"/>
    </row>
    <row r="120" spans="1:25">
      <c r="A120" s="17" t="s">
        <v>150</v>
      </c>
      <c r="B120" s="18">
        <v>74</v>
      </c>
      <c r="C120" s="3">
        <v>5</v>
      </c>
      <c r="D120" s="19"/>
      <c r="E120" s="3">
        <v>3</v>
      </c>
      <c r="F120" s="3"/>
      <c r="G120" s="3">
        <v>5</v>
      </c>
      <c r="H120" s="3">
        <v>80</v>
      </c>
      <c r="I120" s="3">
        <v>8</v>
      </c>
      <c r="J120" s="3">
        <v>8</v>
      </c>
      <c r="K120" s="3"/>
      <c r="L120" s="3"/>
      <c r="M120" s="3"/>
      <c r="N120" s="3"/>
      <c r="O120" s="3"/>
      <c r="P120" s="3"/>
      <c r="Q120" s="3"/>
      <c r="R120" s="122"/>
      <c r="S120" s="3"/>
      <c r="T120" s="3"/>
      <c r="U120" s="3"/>
      <c r="V120" s="4"/>
      <c r="W120" s="3"/>
      <c r="X120" s="122"/>
      <c r="Y120" s="122"/>
    </row>
    <row r="121" spans="1:25">
      <c r="A121" s="17" t="s">
        <v>134</v>
      </c>
      <c r="B121" s="18">
        <v>51</v>
      </c>
      <c r="C121" s="3">
        <v>5</v>
      </c>
      <c r="D121" s="19"/>
      <c r="E121" s="3"/>
      <c r="F121" s="3"/>
      <c r="G121" s="3">
        <v>5</v>
      </c>
      <c r="H121" s="3"/>
      <c r="I121" s="3"/>
      <c r="J121" s="3">
        <v>20</v>
      </c>
      <c r="K121" s="3"/>
      <c r="L121" s="3"/>
      <c r="M121" s="3"/>
      <c r="N121" s="3"/>
      <c r="O121" s="3">
        <v>3</v>
      </c>
      <c r="P121" s="3"/>
      <c r="Q121" s="3"/>
      <c r="R121" s="122"/>
      <c r="S121" s="3"/>
      <c r="T121" s="3"/>
      <c r="U121" s="3"/>
      <c r="V121" s="4"/>
      <c r="W121" s="3"/>
      <c r="X121" s="122"/>
      <c r="Y121" s="122"/>
    </row>
    <row r="122" spans="1:25">
      <c r="A122" s="17" t="s">
        <v>151</v>
      </c>
      <c r="B122" s="18">
        <v>78</v>
      </c>
      <c r="C122" s="3">
        <v>5</v>
      </c>
      <c r="D122" s="19"/>
      <c r="E122" s="3"/>
      <c r="F122" s="3"/>
      <c r="G122" s="3">
        <v>4</v>
      </c>
      <c r="H122" s="3"/>
      <c r="I122" s="3"/>
      <c r="J122" s="3">
        <v>20</v>
      </c>
      <c r="K122" s="3"/>
      <c r="L122" s="3"/>
      <c r="M122" s="3"/>
      <c r="N122" s="3"/>
      <c r="O122" s="3">
        <v>5</v>
      </c>
      <c r="P122" s="3"/>
      <c r="Q122" s="3"/>
      <c r="R122" s="122"/>
      <c r="S122" s="3"/>
      <c r="T122" s="3"/>
      <c r="U122" s="3"/>
      <c r="V122" s="4"/>
      <c r="W122" s="3"/>
      <c r="X122" s="122"/>
      <c r="Y122" s="122"/>
    </row>
    <row r="123" spans="1:25">
      <c r="A123" s="17" t="s">
        <v>152</v>
      </c>
      <c r="B123" s="18">
        <v>80</v>
      </c>
      <c r="C123" s="3">
        <v>5</v>
      </c>
      <c r="D123" s="19"/>
      <c r="E123" s="3"/>
      <c r="F123" s="3"/>
      <c r="G123" s="3">
        <v>4</v>
      </c>
      <c r="H123" s="3"/>
      <c r="I123" s="3"/>
      <c r="J123" s="3">
        <v>20</v>
      </c>
      <c r="K123" s="3"/>
      <c r="L123" s="3"/>
      <c r="M123" s="3"/>
      <c r="N123" s="3"/>
      <c r="O123" s="3">
        <v>5</v>
      </c>
      <c r="P123" s="3"/>
      <c r="Q123" s="3"/>
      <c r="R123" s="122"/>
      <c r="S123" s="3"/>
      <c r="T123" s="3"/>
      <c r="U123" s="3"/>
      <c r="V123" s="4"/>
      <c r="W123" s="3"/>
      <c r="X123" s="122"/>
      <c r="Y123" s="122"/>
    </row>
    <row r="124" spans="1:25">
      <c r="A124" s="17" t="s">
        <v>136</v>
      </c>
      <c r="B124" s="18">
        <v>61</v>
      </c>
      <c r="C124" s="3">
        <v>5</v>
      </c>
      <c r="D124" s="19"/>
      <c r="E124" s="3"/>
      <c r="F124" s="3">
        <v>8</v>
      </c>
      <c r="G124" s="3">
        <v>4</v>
      </c>
      <c r="H124" s="3"/>
      <c r="I124" s="3">
        <v>15</v>
      </c>
      <c r="J124" s="3"/>
      <c r="K124" s="3"/>
      <c r="L124" s="3"/>
      <c r="M124" s="3"/>
      <c r="N124" s="3"/>
      <c r="O124" s="3"/>
      <c r="P124" s="3"/>
      <c r="Q124" s="3"/>
      <c r="R124" s="122"/>
      <c r="S124" s="3"/>
      <c r="T124" s="3"/>
      <c r="U124" s="3"/>
      <c r="V124" s="4"/>
      <c r="W124" s="3"/>
      <c r="X124" s="122"/>
      <c r="Y124" s="122"/>
    </row>
    <row r="125" spans="1:25">
      <c r="A125" s="17" t="s">
        <v>153</v>
      </c>
      <c r="B125" s="18">
        <v>79</v>
      </c>
      <c r="C125" s="3">
        <v>5</v>
      </c>
      <c r="D125" s="19"/>
      <c r="E125" s="3"/>
      <c r="F125" s="3">
        <v>8</v>
      </c>
      <c r="G125" s="3">
        <v>5</v>
      </c>
      <c r="H125" s="3"/>
      <c r="I125" s="3">
        <v>15</v>
      </c>
      <c r="J125" s="3"/>
      <c r="K125" s="3"/>
      <c r="L125" s="3"/>
      <c r="M125" s="3"/>
      <c r="N125" s="3"/>
      <c r="O125" s="3"/>
      <c r="P125" s="3"/>
      <c r="Q125" s="3"/>
      <c r="R125" s="122"/>
      <c r="S125" s="3"/>
      <c r="T125" s="3"/>
      <c r="U125" s="3"/>
      <c r="V125" s="4"/>
      <c r="W125" s="3"/>
      <c r="X125" s="122"/>
      <c r="Y125" s="122"/>
    </row>
    <row r="126" spans="1:25">
      <c r="A126" s="17" t="s">
        <v>140</v>
      </c>
      <c r="B126" s="18">
        <v>55</v>
      </c>
      <c r="C126" s="3">
        <v>5</v>
      </c>
      <c r="D126" s="34"/>
      <c r="E126" s="3"/>
      <c r="F126" s="3"/>
      <c r="G126" s="3"/>
      <c r="H126" s="3">
        <v>60</v>
      </c>
      <c r="I126" s="3"/>
      <c r="J126" s="3">
        <v>10</v>
      </c>
      <c r="K126" s="3"/>
      <c r="L126" s="3"/>
      <c r="M126" s="3"/>
      <c r="N126" s="3"/>
      <c r="O126" s="3"/>
      <c r="P126" s="3"/>
      <c r="Q126" s="3"/>
      <c r="R126" s="122"/>
      <c r="S126" s="3"/>
      <c r="T126" s="3">
        <v>30</v>
      </c>
      <c r="U126" s="3">
        <v>5</v>
      </c>
      <c r="V126" s="4">
        <v>3</v>
      </c>
      <c r="W126" s="3"/>
      <c r="X126" s="122"/>
      <c r="Y126" s="122"/>
    </row>
    <row r="127" spans="1:25">
      <c r="A127" s="17" t="s">
        <v>141</v>
      </c>
      <c r="B127" s="18">
        <v>75</v>
      </c>
      <c r="C127" s="3">
        <v>5</v>
      </c>
      <c r="D127" s="34"/>
      <c r="E127" s="3"/>
      <c r="F127" s="3"/>
      <c r="G127" s="3"/>
      <c r="H127" s="3">
        <v>60</v>
      </c>
      <c r="I127" s="3"/>
      <c r="J127" s="3">
        <v>10</v>
      </c>
      <c r="K127" s="3"/>
      <c r="L127" s="3"/>
      <c r="M127" s="3"/>
      <c r="N127" s="3"/>
      <c r="O127" s="3"/>
      <c r="P127" s="3"/>
      <c r="Q127" s="3"/>
      <c r="R127" s="122"/>
      <c r="S127" s="3"/>
      <c r="T127" s="3">
        <v>30</v>
      </c>
      <c r="U127" s="3">
        <v>5</v>
      </c>
      <c r="V127" s="4">
        <v>4</v>
      </c>
      <c r="W127" s="3"/>
      <c r="X127" s="122"/>
      <c r="Y127" s="122"/>
    </row>
    <row r="128" spans="1:25">
      <c r="A128" s="17" t="s">
        <v>129</v>
      </c>
      <c r="B128" s="18">
        <v>60</v>
      </c>
      <c r="C128" s="3">
        <v>5</v>
      </c>
      <c r="D128" s="6"/>
      <c r="E128" s="3"/>
      <c r="F128" s="3"/>
      <c r="G128" s="3">
        <v>5</v>
      </c>
      <c r="H128" s="3"/>
      <c r="I128" s="3">
        <v>12</v>
      </c>
      <c r="J128" s="3"/>
      <c r="K128" s="3"/>
      <c r="L128" s="3"/>
      <c r="M128" s="3"/>
      <c r="N128" s="3"/>
      <c r="O128" s="3"/>
      <c r="P128" s="3"/>
      <c r="Q128" s="3"/>
      <c r="R128" s="122"/>
      <c r="S128" s="3"/>
      <c r="T128" s="3">
        <v>60</v>
      </c>
      <c r="U128" s="3">
        <v>30</v>
      </c>
      <c r="V128" s="4"/>
      <c r="W128" s="3">
        <v>2</v>
      </c>
      <c r="X128" s="122"/>
      <c r="Y128" s="122"/>
    </row>
    <row r="129" spans="1:25">
      <c r="A129" s="17" t="s">
        <v>154</v>
      </c>
      <c r="B129" s="18">
        <v>75</v>
      </c>
      <c r="C129" s="3">
        <v>5</v>
      </c>
      <c r="D129" s="34"/>
      <c r="E129" s="3"/>
      <c r="F129" s="3"/>
      <c r="G129" s="3">
        <v>4</v>
      </c>
      <c r="H129" s="3"/>
      <c r="I129" s="3">
        <v>10</v>
      </c>
      <c r="J129" s="3"/>
      <c r="K129" s="3"/>
      <c r="L129" s="3"/>
      <c r="M129" s="3"/>
      <c r="N129" s="3"/>
      <c r="O129" s="3"/>
      <c r="P129" s="3"/>
      <c r="Q129" s="3"/>
      <c r="R129" s="122"/>
      <c r="S129" s="3"/>
      <c r="T129" s="3">
        <v>50</v>
      </c>
      <c r="U129" s="3">
        <v>25</v>
      </c>
      <c r="V129" s="4"/>
      <c r="W129" s="3">
        <v>6</v>
      </c>
      <c r="X129" s="122"/>
      <c r="Y129" s="122"/>
    </row>
    <row r="130" spans="1:25" s="32" customFormat="1">
      <c r="A130" s="17" t="s">
        <v>1865</v>
      </c>
      <c r="B130" s="191">
        <v>82</v>
      </c>
      <c r="C130" s="122">
        <v>5</v>
      </c>
      <c r="D130" s="19"/>
      <c r="E130" s="122"/>
      <c r="F130" s="122"/>
      <c r="G130" s="122"/>
      <c r="H130" s="122"/>
      <c r="I130" s="122"/>
      <c r="J130" s="122">
        <v>35</v>
      </c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4"/>
      <c r="W130" s="122"/>
      <c r="X130" s="122"/>
      <c r="Y130" s="122"/>
    </row>
    <row r="131" spans="1:25" s="32" customFormat="1">
      <c r="A131" s="124" t="s">
        <v>1866</v>
      </c>
      <c r="B131" s="191">
        <v>84</v>
      </c>
      <c r="C131" s="122">
        <v>5</v>
      </c>
      <c r="D131" s="19"/>
      <c r="E131" s="122"/>
      <c r="F131" s="122"/>
      <c r="G131" s="122">
        <v>8</v>
      </c>
      <c r="H131" s="122">
        <v>75</v>
      </c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>
        <v>45</v>
      </c>
      <c r="U131" s="122"/>
      <c r="V131" s="4"/>
      <c r="W131" s="122"/>
      <c r="X131" s="122">
        <v>2</v>
      </c>
      <c r="Y131" s="122"/>
    </row>
    <row r="132" spans="1:25" s="32" customFormat="1">
      <c r="A132" s="125" t="s">
        <v>1870</v>
      </c>
      <c r="B132" s="191">
        <v>84</v>
      </c>
      <c r="C132" s="122">
        <v>5</v>
      </c>
      <c r="D132" s="19"/>
      <c r="E132" s="122"/>
      <c r="F132" s="122"/>
      <c r="G132" s="122"/>
      <c r="H132" s="122"/>
      <c r="I132" s="122"/>
      <c r="J132" s="122">
        <v>20</v>
      </c>
      <c r="K132" s="122"/>
      <c r="L132" s="122"/>
      <c r="M132" s="122"/>
      <c r="N132" s="122"/>
      <c r="O132" s="122"/>
      <c r="P132" s="122"/>
      <c r="Q132" s="122"/>
      <c r="R132" s="122"/>
      <c r="S132" s="122"/>
      <c r="T132" s="122">
        <v>40</v>
      </c>
      <c r="U132" s="122"/>
      <c r="V132" s="4">
        <v>1</v>
      </c>
      <c r="W132" s="122"/>
      <c r="X132" s="122"/>
      <c r="Y132" s="122"/>
    </row>
    <row r="133" spans="1:25" s="32" customFormat="1">
      <c r="A133" s="124" t="s">
        <v>1868</v>
      </c>
      <c r="B133" s="191">
        <v>84</v>
      </c>
      <c r="C133" s="122">
        <v>5</v>
      </c>
      <c r="D133" s="19"/>
      <c r="E133" s="122">
        <v>2</v>
      </c>
      <c r="F133" s="122"/>
      <c r="G133" s="122"/>
      <c r="H133" s="122">
        <v>110</v>
      </c>
      <c r="I133" s="122">
        <v>3</v>
      </c>
      <c r="J133" s="122"/>
      <c r="K133" s="122"/>
      <c r="L133" s="122">
        <v>6</v>
      </c>
      <c r="M133" s="122"/>
      <c r="N133" s="122"/>
      <c r="O133" s="122"/>
      <c r="P133" s="122"/>
      <c r="Q133" s="122"/>
      <c r="R133" s="122"/>
      <c r="S133" s="122"/>
      <c r="T133" s="122"/>
      <c r="U133" s="122"/>
      <c r="V133" s="4"/>
      <c r="W133" s="122"/>
      <c r="X133" s="122"/>
      <c r="Y133" s="122"/>
    </row>
    <row r="134" spans="1:25" s="32" customFormat="1">
      <c r="A134" s="125" t="s">
        <v>1871</v>
      </c>
      <c r="B134" s="191">
        <v>82</v>
      </c>
      <c r="C134" s="122">
        <v>5</v>
      </c>
      <c r="D134" s="19"/>
      <c r="E134" s="122">
        <v>20</v>
      </c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4"/>
      <c r="W134" s="122"/>
      <c r="X134" s="122"/>
      <c r="Y134" s="122"/>
    </row>
    <row r="135" spans="1:25" s="32" customFormat="1">
      <c r="A135" s="125" t="s">
        <v>1872</v>
      </c>
      <c r="B135" s="191">
        <v>82</v>
      </c>
      <c r="C135" s="122">
        <v>5</v>
      </c>
      <c r="D135" s="19"/>
      <c r="E135" s="122"/>
      <c r="F135" s="122"/>
      <c r="G135" s="122">
        <v>20</v>
      </c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4"/>
      <c r="W135" s="122"/>
      <c r="X135" s="122"/>
      <c r="Y135" s="122"/>
    </row>
    <row r="136" spans="1:25" s="32" customFormat="1">
      <c r="A136" s="124" t="s">
        <v>1869</v>
      </c>
      <c r="B136" s="191">
        <v>81</v>
      </c>
      <c r="C136" s="122">
        <v>5</v>
      </c>
      <c r="D136" s="19"/>
      <c r="E136" s="122">
        <v>6</v>
      </c>
      <c r="F136" s="122">
        <v>6</v>
      </c>
      <c r="G136" s="122">
        <v>6</v>
      </c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4"/>
      <c r="W136" s="122"/>
      <c r="X136" s="122"/>
      <c r="Y136" s="122"/>
    </row>
    <row r="137" spans="1:25" s="32" customFormat="1">
      <c r="A137" s="127" t="s">
        <v>1873</v>
      </c>
      <c r="B137" s="191">
        <v>81</v>
      </c>
      <c r="C137" s="122">
        <v>5</v>
      </c>
      <c r="D137" s="19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>
        <v>4</v>
      </c>
      <c r="S137" s="122"/>
      <c r="T137" s="122"/>
      <c r="U137" s="122"/>
      <c r="V137" s="4"/>
      <c r="W137" s="122"/>
      <c r="X137" s="122"/>
      <c r="Y137" s="122"/>
    </row>
    <row r="138" spans="1:25" s="32" customFormat="1">
      <c r="A138" s="125" t="s">
        <v>1875</v>
      </c>
      <c r="B138" s="191">
        <v>84</v>
      </c>
      <c r="C138" s="122">
        <v>5</v>
      </c>
      <c r="D138" s="19"/>
      <c r="E138" s="122">
        <v>6</v>
      </c>
      <c r="F138" s="122"/>
      <c r="G138" s="122"/>
      <c r="H138" s="122"/>
      <c r="I138" s="122">
        <v>18</v>
      </c>
      <c r="J138" s="122"/>
      <c r="K138" s="122">
        <v>2</v>
      </c>
      <c r="L138" s="122"/>
      <c r="M138" s="122"/>
      <c r="N138" s="122"/>
      <c r="O138" s="122"/>
      <c r="P138" s="122"/>
      <c r="Q138" s="122">
        <v>6</v>
      </c>
      <c r="R138" s="122"/>
      <c r="S138" s="122"/>
      <c r="T138" s="122"/>
      <c r="U138" s="122"/>
      <c r="V138" s="4"/>
      <c r="W138" s="122"/>
      <c r="X138" s="122"/>
      <c r="Y138" s="122"/>
    </row>
    <row r="139" spans="1:25" s="32" customFormat="1">
      <c r="A139" s="124" t="s">
        <v>1876</v>
      </c>
      <c r="B139" s="191">
        <v>81</v>
      </c>
      <c r="C139" s="122">
        <v>5</v>
      </c>
      <c r="D139" s="5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4">
        <v>2</v>
      </c>
      <c r="W139" s="122"/>
      <c r="X139" s="122"/>
      <c r="Y139" s="122"/>
    </row>
    <row r="140" spans="1:25" s="32" customFormat="1">
      <c r="A140" s="124" t="s">
        <v>1878</v>
      </c>
      <c r="B140" s="191">
        <v>81</v>
      </c>
      <c r="C140" s="122">
        <v>5</v>
      </c>
      <c r="D140" s="5"/>
      <c r="E140" s="122"/>
      <c r="F140" s="122"/>
      <c r="G140" s="122">
        <v>8</v>
      </c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4"/>
      <c r="W140" s="122"/>
      <c r="X140" s="122"/>
      <c r="Y140" s="122"/>
    </row>
    <row r="141" spans="1:25" s="32" customFormat="1">
      <c r="A141" s="125" t="s">
        <v>1879</v>
      </c>
      <c r="B141" s="191">
        <v>85</v>
      </c>
      <c r="C141" s="122">
        <v>5</v>
      </c>
      <c r="D141" s="19"/>
      <c r="E141" s="122"/>
      <c r="F141" s="122"/>
      <c r="G141" s="122">
        <v>10</v>
      </c>
      <c r="H141" s="122"/>
      <c r="I141" s="122"/>
      <c r="J141" s="122"/>
      <c r="K141" s="122">
        <v>2</v>
      </c>
      <c r="L141" s="122">
        <v>3</v>
      </c>
      <c r="M141" s="122"/>
      <c r="N141" s="122"/>
      <c r="O141" s="122"/>
      <c r="P141" s="122"/>
      <c r="Q141" s="122"/>
      <c r="R141" s="122"/>
      <c r="S141" s="122"/>
      <c r="T141" s="122">
        <v>40</v>
      </c>
      <c r="U141" s="122"/>
      <c r="V141" s="4"/>
      <c r="W141" s="122"/>
      <c r="X141" s="122"/>
      <c r="Y141" s="122"/>
    </row>
    <row r="142" spans="1:25" s="32" customFormat="1">
      <c r="A142" s="125" t="s">
        <v>1880</v>
      </c>
      <c r="B142" s="191">
        <v>82</v>
      </c>
      <c r="C142" s="122">
        <v>5</v>
      </c>
      <c r="D142" s="19"/>
      <c r="E142" s="122"/>
      <c r="F142" s="122">
        <v>20</v>
      </c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4"/>
      <c r="W142" s="122"/>
      <c r="X142" s="122"/>
      <c r="Y142" s="122"/>
    </row>
    <row r="143" spans="1:25" s="32" customFormat="1">
      <c r="A143" s="124" t="s">
        <v>1958</v>
      </c>
      <c r="B143" s="191">
        <v>83</v>
      </c>
      <c r="C143" s="122">
        <v>5</v>
      </c>
      <c r="D143" s="19"/>
      <c r="E143" s="122"/>
      <c r="F143" s="122"/>
      <c r="G143" s="122"/>
      <c r="H143" s="122">
        <v>50</v>
      </c>
      <c r="I143" s="122">
        <v>22</v>
      </c>
      <c r="J143" s="122"/>
      <c r="K143" s="122"/>
      <c r="L143" s="122"/>
      <c r="M143" s="122"/>
      <c r="N143" s="122">
        <v>2</v>
      </c>
      <c r="O143" s="122"/>
      <c r="P143" s="122"/>
      <c r="Q143" s="122"/>
      <c r="R143" s="122"/>
      <c r="S143" s="122"/>
      <c r="T143" s="122"/>
      <c r="U143" s="122"/>
      <c r="V143" s="4"/>
      <c r="W143" s="122"/>
      <c r="X143" s="122"/>
      <c r="Y143" s="122"/>
    </row>
    <row r="144" spans="1:25" s="32" customFormat="1">
      <c r="A144" s="124" t="s">
        <v>1881</v>
      </c>
      <c r="B144" s="191">
        <v>83</v>
      </c>
      <c r="C144" s="122">
        <v>5</v>
      </c>
      <c r="D144" s="19"/>
      <c r="E144" s="122">
        <v>2</v>
      </c>
      <c r="F144" s="122">
        <v>2</v>
      </c>
      <c r="G144" s="122">
        <v>2</v>
      </c>
      <c r="H144" s="122"/>
      <c r="I144" s="122"/>
      <c r="J144" s="122"/>
      <c r="K144" s="122"/>
      <c r="L144" s="122"/>
      <c r="M144" s="122">
        <v>6</v>
      </c>
      <c r="N144" s="122"/>
      <c r="O144" s="122">
        <v>6</v>
      </c>
      <c r="P144" s="122"/>
      <c r="Q144" s="122"/>
      <c r="R144" s="122"/>
      <c r="S144" s="122"/>
      <c r="T144" s="122"/>
      <c r="U144" s="122"/>
      <c r="V144" s="4"/>
      <c r="W144" s="122"/>
      <c r="X144" s="122"/>
      <c r="Y144" s="122"/>
    </row>
    <row r="145" spans="1:25" s="32" customFormat="1">
      <c r="A145" s="125" t="s">
        <v>1882</v>
      </c>
      <c r="B145" s="191">
        <v>85</v>
      </c>
      <c r="C145" s="122">
        <v>5</v>
      </c>
      <c r="D145" s="19"/>
      <c r="E145" s="122"/>
      <c r="F145" s="122">
        <v>6</v>
      </c>
      <c r="G145" s="122"/>
      <c r="H145" s="122">
        <v>55</v>
      </c>
      <c r="I145" s="122">
        <v>15</v>
      </c>
      <c r="J145" s="122"/>
      <c r="K145" s="122"/>
      <c r="L145" s="122"/>
      <c r="M145" s="122"/>
      <c r="N145" s="122"/>
      <c r="O145" s="122"/>
      <c r="P145" s="122"/>
      <c r="Q145" s="122"/>
      <c r="R145" s="122">
        <v>4</v>
      </c>
      <c r="S145" s="122"/>
      <c r="T145" s="122"/>
      <c r="U145" s="122"/>
      <c r="V145" s="4"/>
      <c r="W145" s="122"/>
      <c r="X145" s="122"/>
      <c r="Y145" s="122"/>
    </row>
    <row r="146" spans="1:25" s="32" customFormat="1">
      <c r="A146" s="125" t="s">
        <v>1863</v>
      </c>
      <c r="B146" s="191">
        <v>85</v>
      </c>
      <c r="C146" s="122">
        <v>5</v>
      </c>
      <c r="D146" s="19"/>
      <c r="E146" s="122">
        <v>8</v>
      </c>
      <c r="F146" s="122"/>
      <c r="G146" s="122"/>
      <c r="H146" s="122">
        <v>180</v>
      </c>
      <c r="I146" s="122">
        <v>5</v>
      </c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>
        <v>100</v>
      </c>
      <c r="U146" s="122"/>
      <c r="V146" s="4"/>
      <c r="W146" s="122"/>
      <c r="X146" s="122"/>
      <c r="Y146" s="122"/>
    </row>
    <row r="147" spans="1:25" s="32" customFormat="1">
      <c r="A147" s="124" t="s">
        <v>1883</v>
      </c>
      <c r="B147" s="191">
        <v>83</v>
      </c>
      <c r="C147" s="122">
        <v>5</v>
      </c>
      <c r="D147" s="19"/>
      <c r="E147" s="122"/>
      <c r="F147" s="122"/>
      <c r="G147" s="122">
        <v>8</v>
      </c>
      <c r="H147" s="122"/>
      <c r="I147" s="122"/>
      <c r="J147" s="122">
        <v>25</v>
      </c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4"/>
      <c r="W147" s="122"/>
      <c r="X147" s="122"/>
      <c r="Y147" s="122"/>
    </row>
    <row r="148" spans="1:25" s="32" customFormat="1">
      <c r="A148" s="124" t="s">
        <v>1884</v>
      </c>
      <c r="B148" s="191">
        <v>83</v>
      </c>
      <c r="C148" s="122">
        <v>5</v>
      </c>
      <c r="D148" s="19"/>
      <c r="E148" s="122"/>
      <c r="F148" s="122"/>
      <c r="G148" s="122"/>
      <c r="H148" s="122">
        <v>65</v>
      </c>
      <c r="I148" s="122"/>
      <c r="J148" s="122"/>
      <c r="K148" s="122"/>
      <c r="L148" s="122">
        <v>5</v>
      </c>
      <c r="M148" s="122"/>
      <c r="N148" s="122"/>
      <c r="O148" s="122"/>
      <c r="P148" s="122"/>
      <c r="Q148" s="122"/>
      <c r="R148" s="122"/>
      <c r="S148" s="122"/>
      <c r="T148" s="122">
        <v>50</v>
      </c>
      <c r="U148" s="122">
        <v>20</v>
      </c>
      <c r="V148" s="4"/>
      <c r="W148" s="122"/>
      <c r="X148" s="122"/>
      <c r="Y148" s="122"/>
    </row>
    <row r="149" spans="1:25" s="32" customFormat="1">
      <c r="A149" s="125" t="s">
        <v>1885</v>
      </c>
      <c r="B149" s="191">
        <v>87</v>
      </c>
      <c r="C149" s="122">
        <v>5</v>
      </c>
      <c r="D149" s="19"/>
      <c r="E149" s="122"/>
      <c r="F149" s="122"/>
      <c r="G149" s="122"/>
      <c r="H149" s="122">
        <v>60</v>
      </c>
      <c r="I149" s="122"/>
      <c r="J149" s="122">
        <v>35</v>
      </c>
      <c r="K149" s="122"/>
      <c r="L149" s="122">
        <v>2</v>
      </c>
      <c r="M149" s="122"/>
      <c r="N149" s="122"/>
      <c r="O149" s="122">
        <v>5</v>
      </c>
      <c r="P149" s="122"/>
      <c r="Q149" s="122"/>
      <c r="R149" s="122"/>
      <c r="S149" s="122"/>
      <c r="T149" s="122"/>
      <c r="U149" s="122"/>
      <c r="V149" s="4"/>
      <c r="W149" s="122"/>
      <c r="X149" s="122"/>
      <c r="Y149" s="122"/>
    </row>
    <row r="150" spans="1:25" s="32" customFormat="1">
      <c r="A150" s="125" t="s">
        <v>1891</v>
      </c>
      <c r="B150" s="191">
        <v>88</v>
      </c>
      <c r="C150" s="135">
        <v>5</v>
      </c>
      <c r="D150" s="5"/>
      <c r="E150" s="135"/>
      <c r="F150" s="135"/>
      <c r="G150" s="135"/>
      <c r="H150" s="135">
        <v>180</v>
      </c>
      <c r="I150" s="135">
        <v>5</v>
      </c>
      <c r="J150" s="135"/>
      <c r="K150" s="135">
        <v>7</v>
      </c>
      <c r="L150" s="135"/>
      <c r="M150" s="135"/>
      <c r="N150" s="135"/>
      <c r="O150" s="135"/>
      <c r="P150" s="135"/>
      <c r="Q150" s="135"/>
      <c r="R150" s="135"/>
      <c r="S150" s="135"/>
      <c r="T150" s="135"/>
      <c r="U150" s="135"/>
      <c r="V150" s="4"/>
      <c r="W150" s="135"/>
      <c r="X150" s="135"/>
      <c r="Y150" s="135"/>
    </row>
    <row r="151" spans="1:25" s="32" customFormat="1">
      <c r="A151" s="124" t="s">
        <v>1894</v>
      </c>
      <c r="B151" s="191">
        <v>87</v>
      </c>
      <c r="C151" s="135">
        <v>5</v>
      </c>
      <c r="D151" s="5"/>
      <c r="E151" s="135"/>
      <c r="F151" s="135"/>
      <c r="G151" s="135"/>
      <c r="H151" s="135">
        <v>350</v>
      </c>
      <c r="I151" s="135"/>
      <c r="J151" s="135"/>
      <c r="K151" s="135"/>
      <c r="L151" s="135"/>
      <c r="M151" s="135"/>
      <c r="N151" s="135"/>
      <c r="O151" s="135"/>
      <c r="P151" s="135"/>
      <c r="Q151" s="135"/>
      <c r="R151" s="135"/>
      <c r="S151" s="135"/>
      <c r="T151" s="135"/>
      <c r="U151" s="135"/>
      <c r="V151" s="4"/>
      <c r="W151" s="135"/>
      <c r="X151" s="135"/>
      <c r="Y151" s="135"/>
    </row>
    <row r="152" spans="1:25" s="32" customFormat="1">
      <c r="A152" s="17" t="s">
        <v>2178</v>
      </c>
      <c r="B152" s="191">
        <v>87</v>
      </c>
      <c r="C152" s="135">
        <v>5</v>
      </c>
      <c r="D152" s="5"/>
      <c r="E152" s="135"/>
      <c r="F152" s="135"/>
      <c r="G152" s="135"/>
      <c r="H152" s="135"/>
      <c r="I152" s="135"/>
      <c r="J152" s="135"/>
      <c r="K152" s="135">
        <v>10</v>
      </c>
      <c r="L152" s="135"/>
      <c r="M152" s="135"/>
      <c r="N152" s="135"/>
      <c r="O152" s="135"/>
      <c r="P152" s="135"/>
      <c r="Q152" s="135"/>
      <c r="R152" s="135"/>
      <c r="S152" s="135"/>
      <c r="T152" s="135"/>
      <c r="U152" s="135"/>
      <c r="V152" s="4"/>
      <c r="W152" s="135"/>
      <c r="X152" s="135"/>
      <c r="Y152" s="135"/>
    </row>
    <row r="153" spans="1:25" s="32" customFormat="1">
      <c r="A153" s="125" t="s">
        <v>1912</v>
      </c>
      <c r="B153" s="191">
        <v>87</v>
      </c>
      <c r="C153" s="135">
        <v>5</v>
      </c>
      <c r="D153" s="5"/>
      <c r="E153" s="135">
        <v>5</v>
      </c>
      <c r="F153" s="135">
        <v>3</v>
      </c>
      <c r="G153" s="135">
        <v>3</v>
      </c>
      <c r="H153" s="135"/>
      <c r="I153" s="135"/>
      <c r="J153" s="135"/>
      <c r="K153" s="135">
        <v>6</v>
      </c>
      <c r="L153" s="135"/>
      <c r="M153" s="135"/>
      <c r="N153" s="135"/>
      <c r="O153" s="135"/>
      <c r="P153" s="135"/>
      <c r="Q153" s="135"/>
      <c r="R153" s="135"/>
      <c r="S153" s="135"/>
      <c r="T153" s="135"/>
      <c r="U153" s="135"/>
      <c r="V153" s="4"/>
      <c r="W153" s="135"/>
      <c r="X153" s="135"/>
      <c r="Y153" s="135"/>
    </row>
    <row r="154" spans="1:25" s="32" customFormat="1">
      <c r="A154" s="125" t="s">
        <v>1925</v>
      </c>
      <c r="B154" s="191">
        <v>89</v>
      </c>
      <c r="C154" s="135">
        <v>5</v>
      </c>
      <c r="D154" s="5"/>
      <c r="E154" s="135">
        <v>2</v>
      </c>
      <c r="F154" s="135">
        <v>2</v>
      </c>
      <c r="G154" s="135">
        <v>2</v>
      </c>
      <c r="H154" s="135"/>
      <c r="I154" s="135">
        <v>20</v>
      </c>
      <c r="J154" s="135"/>
      <c r="K154" s="135"/>
      <c r="L154" s="135"/>
      <c r="M154" s="135"/>
      <c r="N154" s="135"/>
      <c r="O154" s="135"/>
      <c r="P154" s="135"/>
      <c r="Q154" s="135"/>
      <c r="R154" s="135"/>
      <c r="S154" s="135"/>
      <c r="T154" s="135">
        <v>100</v>
      </c>
      <c r="U154" s="135"/>
      <c r="V154" s="4"/>
      <c r="W154" s="135"/>
      <c r="X154" s="135"/>
      <c r="Y154" s="135"/>
    </row>
    <row r="155" spans="1:25" s="32" customFormat="1">
      <c r="A155" s="124" t="s">
        <v>1929</v>
      </c>
      <c r="B155" s="191">
        <v>86</v>
      </c>
      <c r="C155" s="135">
        <v>5</v>
      </c>
      <c r="D155" s="5"/>
      <c r="E155" s="135"/>
      <c r="F155" s="135"/>
      <c r="G155" s="135"/>
      <c r="H155" s="135"/>
      <c r="I155" s="135">
        <v>15</v>
      </c>
      <c r="J155" s="135"/>
      <c r="K155" s="135"/>
      <c r="L155" s="135"/>
      <c r="M155" s="135">
        <v>4</v>
      </c>
      <c r="N155" s="135"/>
      <c r="O155" s="135"/>
      <c r="P155" s="135"/>
      <c r="Q155" s="135"/>
      <c r="R155" s="135"/>
      <c r="S155" s="135"/>
      <c r="T155" s="135"/>
      <c r="U155" s="135"/>
      <c r="V155" s="4"/>
      <c r="W155" s="135"/>
      <c r="X155" s="135"/>
      <c r="Y155" s="135"/>
    </row>
    <row r="156" spans="1:25" s="32" customFormat="1">
      <c r="A156" s="124" t="s">
        <v>1938</v>
      </c>
      <c r="B156" s="191">
        <v>82</v>
      </c>
      <c r="C156" s="135">
        <v>5</v>
      </c>
      <c r="D156" s="5"/>
      <c r="E156" s="135"/>
      <c r="F156" s="135"/>
      <c r="G156" s="135"/>
      <c r="H156" s="135"/>
      <c r="I156" s="135"/>
      <c r="J156" s="135"/>
      <c r="K156" s="135"/>
      <c r="L156" s="135">
        <v>10</v>
      </c>
      <c r="M156" s="135"/>
      <c r="N156" s="135"/>
      <c r="O156" s="135"/>
      <c r="P156" s="135"/>
      <c r="Q156" s="135"/>
      <c r="R156" s="135"/>
      <c r="S156" s="135"/>
      <c r="T156" s="135"/>
      <c r="U156" s="135"/>
      <c r="V156" s="4"/>
      <c r="W156" s="135"/>
      <c r="X156" s="135"/>
      <c r="Y156" s="135"/>
    </row>
    <row r="157" spans="1:25" s="32" customFormat="1">
      <c r="A157" s="124" t="s">
        <v>1962</v>
      </c>
      <c r="B157" s="191">
        <v>81</v>
      </c>
      <c r="C157" s="135">
        <v>5</v>
      </c>
      <c r="D157" s="19"/>
      <c r="E157" s="135"/>
      <c r="F157" s="135"/>
      <c r="G157" s="135"/>
      <c r="H157" s="135"/>
      <c r="I157" s="135">
        <v>31</v>
      </c>
      <c r="J157" s="135"/>
      <c r="K157" s="135"/>
      <c r="L157" s="135"/>
      <c r="M157" s="135"/>
      <c r="N157" s="135"/>
      <c r="O157" s="135"/>
      <c r="P157" s="135"/>
      <c r="Q157" s="135"/>
      <c r="R157" s="135"/>
      <c r="S157" s="135"/>
      <c r="T157" s="135"/>
      <c r="U157" s="135"/>
      <c r="V157" s="4"/>
      <c r="W157" s="135"/>
      <c r="X157" s="135"/>
      <c r="Y157" s="135"/>
    </row>
    <row r="158" spans="1:25" s="32" customFormat="1">
      <c r="A158" s="125" t="s">
        <v>1971</v>
      </c>
      <c r="B158" s="191">
        <v>89</v>
      </c>
      <c r="C158" s="135">
        <v>5</v>
      </c>
      <c r="D158" s="5"/>
      <c r="E158" s="135">
        <v>8</v>
      </c>
      <c r="F158" s="135"/>
      <c r="G158" s="135"/>
      <c r="H158" s="135"/>
      <c r="I158" s="135">
        <v>17</v>
      </c>
      <c r="J158" s="135"/>
      <c r="K158" s="135"/>
      <c r="L158" s="135"/>
      <c r="M158" s="135"/>
      <c r="N158" s="135"/>
      <c r="O158" s="135"/>
      <c r="P158" s="135"/>
      <c r="Q158" s="135"/>
      <c r="R158" s="135"/>
      <c r="S158" s="135"/>
      <c r="T158" s="135">
        <v>35</v>
      </c>
      <c r="U158" s="135">
        <v>10</v>
      </c>
      <c r="V158" s="4"/>
      <c r="W158" s="135"/>
      <c r="X158" s="135"/>
      <c r="Y158" s="135"/>
    </row>
    <row r="159" spans="1:25" s="32" customFormat="1">
      <c r="A159" s="125" t="s">
        <v>1976</v>
      </c>
      <c r="B159" s="191">
        <v>87</v>
      </c>
      <c r="C159" s="135">
        <v>5</v>
      </c>
      <c r="D159" s="5"/>
      <c r="E159" s="135"/>
      <c r="F159" s="135"/>
      <c r="G159" s="135"/>
      <c r="H159" s="135"/>
      <c r="I159" s="135">
        <v>32</v>
      </c>
      <c r="J159" s="135"/>
      <c r="K159" s="135"/>
      <c r="L159" s="135"/>
      <c r="M159" s="135"/>
      <c r="N159" s="135"/>
      <c r="O159" s="135"/>
      <c r="P159" s="135"/>
      <c r="Q159" s="135"/>
      <c r="R159" s="135"/>
      <c r="S159" s="135"/>
      <c r="T159" s="135"/>
      <c r="U159" s="135"/>
      <c r="V159" s="4"/>
      <c r="W159" s="135"/>
      <c r="X159" s="135"/>
      <c r="Y159" s="135"/>
    </row>
    <row r="160" spans="1:25" s="32" customFormat="1">
      <c r="A160" s="125" t="s">
        <v>1993</v>
      </c>
      <c r="B160" s="191">
        <v>88</v>
      </c>
      <c r="C160" s="135">
        <v>5</v>
      </c>
      <c r="D160" s="5"/>
      <c r="E160" s="135"/>
      <c r="F160" s="135"/>
      <c r="G160" s="135"/>
      <c r="H160" s="135"/>
      <c r="I160" s="135"/>
      <c r="J160" s="135">
        <v>25</v>
      </c>
      <c r="K160" s="135">
        <v>2</v>
      </c>
      <c r="L160" s="135">
        <v>2</v>
      </c>
      <c r="M160" s="135"/>
      <c r="N160" s="135"/>
      <c r="O160" s="135"/>
      <c r="P160" s="135">
        <v>2</v>
      </c>
      <c r="Q160" s="135"/>
      <c r="R160" s="135"/>
      <c r="S160" s="135"/>
      <c r="T160" s="135"/>
      <c r="U160" s="135"/>
      <c r="V160" s="4"/>
      <c r="W160" s="135"/>
      <c r="X160" s="135"/>
      <c r="Y160" s="135"/>
    </row>
    <row r="161" spans="1:25" s="32" customFormat="1">
      <c r="A161" s="126" t="s">
        <v>2180</v>
      </c>
      <c r="B161" s="194">
        <v>87</v>
      </c>
      <c r="C161" s="194">
        <v>87</v>
      </c>
      <c r="D161" s="34"/>
      <c r="E161" s="194"/>
      <c r="F161" s="194"/>
      <c r="G161" s="194"/>
      <c r="H161" s="194"/>
      <c r="I161" s="194"/>
      <c r="J161" s="194">
        <v>38</v>
      </c>
      <c r="K161" s="194"/>
      <c r="L161" s="194"/>
      <c r="M161" s="194"/>
      <c r="N161" s="194"/>
      <c r="O161" s="194"/>
      <c r="P161" s="194"/>
      <c r="Q161" s="194"/>
      <c r="R161" s="194"/>
      <c r="S161" s="194"/>
      <c r="T161" s="194"/>
      <c r="U161" s="194"/>
      <c r="V161" s="4"/>
      <c r="W161" s="194"/>
      <c r="X161" s="194"/>
      <c r="Y161" s="194"/>
    </row>
    <row r="162" spans="1:25">
      <c r="A162" s="8"/>
    </row>
    <row r="163" spans="1:25">
      <c r="A163" s="8"/>
    </row>
    <row r="164" spans="1:25">
      <c r="A164" s="8"/>
    </row>
    <row r="165" spans="1:25">
      <c r="A165" s="8"/>
    </row>
    <row r="166" spans="1:25">
      <c r="A166" s="8"/>
    </row>
    <row r="167" spans="1:25">
      <c r="A167" s="8"/>
    </row>
    <row r="168" spans="1:25">
      <c r="A168" s="8"/>
    </row>
    <row r="169" spans="1:25">
      <c r="A169" s="8"/>
    </row>
    <row r="170" spans="1:25">
      <c r="A170" s="8"/>
    </row>
    <row r="171" spans="1:25">
      <c r="A171" s="8"/>
    </row>
  </sheetData>
  <sheetProtection password="8926" sheet="1" objects="1" scenarios="1" selectLockedCells="1" selectUnlockedCells="1"/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A171"/>
  <sheetViews>
    <sheetView zoomScale="80" zoomScaleNormal="80" workbookViewId="0">
      <pane xSplit="6" ySplit="1" topLeftCell="BQ2" activePane="bottomRight" state="frozen"/>
      <selection activeCell="S56" sqref="S56"/>
      <selection pane="topRight" activeCell="S56" sqref="S56"/>
      <selection pane="bottomLeft" activeCell="S56" sqref="S56"/>
      <selection pane="bottomRight" activeCell="CF33" sqref="CF33"/>
    </sheetView>
  </sheetViews>
  <sheetFormatPr defaultRowHeight="13.5" outlineLevelCol="1"/>
  <cols>
    <col min="1" max="5" width="11.625" style="2" hidden="1" customWidth="1"/>
    <col min="6" max="6" width="9" style="13" hidden="1" customWidth="1" outlineLevel="1"/>
    <col min="7" max="7" width="12.5" style="11" hidden="1" customWidth="1" outlineLevel="1"/>
    <col min="8" max="11" width="12.5" style="2" hidden="1" customWidth="1" outlineLevel="1"/>
    <col min="12" max="12" width="12.5" style="12" hidden="1" customWidth="1" outlineLevel="1"/>
    <col min="13" max="13" width="12.5" style="11" hidden="1" customWidth="1" outlineLevel="1"/>
    <col min="14" max="17" width="12.5" style="2" hidden="1" customWidth="1" outlineLevel="1"/>
    <col min="18" max="18" width="12.5" style="12" hidden="1" customWidth="1" outlineLevel="1"/>
    <col min="19" max="19" width="12.5" style="11" hidden="1" customWidth="1" outlineLevel="1"/>
    <col min="20" max="23" width="12.5" style="2" hidden="1" customWidth="1" outlineLevel="1"/>
    <col min="24" max="24" width="12.5" style="12" hidden="1" customWidth="1" outlineLevel="1"/>
    <col min="25" max="25" width="12.5" style="11" hidden="1" customWidth="1" outlineLevel="1"/>
    <col min="26" max="29" width="12.5" style="2" hidden="1" customWidth="1" outlineLevel="1"/>
    <col min="30" max="30" width="12.5" style="12" hidden="1" customWidth="1" outlineLevel="1"/>
    <col min="31" max="31" width="12.5" style="11" hidden="1" customWidth="1" outlineLevel="1"/>
    <col min="32" max="35" width="12.5" style="2" hidden="1" customWidth="1" outlineLevel="1"/>
    <col min="36" max="36" width="12.5" style="12" hidden="1" customWidth="1" outlineLevel="1"/>
    <col min="37" max="37" width="12.5" style="11" hidden="1" customWidth="1" outlineLevel="1"/>
    <col min="38" max="41" width="12.5" style="2" hidden="1" customWidth="1" outlineLevel="1"/>
    <col min="42" max="42" width="12.5" style="12" hidden="1" customWidth="1" outlineLevel="1"/>
    <col min="43" max="43" width="12.5" style="11" hidden="1" customWidth="1" outlineLevel="1"/>
    <col min="44" max="47" width="12.5" style="2" hidden="1" customWidth="1" outlineLevel="1"/>
    <col min="48" max="48" width="12.5" style="12" hidden="1" customWidth="1" outlineLevel="1"/>
    <col min="49" max="49" width="12.5" style="11" hidden="1" customWidth="1" outlineLevel="1"/>
    <col min="50" max="53" width="12.5" style="2" hidden="1" customWidth="1" outlineLevel="1"/>
    <col min="54" max="54" width="12.5" style="12" hidden="1" customWidth="1" outlineLevel="1"/>
    <col min="55" max="55" width="12.5" style="11" hidden="1" customWidth="1" outlineLevel="1"/>
    <col min="56" max="59" width="12.5" style="2" hidden="1" customWidth="1" outlineLevel="1"/>
    <col min="60" max="60" width="12.5" style="12" hidden="1" customWidth="1" outlineLevel="1"/>
    <col min="61" max="61" width="12.5" style="11" hidden="1" customWidth="1" outlineLevel="1"/>
    <col min="62" max="65" width="12.5" style="2" hidden="1" customWidth="1" outlineLevel="1"/>
    <col min="66" max="66" width="12.5" style="12" hidden="1" customWidth="1" outlineLevel="1"/>
    <col min="67" max="67" width="12.5" style="11" hidden="1" customWidth="1" outlineLevel="1"/>
    <col min="68" max="71" width="12.5" style="32" hidden="1" customWidth="1" outlineLevel="1"/>
    <col min="72" max="72" width="12.5" style="12" hidden="1" customWidth="1" outlineLevel="1"/>
    <col min="73" max="73" width="12.5" style="11" hidden="1" customWidth="1" outlineLevel="1"/>
    <col min="74" max="77" width="12.5" style="32" hidden="1" customWidth="1" outlineLevel="1"/>
    <col min="78" max="78" width="12.5" style="12" hidden="1" customWidth="1" outlineLevel="1"/>
    <col min="79" max="79" width="9" style="1" collapsed="1"/>
    <col min="80" max="16384" width="9" style="1"/>
  </cols>
  <sheetData>
    <row r="1" spans="1:78" ht="15" thickTop="1" thickBot="1">
      <c r="A1" s="240" t="s">
        <v>1042</v>
      </c>
      <c r="B1" s="240"/>
      <c r="C1" s="240"/>
      <c r="D1" s="240"/>
      <c r="E1" s="240"/>
      <c r="F1" s="21" t="s">
        <v>208</v>
      </c>
      <c r="G1" s="243" t="s">
        <v>228</v>
      </c>
      <c r="H1" s="244"/>
      <c r="I1" s="244"/>
      <c r="J1" s="244"/>
      <c r="K1" s="244"/>
      <c r="L1" s="245"/>
      <c r="M1" s="246" t="s">
        <v>209</v>
      </c>
      <c r="N1" s="247"/>
      <c r="O1" s="247"/>
      <c r="P1" s="247"/>
      <c r="Q1" s="247"/>
      <c r="R1" s="248"/>
      <c r="S1" s="239" t="s">
        <v>210</v>
      </c>
      <c r="T1" s="239"/>
      <c r="U1" s="239"/>
      <c r="V1" s="239"/>
      <c r="W1" s="239"/>
      <c r="X1" s="242"/>
      <c r="Y1" s="241" t="s">
        <v>211</v>
      </c>
      <c r="Z1" s="239"/>
      <c r="AA1" s="239"/>
      <c r="AB1" s="239"/>
      <c r="AC1" s="239"/>
      <c r="AD1" s="242"/>
      <c r="AE1" s="241" t="s">
        <v>212</v>
      </c>
      <c r="AF1" s="239"/>
      <c r="AG1" s="239"/>
      <c r="AH1" s="239"/>
      <c r="AI1" s="239"/>
      <c r="AJ1" s="242"/>
      <c r="AK1" s="241" t="s">
        <v>213</v>
      </c>
      <c r="AL1" s="239"/>
      <c r="AM1" s="239"/>
      <c r="AN1" s="239"/>
      <c r="AO1" s="239"/>
      <c r="AP1" s="242"/>
      <c r="AQ1" s="241" t="s">
        <v>214</v>
      </c>
      <c r="AR1" s="239"/>
      <c r="AS1" s="239"/>
      <c r="AT1" s="239"/>
      <c r="AU1" s="239"/>
      <c r="AV1" s="242"/>
      <c r="AW1" s="241" t="s">
        <v>215</v>
      </c>
      <c r="AX1" s="239"/>
      <c r="AY1" s="239"/>
      <c r="AZ1" s="239"/>
      <c r="BA1" s="239"/>
      <c r="BB1" s="242"/>
      <c r="BC1" s="241" t="s">
        <v>216</v>
      </c>
      <c r="BD1" s="239"/>
      <c r="BE1" s="239"/>
      <c r="BF1" s="239"/>
      <c r="BG1" s="239"/>
      <c r="BH1" s="242"/>
      <c r="BI1" s="241" t="s">
        <v>217</v>
      </c>
      <c r="BJ1" s="239"/>
      <c r="BK1" s="239"/>
      <c r="BL1" s="239"/>
      <c r="BM1" s="239"/>
      <c r="BN1" s="242"/>
      <c r="BO1" s="238" t="s">
        <v>1861</v>
      </c>
      <c r="BP1" s="239"/>
      <c r="BQ1" s="239"/>
      <c r="BR1" s="239"/>
      <c r="BS1" s="239"/>
      <c r="BT1" s="239"/>
      <c r="BU1" s="235" t="s">
        <v>1862</v>
      </c>
      <c r="BV1" s="236"/>
      <c r="BW1" s="236"/>
      <c r="BX1" s="236"/>
      <c r="BY1" s="236"/>
      <c r="BZ1" s="237"/>
    </row>
    <row r="2" spans="1:78" ht="14.25" thickTop="1">
      <c r="A2" s="27" t="s">
        <v>7</v>
      </c>
      <c r="B2" s="14" t="s">
        <v>28</v>
      </c>
      <c r="C2" s="15" t="s">
        <v>72</v>
      </c>
      <c r="D2" s="17" t="s">
        <v>116</v>
      </c>
      <c r="E2" s="125" t="s">
        <v>1870</v>
      </c>
      <c r="F2" s="23" t="s">
        <v>157</v>
      </c>
      <c r="G2" s="11" t="s">
        <v>253</v>
      </c>
      <c r="H2" s="2" t="s">
        <v>253</v>
      </c>
      <c r="I2" s="2" t="s">
        <v>254</v>
      </c>
      <c r="J2" s="2" t="s">
        <v>254</v>
      </c>
      <c r="K2" s="2" t="s">
        <v>255</v>
      </c>
      <c r="L2" s="12" t="s">
        <v>19</v>
      </c>
      <c r="M2" s="2" t="s">
        <v>258</v>
      </c>
      <c r="N2" s="2" t="s">
        <v>260</v>
      </c>
      <c r="O2" s="2" t="s">
        <v>256</v>
      </c>
      <c r="P2" s="2" t="s">
        <v>257</v>
      </c>
      <c r="Q2" s="2" t="s">
        <v>259</v>
      </c>
      <c r="R2" s="12" t="s">
        <v>261</v>
      </c>
      <c r="S2" s="11" t="s">
        <v>262</v>
      </c>
      <c r="T2" s="2" t="s">
        <v>265</v>
      </c>
      <c r="U2" s="2" t="s">
        <v>263</v>
      </c>
      <c r="V2" s="2" t="s">
        <v>264</v>
      </c>
      <c r="W2" s="2" t="s">
        <v>266</v>
      </c>
      <c r="X2" s="12" t="s">
        <v>261</v>
      </c>
      <c r="Y2" s="11" t="s">
        <v>267</v>
      </c>
      <c r="Z2" s="2" t="s">
        <v>270</v>
      </c>
      <c r="AA2" s="2" t="s">
        <v>268</v>
      </c>
      <c r="AB2" s="2" t="s">
        <v>269</v>
      </c>
      <c r="AC2" s="2" t="s">
        <v>271</v>
      </c>
      <c r="AD2" s="12" t="s">
        <v>272</v>
      </c>
      <c r="AE2" s="11" t="s">
        <v>273</v>
      </c>
      <c r="AF2" s="2" t="s">
        <v>274</v>
      </c>
      <c r="AG2" s="2" t="s">
        <v>275</v>
      </c>
      <c r="AH2" s="2" t="s">
        <v>263</v>
      </c>
      <c r="AI2" s="2" t="s">
        <v>266</v>
      </c>
      <c r="AJ2" s="12" t="s">
        <v>272</v>
      </c>
      <c r="AK2" s="11" t="s">
        <v>276</v>
      </c>
      <c r="AL2" s="2" t="s">
        <v>277</v>
      </c>
      <c r="AM2" s="2" t="s">
        <v>258</v>
      </c>
      <c r="AN2" s="2" t="s">
        <v>278</v>
      </c>
      <c r="AO2" s="2" t="s">
        <v>257</v>
      </c>
      <c r="AP2" s="12" t="s">
        <v>272</v>
      </c>
      <c r="AQ2" s="11" t="s">
        <v>279</v>
      </c>
      <c r="AR2" s="2" t="s">
        <v>274</v>
      </c>
      <c r="AS2" s="2" t="s">
        <v>262</v>
      </c>
      <c r="AT2" s="2" t="s">
        <v>264</v>
      </c>
      <c r="AU2" s="2" t="s">
        <v>266</v>
      </c>
      <c r="AV2" s="12" t="s">
        <v>280</v>
      </c>
      <c r="AW2" s="11" t="s">
        <v>281</v>
      </c>
      <c r="AX2" s="2" t="s">
        <v>282</v>
      </c>
      <c r="AY2" s="2" t="s">
        <v>262</v>
      </c>
      <c r="AZ2" s="2" t="s">
        <v>270</v>
      </c>
      <c r="BA2" s="2" t="s">
        <v>257</v>
      </c>
      <c r="BB2" s="12" t="s">
        <v>280</v>
      </c>
      <c r="BC2" s="11" t="s">
        <v>283</v>
      </c>
      <c r="BD2" s="2" t="s">
        <v>284</v>
      </c>
      <c r="BE2" s="2" t="s">
        <v>273</v>
      </c>
      <c r="BF2" s="2" t="s">
        <v>263</v>
      </c>
      <c r="BG2" s="2" t="s">
        <v>266</v>
      </c>
      <c r="BH2" s="12" t="s">
        <v>280</v>
      </c>
      <c r="BI2" s="11" t="s">
        <v>283</v>
      </c>
      <c r="BJ2" s="2" t="s">
        <v>285</v>
      </c>
      <c r="BK2" s="2" t="s">
        <v>282</v>
      </c>
      <c r="BL2" s="2" t="s">
        <v>274</v>
      </c>
      <c r="BM2" s="2" t="s">
        <v>267</v>
      </c>
      <c r="BN2" s="12" t="s">
        <v>280</v>
      </c>
      <c r="BO2" s="118" t="s">
        <v>1898</v>
      </c>
      <c r="BP2" s="116" t="s">
        <v>1899</v>
      </c>
      <c r="BQ2" s="32" t="s">
        <v>1900</v>
      </c>
      <c r="BR2" s="32" t="s">
        <v>1901</v>
      </c>
      <c r="BS2" s="32" t="s">
        <v>1902</v>
      </c>
      <c r="BT2" s="12" t="s">
        <v>1903</v>
      </c>
      <c r="BU2" s="11" t="s">
        <v>1895</v>
      </c>
      <c r="BV2" s="32" t="s">
        <v>1904</v>
      </c>
      <c r="BW2" s="32" t="s">
        <v>1905</v>
      </c>
      <c r="BX2" s="32" t="s">
        <v>1906</v>
      </c>
      <c r="BY2" s="32" t="s">
        <v>1903</v>
      </c>
      <c r="BZ2" s="139" t="s">
        <v>2094</v>
      </c>
    </row>
    <row r="3" spans="1:78">
      <c r="A3" s="28" t="s">
        <v>219</v>
      </c>
      <c r="B3" s="14" t="s">
        <v>30</v>
      </c>
      <c r="C3" s="15" t="s">
        <v>75</v>
      </c>
      <c r="D3" s="17" t="s">
        <v>117</v>
      </c>
      <c r="E3" s="125" t="s">
        <v>1871</v>
      </c>
      <c r="F3" s="24" t="s">
        <v>158</v>
      </c>
      <c r="G3" s="11" t="s">
        <v>218</v>
      </c>
      <c r="H3" s="2" t="s">
        <v>218</v>
      </c>
      <c r="I3" s="2" t="s">
        <v>19</v>
      </c>
      <c r="J3" s="2" t="s">
        <v>12</v>
      </c>
      <c r="K3" s="2" t="s">
        <v>15</v>
      </c>
      <c r="L3" s="12" t="s">
        <v>16</v>
      </c>
      <c r="M3" s="2" t="s">
        <v>44</v>
      </c>
      <c r="N3" s="2" t="s">
        <v>7</v>
      </c>
      <c r="O3" s="2" t="s">
        <v>11</v>
      </c>
      <c r="P3" s="2" t="s">
        <v>219</v>
      </c>
      <c r="Q3" s="2" t="s">
        <v>22</v>
      </c>
      <c r="R3" s="12" t="s">
        <v>20</v>
      </c>
      <c r="S3" s="11" t="s">
        <v>78</v>
      </c>
      <c r="T3" s="2" t="s">
        <v>69</v>
      </c>
      <c r="U3" s="2" t="s">
        <v>22</v>
      </c>
      <c r="V3" s="2" t="s">
        <v>22</v>
      </c>
      <c r="W3" s="2" t="s">
        <v>27</v>
      </c>
      <c r="X3" s="12" t="s">
        <v>58</v>
      </c>
      <c r="Y3" s="11" t="s">
        <v>221</v>
      </c>
      <c r="Z3" s="2" t="s">
        <v>68</v>
      </c>
      <c r="AA3" s="2" t="s">
        <v>222</v>
      </c>
      <c r="AB3" s="2" t="s">
        <v>223</v>
      </c>
      <c r="AC3" s="2" t="s">
        <v>224</v>
      </c>
      <c r="AD3" s="12" t="s">
        <v>225</v>
      </c>
      <c r="AE3" s="11" t="s">
        <v>107</v>
      </c>
      <c r="AF3" s="2" t="s">
        <v>110</v>
      </c>
      <c r="AG3" s="2" t="s">
        <v>88</v>
      </c>
      <c r="AH3" s="2" t="s">
        <v>226</v>
      </c>
      <c r="AI3" s="2" t="s">
        <v>227</v>
      </c>
      <c r="AJ3" s="12" t="s">
        <v>220</v>
      </c>
      <c r="AK3" s="11" t="s">
        <v>229</v>
      </c>
      <c r="AL3" s="2" t="s">
        <v>230</v>
      </c>
      <c r="AM3" s="2" t="s">
        <v>231</v>
      </c>
      <c r="AN3" s="2" t="s">
        <v>79</v>
      </c>
      <c r="AO3" s="2" t="s">
        <v>69</v>
      </c>
      <c r="AP3" s="12" t="s">
        <v>57</v>
      </c>
      <c r="AQ3" s="11" t="s">
        <v>232</v>
      </c>
      <c r="AR3" s="2" t="s">
        <v>233</v>
      </c>
      <c r="AS3" s="2" t="s">
        <v>221</v>
      </c>
      <c r="AT3" s="2" t="s">
        <v>78</v>
      </c>
      <c r="AU3" s="2" t="s">
        <v>62</v>
      </c>
      <c r="AV3" s="12" t="s">
        <v>234</v>
      </c>
      <c r="AW3" s="11" t="s">
        <v>235</v>
      </c>
      <c r="AX3" s="2" t="s">
        <v>236</v>
      </c>
      <c r="AY3" s="2" t="s">
        <v>237</v>
      </c>
      <c r="AZ3" s="2" t="s">
        <v>65</v>
      </c>
      <c r="BA3" s="2" t="s">
        <v>244</v>
      </c>
      <c r="BB3" s="12" t="s">
        <v>234</v>
      </c>
      <c r="BC3" s="11" t="s">
        <v>238</v>
      </c>
      <c r="BD3" s="2" t="s">
        <v>239</v>
      </c>
      <c r="BE3" s="2" t="s">
        <v>230</v>
      </c>
      <c r="BF3" s="2" t="s">
        <v>240</v>
      </c>
      <c r="BG3" s="2" t="s">
        <v>79</v>
      </c>
      <c r="BH3" s="12" t="s">
        <v>234</v>
      </c>
      <c r="BI3" s="11" t="s">
        <v>241</v>
      </c>
      <c r="BJ3" s="2" t="s">
        <v>242</v>
      </c>
      <c r="BK3" s="2" t="s">
        <v>243</v>
      </c>
      <c r="BL3" s="2" t="s">
        <v>221</v>
      </c>
      <c r="BM3" s="2" t="s">
        <v>69</v>
      </c>
      <c r="BN3" s="12" t="s">
        <v>234</v>
      </c>
      <c r="BO3" s="118" t="s">
        <v>1863</v>
      </c>
      <c r="BP3" s="116" t="s">
        <v>1886</v>
      </c>
      <c r="BQ3" s="32" t="s">
        <v>1887</v>
      </c>
      <c r="BR3" s="32" t="s">
        <v>360</v>
      </c>
      <c r="BS3" s="32" t="s">
        <v>232</v>
      </c>
      <c r="BT3" s="12" t="s">
        <v>1888</v>
      </c>
      <c r="BU3" s="11" t="s">
        <v>1889</v>
      </c>
      <c r="BV3" s="32" t="s">
        <v>1868</v>
      </c>
      <c r="BW3" s="32" t="s">
        <v>1890</v>
      </c>
      <c r="BX3" s="32" t="s">
        <v>2177</v>
      </c>
      <c r="BY3" s="32" t="s">
        <v>1888</v>
      </c>
      <c r="BZ3" s="139" t="s">
        <v>2094</v>
      </c>
    </row>
    <row r="4" spans="1:78">
      <c r="A4" s="28" t="s">
        <v>8</v>
      </c>
      <c r="B4" s="14" t="s">
        <v>31</v>
      </c>
      <c r="C4" s="15" t="s">
        <v>76</v>
      </c>
      <c r="D4" s="17" t="s">
        <v>118</v>
      </c>
      <c r="E4" s="125" t="s">
        <v>1872</v>
      </c>
      <c r="F4" s="24" t="s">
        <v>159</v>
      </c>
      <c r="G4" s="11" t="s">
        <v>286</v>
      </c>
      <c r="H4" s="2" t="s">
        <v>286</v>
      </c>
      <c r="I4" s="2" t="s">
        <v>287</v>
      </c>
      <c r="J4" s="2" t="s">
        <v>287</v>
      </c>
      <c r="K4" s="2" t="s">
        <v>15</v>
      </c>
      <c r="L4" s="12" t="s">
        <v>16</v>
      </c>
      <c r="M4" s="2" t="s">
        <v>289</v>
      </c>
      <c r="N4" s="2" t="s">
        <v>288</v>
      </c>
      <c r="O4" s="2" t="s">
        <v>288</v>
      </c>
      <c r="P4" s="2" t="s">
        <v>290</v>
      </c>
      <c r="Q4" s="2" t="s">
        <v>291</v>
      </c>
      <c r="R4" s="12" t="s">
        <v>20</v>
      </c>
      <c r="S4" s="11" t="s">
        <v>292</v>
      </c>
      <c r="T4" s="2" t="s">
        <v>69</v>
      </c>
      <c r="U4" s="2" t="s">
        <v>293</v>
      </c>
      <c r="V4" s="2" t="s">
        <v>289</v>
      </c>
      <c r="W4" s="2" t="s">
        <v>294</v>
      </c>
      <c r="X4" s="12" t="s">
        <v>295</v>
      </c>
      <c r="Y4" s="11" t="s">
        <v>296</v>
      </c>
      <c r="Z4" s="2" t="s">
        <v>297</v>
      </c>
      <c r="AA4" s="2" t="s">
        <v>298</v>
      </c>
      <c r="AB4" s="2" t="s">
        <v>299</v>
      </c>
      <c r="AC4" s="2" t="s">
        <v>300</v>
      </c>
      <c r="AD4" s="12" t="s">
        <v>301</v>
      </c>
      <c r="AE4" s="11" t="s">
        <v>302</v>
      </c>
      <c r="AF4" s="2" t="s">
        <v>303</v>
      </c>
      <c r="AG4" s="2" t="s">
        <v>304</v>
      </c>
      <c r="AH4" s="2" t="s">
        <v>305</v>
      </c>
      <c r="AI4" s="2" t="s">
        <v>289</v>
      </c>
      <c r="AJ4" s="12" t="s">
        <v>306</v>
      </c>
      <c r="AK4" s="11" t="s">
        <v>307</v>
      </c>
      <c r="AL4" s="2" t="s">
        <v>308</v>
      </c>
      <c r="AM4" s="2" t="s">
        <v>309</v>
      </c>
      <c r="AN4" s="2" t="s">
        <v>292</v>
      </c>
      <c r="AO4" s="2" t="s">
        <v>288</v>
      </c>
      <c r="AP4" s="12" t="s">
        <v>301</v>
      </c>
      <c r="AQ4" s="11" t="s">
        <v>310</v>
      </c>
      <c r="AR4" s="2" t="s">
        <v>296</v>
      </c>
      <c r="AS4" s="2" t="s">
        <v>311</v>
      </c>
      <c r="AT4" s="2" t="s">
        <v>312</v>
      </c>
      <c r="AU4" s="2" t="s">
        <v>288</v>
      </c>
      <c r="AV4" s="12" t="s">
        <v>313</v>
      </c>
      <c r="AW4" s="11" t="s">
        <v>314</v>
      </c>
      <c r="AX4" s="2" t="s">
        <v>315</v>
      </c>
      <c r="AY4" s="2" t="s">
        <v>316</v>
      </c>
      <c r="AZ4" s="2" t="s">
        <v>317</v>
      </c>
      <c r="BA4" s="2" t="s">
        <v>318</v>
      </c>
      <c r="BB4" s="12" t="s">
        <v>313</v>
      </c>
      <c r="BC4" s="11" t="s">
        <v>319</v>
      </c>
      <c r="BD4" s="2" t="s">
        <v>320</v>
      </c>
      <c r="BE4" s="2" t="s">
        <v>321</v>
      </c>
      <c r="BF4" s="2" t="s">
        <v>322</v>
      </c>
      <c r="BG4" s="2" t="s">
        <v>322</v>
      </c>
      <c r="BH4" s="12" t="s">
        <v>313</v>
      </c>
      <c r="BI4" s="11" t="s">
        <v>323</v>
      </c>
      <c r="BJ4" s="2" t="s">
        <v>324</v>
      </c>
      <c r="BK4" s="2" t="s">
        <v>325</v>
      </c>
      <c r="BL4" s="2" t="s">
        <v>325</v>
      </c>
      <c r="BM4" s="2" t="s">
        <v>326</v>
      </c>
      <c r="BN4" s="12" t="s">
        <v>92</v>
      </c>
      <c r="BO4" s="11" t="s">
        <v>1907</v>
      </c>
      <c r="BP4" s="116" t="s">
        <v>1886</v>
      </c>
      <c r="BQ4" s="116" t="s">
        <v>1908</v>
      </c>
      <c r="BR4" s="116" t="s">
        <v>1909</v>
      </c>
      <c r="BS4" s="116" t="s">
        <v>1906</v>
      </c>
      <c r="BT4" s="12" t="s">
        <v>1888</v>
      </c>
      <c r="BU4" s="118" t="s">
        <v>1910</v>
      </c>
      <c r="BV4" s="32" t="s">
        <v>1868</v>
      </c>
      <c r="BW4" s="116" t="s">
        <v>1905</v>
      </c>
      <c r="BX4" s="116" t="s">
        <v>1911</v>
      </c>
      <c r="BY4" s="32" t="s">
        <v>1888</v>
      </c>
      <c r="BZ4" s="139" t="s">
        <v>2094</v>
      </c>
    </row>
    <row r="5" spans="1:78">
      <c r="A5" s="28" t="s">
        <v>9</v>
      </c>
      <c r="B5" s="14" t="s">
        <v>32</v>
      </c>
      <c r="C5" s="15" t="s">
        <v>77</v>
      </c>
      <c r="D5" s="17" t="s">
        <v>119</v>
      </c>
      <c r="E5" s="125" t="s">
        <v>1875</v>
      </c>
      <c r="F5" s="24" t="s">
        <v>160</v>
      </c>
      <c r="G5" s="11" t="s">
        <v>286</v>
      </c>
      <c r="H5" s="2" t="s">
        <v>286</v>
      </c>
      <c r="I5" s="2" t="s">
        <v>287</v>
      </c>
      <c r="J5" s="2" t="s">
        <v>287</v>
      </c>
      <c r="K5" s="2" t="s">
        <v>327</v>
      </c>
      <c r="L5" s="12" t="s">
        <v>328</v>
      </c>
      <c r="M5" s="11" t="s">
        <v>329</v>
      </c>
      <c r="N5" s="2" t="s">
        <v>330</v>
      </c>
      <c r="O5" s="2" t="s">
        <v>288</v>
      </c>
      <c r="P5" s="2" t="s">
        <v>288</v>
      </c>
      <c r="Q5" s="2" t="s">
        <v>331</v>
      </c>
      <c r="R5" s="12" t="s">
        <v>20</v>
      </c>
      <c r="S5" s="2" t="s">
        <v>309</v>
      </c>
      <c r="T5" s="2" t="s">
        <v>318</v>
      </c>
      <c r="U5" s="2" t="s">
        <v>305</v>
      </c>
      <c r="V5" s="2" t="s">
        <v>332</v>
      </c>
      <c r="W5" s="2" t="s">
        <v>288</v>
      </c>
      <c r="X5" s="12" t="s">
        <v>295</v>
      </c>
      <c r="Y5" s="11" t="s">
        <v>303</v>
      </c>
      <c r="Z5" s="2" t="s">
        <v>333</v>
      </c>
      <c r="AA5" s="2" t="s">
        <v>329</v>
      </c>
      <c r="AB5" s="2" t="s">
        <v>334</v>
      </c>
      <c r="AC5" s="2" t="s">
        <v>288</v>
      </c>
      <c r="AD5" s="12" t="s">
        <v>306</v>
      </c>
      <c r="AE5" s="11" t="s">
        <v>335</v>
      </c>
      <c r="AF5" s="2" t="s">
        <v>325</v>
      </c>
      <c r="AG5" s="2" t="s">
        <v>336</v>
      </c>
      <c r="AH5" s="2" t="s">
        <v>337</v>
      </c>
      <c r="AI5" s="2" t="s">
        <v>288</v>
      </c>
      <c r="AJ5" s="12" t="s">
        <v>306</v>
      </c>
      <c r="AK5" s="11" t="s">
        <v>307</v>
      </c>
      <c r="AL5" s="2" t="s">
        <v>321</v>
      </c>
      <c r="AM5" s="2" t="s">
        <v>338</v>
      </c>
      <c r="AN5" s="2" t="s">
        <v>339</v>
      </c>
      <c r="AO5" s="2" t="s">
        <v>288</v>
      </c>
      <c r="AP5" s="12" t="s">
        <v>306</v>
      </c>
      <c r="AQ5" s="11" t="s">
        <v>340</v>
      </c>
      <c r="AR5" s="2" t="s">
        <v>341</v>
      </c>
      <c r="AS5" s="2" t="s">
        <v>342</v>
      </c>
      <c r="AT5" s="2" t="s">
        <v>337</v>
      </c>
      <c r="AU5" s="2" t="s">
        <v>288</v>
      </c>
      <c r="AV5" s="12" t="s">
        <v>343</v>
      </c>
      <c r="AW5" s="11" t="s">
        <v>314</v>
      </c>
      <c r="AX5" s="2" t="s">
        <v>324</v>
      </c>
      <c r="AY5" s="2" t="s">
        <v>333</v>
      </c>
      <c r="AZ5" s="2" t="s">
        <v>337</v>
      </c>
      <c r="BA5" s="2" t="s">
        <v>305</v>
      </c>
      <c r="BB5" s="12" t="s">
        <v>313</v>
      </c>
      <c r="BC5" s="11" t="s">
        <v>344</v>
      </c>
      <c r="BD5" s="2" t="s">
        <v>319</v>
      </c>
      <c r="BE5" s="2" t="s">
        <v>292</v>
      </c>
      <c r="BF5" s="2" t="s">
        <v>345</v>
      </c>
      <c r="BG5" s="2" t="s">
        <v>346</v>
      </c>
      <c r="BH5" s="12" t="s">
        <v>313</v>
      </c>
      <c r="BI5" s="11" t="s">
        <v>347</v>
      </c>
      <c r="BJ5" s="2" t="s">
        <v>314</v>
      </c>
      <c r="BK5" s="2" t="s">
        <v>340</v>
      </c>
      <c r="BL5" s="2" t="s">
        <v>348</v>
      </c>
      <c r="BM5" s="2" t="s">
        <v>318</v>
      </c>
      <c r="BN5" s="12" t="s">
        <v>92</v>
      </c>
      <c r="BO5" s="11" t="s">
        <v>1907</v>
      </c>
      <c r="BP5" s="116" t="s">
        <v>1886</v>
      </c>
      <c r="BQ5" s="116" t="s">
        <v>1914</v>
      </c>
      <c r="BR5" s="116" t="s">
        <v>1915</v>
      </c>
      <c r="BS5" s="116" t="s">
        <v>1916</v>
      </c>
      <c r="BT5" s="12" t="s">
        <v>1888</v>
      </c>
      <c r="BU5" s="118" t="s">
        <v>1910</v>
      </c>
      <c r="BV5" s="116" t="s">
        <v>1902</v>
      </c>
      <c r="BW5" s="116" t="s">
        <v>1917</v>
      </c>
      <c r="BX5" s="32" t="s">
        <v>2177</v>
      </c>
      <c r="BY5" s="32" t="s">
        <v>1888</v>
      </c>
      <c r="BZ5" s="139" t="s">
        <v>2094</v>
      </c>
    </row>
    <row r="6" spans="1:78">
      <c r="A6" s="28" t="s">
        <v>10</v>
      </c>
      <c r="B6" s="14" t="s">
        <v>33</v>
      </c>
      <c r="C6" s="15" t="s">
        <v>78</v>
      </c>
      <c r="D6" s="17" t="s">
        <v>121</v>
      </c>
      <c r="E6" s="125" t="s">
        <v>1879</v>
      </c>
      <c r="F6" s="24" t="s">
        <v>161</v>
      </c>
      <c r="G6" s="11" t="s">
        <v>286</v>
      </c>
      <c r="H6" s="32" t="s">
        <v>286</v>
      </c>
      <c r="I6" s="32" t="s">
        <v>287</v>
      </c>
      <c r="J6" s="2" t="s">
        <v>287</v>
      </c>
      <c r="K6" s="2" t="s">
        <v>328</v>
      </c>
      <c r="L6" s="12" t="s">
        <v>327</v>
      </c>
      <c r="M6" s="2" t="s">
        <v>349</v>
      </c>
      <c r="N6" s="2" t="s">
        <v>351</v>
      </c>
      <c r="O6" s="2" t="s">
        <v>288</v>
      </c>
      <c r="P6" s="2" t="s">
        <v>288</v>
      </c>
      <c r="Q6" s="2" t="s">
        <v>350</v>
      </c>
      <c r="R6" s="12" t="s">
        <v>20</v>
      </c>
      <c r="S6" s="11" t="s">
        <v>322</v>
      </c>
      <c r="T6" s="2" t="s">
        <v>352</v>
      </c>
      <c r="U6" s="2" t="s">
        <v>353</v>
      </c>
      <c r="V6" s="2" t="s">
        <v>350</v>
      </c>
      <c r="W6" s="2" t="s">
        <v>288</v>
      </c>
      <c r="X6" s="12" t="s">
        <v>295</v>
      </c>
      <c r="Y6" s="11" t="s">
        <v>302</v>
      </c>
      <c r="Z6" s="2" t="s">
        <v>292</v>
      </c>
      <c r="AA6" s="2" t="s">
        <v>318</v>
      </c>
      <c r="AB6" s="2" t="s">
        <v>354</v>
      </c>
      <c r="AC6" s="2" t="s">
        <v>291</v>
      </c>
      <c r="AD6" s="12" t="s">
        <v>301</v>
      </c>
      <c r="AE6" s="11" t="s">
        <v>325</v>
      </c>
      <c r="AF6" s="2" t="s">
        <v>296</v>
      </c>
      <c r="AG6" s="2" t="s">
        <v>304</v>
      </c>
      <c r="AH6" s="2" t="s">
        <v>355</v>
      </c>
      <c r="AI6" s="2" t="s">
        <v>289</v>
      </c>
      <c r="AJ6" s="12" t="s">
        <v>301</v>
      </c>
      <c r="AK6" s="11" t="s">
        <v>324</v>
      </c>
      <c r="AL6" s="2" t="s">
        <v>311</v>
      </c>
      <c r="AM6" s="2" t="s">
        <v>317</v>
      </c>
      <c r="AN6" s="2" t="s">
        <v>317</v>
      </c>
      <c r="AO6" s="2" t="s">
        <v>356</v>
      </c>
      <c r="AP6" s="12" t="s">
        <v>301</v>
      </c>
      <c r="AQ6" s="11" t="s">
        <v>320</v>
      </c>
      <c r="AR6" s="2" t="s">
        <v>321</v>
      </c>
      <c r="AS6" s="2" t="s">
        <v>326</v>
      </c>
      <c r="AT6" s="2" t="s">
        <v>357</v>
      </c>
      <c r="AU6" s="2" t="s">
        <v>333</v>
      </c>
      <c r="AV6" s="12" t="s">
        <v>313</v>
      </c>
      <c r="AW6" s="11" t="s">
        <v>314</v>
      </c>
      <c r="AX6" s="2" t="s">
        <v>310</v>
      </c>
      <c r="AY6" s="2" t="s">
        <v>302</v>
      </c>
      <c r="AZ6" s="2" t="s">
        <v>358</v>
      </c>
      <c r="BA6" s="2" t="s">
        <v>288</v>
      </c>
      <c r="BB6" s="12" t="s">
        <v>313</v>
      </c>
      <c r="BC6" s="11" t="s">
        <v>359</v>
      </c>
      <c r="BD6" s="2" t="s">
        <v>360</v>
      </c>
      <c r="BE6" s="2" t="s">
        <v>361</v>
      </c>
      <c r="BF6" s="2" t="s">
        <v>362</v>
      </c>
      <c r="BG6" s="2" t="s">
        <v>318</v>
      </c>
      <c r="BH6" s="12" t="s">
        <v>313</v>
      </c>
      <c r="BI6" s="11" t="s">
        <v>347</v>
      </c>
      <c r="BJ6" s="2" t="s">
        <v>319</v>
      </c>
      <c r="BK6" s="2" t="s">
        <v>303</v>
      </c>
      <c r="BL6" s="2" t="s">
        <v>363</v>
      </c>
      <c r="BM6" s="2" t="s">
        <v>325</v>
      </c>
      <c r="BN6" s="12" t="s">
        <v>92</v>
      </c>
      <c r="BO6" s="118" t="s">
        <v>1863</v>
      </c>
      <c r="BP6" s="116" t="s">
        <v>1886</v>
      </c>
      <c r="BQ6" s="116" t="s">
        <v>1915</v>
      </c>
      <c r="BR6" s="116" t="s">
        <v>1902</v>
      </c>
      <c r="BS6" s="116" t="s">
        <v>1918</v>
      </c>
      <c r="BT6" s="12" t="s">
        <v>1888</v>
      </c>
      <c r="BU6" s="118" t="s">
        <v>1910</v>
      </c>
      <c r="BV6" s="116" t="s">
        <v>1901</v>
      </c>
      <c r="BW6" s="32" t="s">
        <v>2177</v>
      </c>
      <c r="BX6" s="116" t="s">
        <v>1905</v>
      </c>
      <c r="BY6" s="32" t="s">
        <v>1888</v>
      </c>
      <c r="BZ6" s="139" t="s">
        <v>2094</v>
      </c>
    </row>
    <row r="7" spans="1:78">
      <c r="A7" s="28" t="s">
        <v>11</v>
      </c>
      <c r="B7" s="14" t="s">
        <v>36</v>
      </c>
      <c r="C7" s="15" t="s">
        <v>79</v>
      </c>
      <c r="D7" s="17" t="s">
        <v>122</v>
      </c>
      <c r="E7" s="125" t="s">
        <v>1880</v>
      </c>
      <c r="F7" s="24" t="s">
        <v>162</v>
      </c>
      <c r="G7" s="11" t="s">
        <v>286</v>
      </c>
      <c r="H7" s="32" t="s">
        <v>286</v>
      </c>
      <c r="I7" s="32" t="s">
        <v>286</v>
      </c>
      <c r="J7" s="2" t="s">
        <v>254</v>
      </c>
      <c r="K7" s="2" t="s">
        <v>364</v>
      </c>
      <c r="L7" s="12" t="s">
        <v>330</v>
      </c>
      <c r="M7" s="11" t="s">
        <v>365</v>
      </c>
      <c r="N7" s="2" t="s">
        <v>366</v>
      </c>
      <c r="O7" s="2" t="s">
        <v>291</v>
      </c>
      <c r="P7" s="2" t="s">
        <v>367</v>
      </c>
      <c r="Q7" s="2" t="s">
        <v>288</v>
      </c>
      <c r="R7" s="12" t="s">
        <v>20</v>
      </c>
      <c r="S7" s="11" t="s">
        <v>368</v>
      </c>
      <c r="T7" s="2" t="s">
        <v>305</v>
      </c>
      <c r="U7" s="2" t="s">
        <v>318</v>
      </c>
      <c r="V7" s="2" t="s">
        <v>369</v>
      </c>
      <c r="W7" s="2" t="s">
        <v>330</v>
      </c>
      <c r="X7" s="12" t="s">
        <v>295</v>
      </c>
      <c r="Y7" s="11" t="s">
        <v>338</v>
      </c>
      <c r="Z7" s="2" t="s">
        <v>370</v>
      </c>
      <c r="AA7" s="2" t="s">
        <v>297</v>
      </c>
      <c r="AB7" s="2" t="s">
        <v>278</v>
      </c>
      <c r="AC7" s="2" t="s">
        <v>288</v>
      </c>
      <c r="AD7" s="12" t="s">
        <v>343</v>
      </c>
      <c r="AE7" s="11" t="s">
        <v>371</v>
      </c>
      <c r="AF7" s="2" t="s">
        <v>372</v>
      </c>
      <c r="AG7" s="2" t="s">
        <v>312</v>
      </c>
      <c r="AH7" s="2" t="s">
        <v>373</v>
      </c>
      <c r="AI7" s="2" t="s">
        <v>374</v>
      </c>
      <c r="AJ7" s="12" t="s">
        <v>343</v>
      </c>
      <c r="AK7" s="11" t="s">
        <v>307</v>
      </c>
      <c r="AL7" s="2" t="s">
        <v>341</v>
      </c>
      <c r="AM7" s="2" t="s">
        <v>321</v>
      </c>
      <c r="AN7" s="2" t="s">
        <v>375</v>
      </c>
      <c r="AO7" s="2" t="s">
        <v>376</v>
      </c>
      <c r="AP7" s="12" t="s">
        <v>343</v>
      </c>
      <c r="AQ7" s="11" t="s">
        <v>377</v>
      </c>
      <c r="AR7" s="2" t="s">
        <v>340</v>
      </c>
      <c r="AS7" s="2" t="s">
        <v>333</v>
      </c>
      <c r="AT7" s="2" t="s">
        <v>378</v>
      </c>
      <c r="AU7" s="2" t="s">
        <v>264</v>
      </c>
      <c r="AV7" s="12" t="s">
        <v>313</v>
      </c>
      <c r="AW7" s="11" t="s">
        <v>344</v>
      </c>
      <c r="AX7" s="2" t="s">
        <v>379</v>
      </c>
      <c r="AY7" s="2" t="s">
        <v>380</v>
      </c>
      <c r="AZ7" s="2" t="s">
        <v>381</v>
      </c>
      <c r="BA7" s="2" t="s">
        <v>336</v>
      </c>
      <c r="BB7" s="12" t="s">
        <v>313</v>
      </c>
      <c r="BC7" s="11" t="s">
        <v>382</v>
      </c>
      <c r="BD7" s="2" t="s">
        <v>383</v>
      </c>
      <c r="BE7" s="2" t="s">
        <v>384</v>
      </c>
      <c r="BF7" s="2" t="s">
        <v>346</v>
      </c>
      <c r="BG7" s="2" t="s">
        <v>318</v>
      </c>
      <c r="BH7" s="12" t="s">
        <v>313</v>
      </c>
      <c r="BI7" s="11" t="s">
        <v>314</v>
      </c>
      <c r="BJ7" s="2" t="s">
        <v>324</v>
      </c>
      <c r="BK7" s="2" t="s">
        <v>340</v>
      </c>
      <c r="BL7" s="2" t="s">
        <v>385</v>
      </c>
      <c r="BM7" s="2" t="s">
        <v>321</v>
      </c>
      <c r="BN7" s="12" t="s">
        <v>92</v>
      </c>
      <c r="BO7" s="118" t="s">
        <v>1919</v>
      </c>
      <c r="BP7" s="116" t="s">
        <v>1886</v>
      </c>
      <c r="BQ7" s="32" t="s">
        <v>1900</v>
      </c>
      <c r="BR7" s="116" t="s">
        <v>1920</v>
      </c>
      <c r="BS7" s="116" t="s">
        <v>1911</v>
      </c>
      <c r="BT7" s="12" t="s">
        <v>1888</v>
      </c>
      <c r="BU7" s="11" t="s">
        <v>1895</v>
      </c>
      <c r="BV7" s="116" t="s">
        <v>1914</v>
      </c>
      <c r="BW7" s="32" t="s">
        <v>2177</v>
      </c>
      <c r="BX7" s="116" t="s">
        <v>1906</v>
      </c>
      <c r="BY7" s="32" t="s">
        <v>1888</v>
      </c>
      <c r="BZ7" s="139" t="s">
        <v>2094</v>
      </c>
    </row>
    <row r="8" spans="1:78">
      <c r="A8" s="28" t="s">
        <v>12</v>
      </c>
      <c r="B8" s="14" t="s">
        <v>37</v>
      </c>
      <c r="C8" s="15" t="s">
        <v>80</v>
      </c>
      <c r="D8" s="17" t="s">
        <v>120</v>
      </c>
      <c r="E8" s="125" t="s">
        <v>1969</v>
      </c>
      <c r="F8" s="24" t="s">
        <v>1260</v>
      </c>
      <c r="G8" s="11" t="s">
        <v>7</v>
      </c>
      <c r="H8" s="32" t="s">
        <v>7</v>
      </c>
      <c r="I8" s="32" t="s">
        <v>386</v>
      </c>
      <c r="J8" s="2" t="s">
        <v>386</v>
      </c>
      <c r="K8" s="2" t="s">
        <v>387</v>
      </c>
      <c r="L8" s="12" t="s">
        <v>388</v>
      </c>
      <c r="M8" s="11" t="s">
        <v>389</v>
      </c>
      <c r="N8" s="2" t="s">
        <v>390</v>
      </c>
      <c r="O8" s="2" t="s">
        <v>391</v>
      </c>
      <c r="P8" s="2" t="s">
        <v>391</v>
      </c>
      <c r="Q8" s="2" t="s">
        <v>392</v>
      </c>
      <c r="R8" s="12" t="s">
        <v>20</v>
      </c>
      <c r="S8" s="11" t="s">
        <v>393</v>
      </c>
      <c r="T8" s="2" t="s">
        <v>394</v>
      </c>
      <c r="U8" s="2" t="s">
        <v>395</v>
      </c>
      <c r="V8" s="2" t="s">
        <v>391</v>
      </c>
      <c r="W8" s="2" t="s">
        <v>391</v>
      </c>
      <c r="X8" s="12" t="s">
        <v>20</v>
      </c>
      <c r="Y8" s="11" t="s">
        <v>396</v>
      </c>
      <c r="Z8" s="2" t="s">
        <v>397</v>
      </c>
      <c r="AA8" s="2" t="s">
        <v>398</v>
      </c>
      <c r="AB8" s="2" t="s">
        <v>399</v>
      </c>
      <c r="AC8" s="2" t="s">
        <v>391</v>
      </c>
      <c r="AD8" s="12" t="s">
        <v>400</v>
      </c>
      <c r="AE8" s="11" t="s">
        <v>401</v>
      </c>
      <c r="AF8" s="2" t="s">
        <v>402</v>
      </c>
      <c r="AG8" s="2" t="s">
        <v>403</v>
      </c>
      <c r="AH8" s="2" t="s">
        <v>404</v>
      </c>
      <c r="AI8" s="2" t="s">
        <v>405</v>
      </c>
      <c r="AJ8" s="12" t="s">
        <v>406</v>
      </c>
      <c r="AK8" s="11" t="s">
        <v>407</v>
      </c>
      <c r="AL8" s="2" t="s">
        <v>408</v>
      </c>
      <c r="AM8" s="2" t="s">
        <v>409</v>
      </c>
      <c r="AN8" s="2" t="s">
        <v>393</v>
      </c>
      <c r="AO8" s="2" t="s">
        <v>410</v>
      </c>
      <c r="AP8" s="12" t="s">
        <v>406</v>
      </c>
      <c r="AQ8" s="11" t="s">
        <v>411</v>
      </c>
      <c r="AR8" s="2" t="s">
        <v>412</v>
      </c>
      <c r="AS8" s="2" t="s">
        <v>415</v>
      </c>
      <c r="AT8" s="2" t="s">
        <v>416</v>
      </c>
      <c r="AU8" s="2" t="s">
        <v>417</v>
      </c>
      <c r="AV8" s="12" t="s">
        <v>406</v>
      </c>
      <c r="AW8" s="11" t="s">
        <v>418</v>
      </c>
      <c r="AX8" s="2" t="s">
        <v>419</v>
      </c>
      <c r="AY8" s="2" t="s">
        <v>396</v>
      </c>
      <c r="AZ8" s="2" t="s">
        <v>405</v>
      </c>
      <c r="BA8" s="2" t="s">
        <v>413</v>
      </c>
      <c r="BB8" s="12" t="s">
        <v>414</v>
      </c>
      <c r="BC8" s="11" t="s">
        <v>420</v>
      </c>
      <c r="BD8" s="2" t="s">
        <v>421</v>
      </c>
      <c r="BE8" s="2" t="s">
        <v>422</v>
      </c>
      <c r="BF8" s="2" t="s">
        <v>423</v>
      </c>
      <c r="BG8" s="2" t="s">
        <v>399</v>
      </c>
      <c r="BH8" s="12" t="s">
        <v>414</v>
      </c>
      <c r="BI8" s="11" t="s">
        <v>424</v>
      </c>
      <c r="BJ8" s="2" t="s">
        <v>418</v>
      </c>
      <c r="BK8" s="2" t="s">
        <v>128</v>
      </c>
      <c r="BL8" s="2" t="s">
        <v>408</v>
      </c>
      <c r="BM8" s="2" t="s">
        <v>394</v>
      </c>
      <c r="BN8" s="12" t="s">
        <v>92</v>
      </c>
      <c r="BO8" s="118" t="s">
        <v>1863</v>
      </c>
      <c r="BP8" s="116" t="s">
        <v>1886</v>
      </c>
      <c r="BQ8" s="116" t="s">
        <v>1904</v>
      </c>
      <c r="BR8" s="116" t="s">
        <v>1922</v>
      </c>
      <c r="BS8" s="116" t="s">
        <v>1921</v>
      </c>
      <c r="BT8" s="12" t="s">
        <v>1888</v>
      </c>
      <c r="BU8" s="118" t="s">
        <v>1923</v>
      </c>
      <c r="BV8" s="116" t="s">
        <v>1924</v>
      </c>
      <c r="BW8" s="116" t="s">
        <v>1916</v>
      </c>
      <c r="BX8" s="116" t="s">
        <v>1911</v>
      </c>
      <c r="BY8" s="32" t="s">
        <v>1888</v>
      </c>
      <c r="BZ8" s="139" t="s">
        <v>2094</v>
      </c>
    </row>
    <row r="9" spans="1:78">
      <c r="A9" s="28" t="s">
        <v>15</v>
      </c>
      <c r="B9" s="14" t="s">
        <v>39</v>
      </c>
      <c r="C9" s="15" t="s">
        <v>81</v>
      </c>
      <c r="D9" s="17" t="s">
        <v>123</v>
      </c>
      <c r="E9" s="125" t="s">
        <v>1882</v>
      </c>
      <c r="F9" s="24" t="s">
        <v>163</v>
      </c>
      <c r="G9" s="11" t="s">
        <v>7</v>
      </c>
      <c r="H9" s="32" t="s">
        <v>7</v>
      </c>
      <c r="I9" s="32" t="s">
        <v>524</v>
      </c>
      <c r="J9" s="2" t="s">
        <v>524</v>
      </c>
      <c r="K9" s="2" t="s">
        <v>388</v>
      </c>
      <c r="L9" s="12" t="s">
        <v>425</v>
      </c>
      <c r="M9" s="11" t="s">
        <v>426</v>
      </c>
      <c r="N9" s="2" t="s">
        <v>427</v>
      </c>
      <c r="O9" s="2" t="s">
        <v>391</v>
      </c>
      <c r="P9" s="2" t="s">
        <v>428</v>
      </c>
      <c r="Q9" s="2" t="s">
        <v>429</v>
      </c>
      <c r="R9" s="12" t="s">
        <v>430</v>
      </c>
      <c r="S9" s="11" t="s">
        <v>393</v>
      </c>
      <c r="T9" s="2" t="s">
        <v>431</v>
      </c>
      <c r="U9" s="2" t="s">
        <v>432</v>
      </c>
      <c r="V9" s="2" t="s">
        <v>398</v>
      </c>
      <c r="W9" s="2" t="s">
        <v>391</v>
      </c>
      <c r="X9" s="12" t="s">
        <v>20</v>
      </c>
      <c r="Y9" s="11" t="s">
        <v>433</v>
      </c>
      <c r="Z9" s="2" t="s">
        <v>434</v>
      </c>
      <c r="AA9" s="2" t="s">
        <v>435</v>
      </c>
      <c r="AB9" s="2" t="s">
        <v>436</v>
      </c>
      <c r="AC9" s="2" t="s">
        <v>428</v>
      </c>
      <c r="AD9" s="12" t="s">
        <v>437</v>
      </c>
      <c r="AE9" s="11" t="s">
        <v>438</v>
      </c>
      <c r="AF9" s="2" t="s">
        <v>439</v>
      </c>
      <c r="AG9" s="2" t="s">
        <v>408</v>
      </c>
      <c r="AH9" s="2" t="s">
        <v>417</v>
      </c>
      <c r="AI9" s="2" t="s">
        <v>405</v>
      </c>
      <c r="AJ9" s="12" t="s">
        <v>440</v>
      </c>
      <c r="AK9" s="11" t="s">
        <v>441</v>
      </c>
      <c r="AL9" s="2" t="s">
        <v>442</v>
      </c>
      <c r="AM9" s="2" t="s">
        <v>444</v>
      </c>
      <c r="AN9" s="2" t="s">
        <v>443</v>
      </c>
      <c r="AO9" s="2" t="s">
        <v>431</v>
      </c>
      <c r="AP9" s="12" t="s">
        <v>437</v>
      </c>
      <c r="AQ9" s="11" t="s">
        <v>407</v>
      </c>
      <c r="AR9" s="2" t="s">
        <v>419</v>
      </c>
      <c r="AS9" s="2" t="s">
        <v>402</v>
      </c>
      <c r="AT9" s="2" t="s">
        <v>445</v>
      </c>
      <c r="AU9" s="2" t="s">
        <v>391</v>
      </c>
      <c r="AV9" s="12" t="s">
        <v>440</v>
      </c>
      <c r="AW9" s="11" t="s">
        <v>446</v>
      </c>
      <c r="AX9" s="2" t="s">
        <v>447</v>
      </c>
      <c r="AY9" s="2" t="s">
        <v>433</v>
      </c>
      <c r="AZ9" s="2" t="s">
        <v>448</v>
      </c>
      <c r="BA9" s="2" t="s">
        <v>432</v>
      </c>
      <c r="BB9" s="12" t="s">
        <v>414</v>
      </c>
      <c r="BC9" s="11" t="s">
        <v>424</v>
      </c>
      <c r="BD9" s="2" t="s">
        <v>449</v>
      </c>
      <c r="BE9" s="2" t="s">
        <v>450</v>
      </c>
      <c r="BF9" s="2" t="s">
        <v>451</v>
      </c>
      <c r="BG9" s="2" t="s">
        <v>394</v>
      </c>
      <c r="BH9" s="12" t="s">
        <v>414</v>
      </c>
      <c r="BI9" s="11" t="s">
        <v>418</v>
      </c>
      <c r="BJ9" s="2" t="s">
        <v>420</v>
      </c>
      <c r="BK9" s="2" t="s">
        <v>441</v>
      </c>
      <c r="BL9" s="2" t="s">
        <v>408</v>
      </c>
      <c r="BM9" s="2" t="s">
        <v>452</v>
      </c>
      <c r="BN9" s="12" t="s">
        <v>92</v>
      </c>
      <c r="BO9" s="118" t="s">
        <v>1926</v>
      </c>
      <c r="BP9" s="116" t="s">
        <v>1886</v>
      </c>
      <c r="BQ9" s="116" t="s">
        <v>1927</v>
      </c>
      <c r="BR9" s="116" t="s">
        <v>1900</v>
      </c>
      <c r="BS9" s="116" t="s">
        <v>1906</v>
      </c>
      <c r="BT9" s="12" t="s">
        <v>1888</v>
      </c>
      <c r="BU9" s="118" t="s">
        <v>1910</v>
      </c>
      <c r="BV9" s="116" t="s">
        <v>1928</v>
      </c>
      <c r="BW9" s="116" t="s">
        <v>1920</v>
      </c>
      <c r="BX9" s="116" t="s">
        <v>1929</v>
      </c>
      <c r="BY9" s="32" t="s">
        <v>1888</v>
      </c>
      <c r="BZ9" s="139" t="s">
        <v>2094</v>
      </c>
    </row>
    <row r="10" spans="1:78">
      <c r="A10" s="28" t="s">
        <v>16</v>
      </c>
      <c r="B10" s="14" t="s">
        <v>40</v>
      </c>
      <c r="C10" s="15" t="s">
        <v>82</v>
      </c>
      <c r="D10" s="17" t="s">
        <v>124</v>
      </c>
      <c r="E10" s="125" t="s">
        <v>1863</v>
      </c>
      <c r="F10" s="25" t="s">
        <v>164</v>
      </c>
      <c r="G10" s="11" t="s">
        <v>7</v>
      </c>
      <c r="H10" s="32" t="s">
        <v>7</v>
      </c>
      <c r="I10" s="32" t="s">
        <v>7</v>
      </c>
      <c r="J10" s="32" t="s">
        <v>1345</v>
      </c>
      <c r="K10" s="32" t="s">
        <v>1338</v>
      </c>
      <c r="L10" s="12" t="s">
        <v>1339</v>
      </c>
      <c r="M10" s="11" t="s">
        <v>49</v>
      </c>
      <c r="N10" s="32" t="s">
        <v>1341</v>
      </c>
      <c r="O10" s="32" t="s">
        <v>1342</v>
      </c>
      <c r="P10" s="32" t="s">
        <v>1343</v>
      </c>
      <c r="Q10" s="32" t="s">
        <v>1344</v>
      </c>
      <c r="R10" s="12" t="s">
        <v>20</v>
      </c>
      <c r="S10" s="11" t="s">
        <v>70</v>
      </c>
      <c r="T10" s="32" t="s">
        <v>1336</v>
      </c>
      <c r="U10" s="32" t="s">
        <v>1337</v>
      </c>
      <c r="V10" s="32" t="s">
        <v>1338</v>
      </c>
      <c r="W10" s="32" t="s">
        <v>1339</v>
      </c>
      <c r="X10" s="12" t="s">
        <v>1340</v>
      </c>
      <c r="Y10" s="2" t="s">
        <v>454</v>
      </c>
      <c r="Z10" s="2" t="s">
        <v>394</v>
      </c>
      <c r="AA10" s="2" t="s">
        <v>453</v>
      </c>
      <c r="AB10" s="2" t="s">
        <v>455</v>
      </c>
      <c r="AC10" s="2" t="s">
        <v>391</v>
      </c>
      <c r="AD10" s="12" t="s">
        <v>406</v>
      </c>
      <c r="AE10" s="2" t="s">
        <v>457</v>
      </c>
      <c r="AF10" s="2" t="s">
        <v>434</v>
      </c>
      <c r="AG10" s="2" t="s">
        <v>405</v>
      </c>
      <c r="AH10" s="2" t="s">
        <v>456</v>
      </c>
      <c r="AI10" s="2" t="s">
        <v>456</v>
      </c>
      <c r="AJ10" s="12" t="s">
        <v>406</v>
      </c>
      <c r="AK10" s="11" t="s">
        <v>422</v>
      </c>
      <c r="AL10" s="2" t="s">
        <v>458</v>
      </c>
      <c r="AM10" s="2" t="s">
        <v>408</v>
      </c>
      <c r="AN10" s="2" t="s">
        <v>404</v>
      </c>
      <c r="AO10" s="2" t="s">
        <v>443</v>
      </c>
      <c r="AP10" s="12" t="s">
        <v>406</v>
      </c>
      <c r="AQ10" s="2" t="s">
        <v>460</v>
      </c>
      <c r="AR10" s="2" t="s">
        <v>449</v>
      </c>
      <c r="AS10" s="2" t="s">
        <v>459</v>
      </c>
      <c r="AT10" s="2" t="s">
        <v>393</v>
      </c>
      <c r="AU10" s="2" t="s">
        <v>435</v>
      </c>
      <c r="AV10" s="12" t="s">
        <v>414</v>
      </c>
      <c r="AW10" s="2" t="s">
        <v>447</v>
      </c>
      <c r="AX10" s="2" t="s">
        <v>411</v>
      </c>
      <c r="AY10" s="2" t="s">
        <v>446</v>
      </c>
      <c r="AZ10" s="2" t="s">
        <v>461</v>
      </c>
      <c r="BA10" s="2" t="s">
        <v>401</v>
      </c>
      <c r="BB10" s="12" t="s">
        <v>414</v>
      </c>
      <c r="BC10" s="2" t="s">
        <v>441</v>
      </c>
      <c r="BD10" s="2" t="s">
        <v>462</v>
      </c>
      <c r="BE10" s="2" t="s">
        <v>418</v>
      </c>
      <c r="BF10" s="2" t="s">
        <v>401</v>
      </c>
      <c r="BG10" s="2" t="s">
        <v>417</v>
      </c>
      <c r="BH10" s="12" t="s">
        <v>414</v>
      </c>
      <c r="BI10" s="2" t="s">
        <v>464</v>
      </c>
      <c r="BJ10" s="2" t="s">
        <v>449</v>
      </c>
      <c r="BK10" s="2" t="s">
        <v>463</v>
      </c>
      <c r="BL10" s="2" t="s">
        <v>434</v>
      </c>
      <c r="BM10" s="2" t="s">
        <v>408</v>
      </c>
      <c r="BN10" s="12" t="s">
        <v>92</v>
      </c>
      <c r="BO10" s="32" t="s">
        <v>1931</v>
      </c>
      <c r="BP10" s="116" t="s">
        <v>1871</v>
      </c>
      <c r="BQ10" s="32" t="s">
        <v>1932</v>
      </c>
      <c r="BR10" s="32" t="s">
        <v>1933</v>
      </c>
      <c r="BS10" s="32" t="s">
        <v>1934</v>
      </c>
      <c r="BT10" s="12" t="s">
        <v>1869</v>
      </c>
      <c r="BU10" s="11" t="s">
        <v>1889</v>
      </c>
      <c r="BV10" s="32" t="s">
        <v>1935</v>
      </c>
      <c r="BW10" s="32" t="s">
        <v>1936</v>
      </c>
      <c r="BX10" s="32" t="s">
        <v>1937</v>
      </c>
      <c r="BY10" s="32" t="s">
        <v>1869</v>
      </c>
      <c r="BZ10" s="139" t="s">
        <v>2094</v>
      </c>
    </row>
    <row r="11" spans="1:78">
      <c r="A11" s="28" t="s">
        <v>17</v>
      </c>
      <c r="B11" s="14" t="s">
        <v>41</v>
      </c>
      <c r="C11" s="15" t="s">
        <v>83</v>
      </c>
      <c r="D11" s="17" t="s">
        <v>125</v>
      </c>
      <c r="E11" s="125" t="s">
        <v>1885</v>
      </c>
      <c r="F11" s="24" t="s">
        <v>165</v>
      </c>
      <c r="G11" s="11" t="s">
        <v>544</v>
      </c>
      <c r="H11" s="32" t="s">
        <v>544</v>
      </c>
      <c r="I11" s="32" t="s">
        <v>499</v>
      </c>
      <c r="J11" s="2" t="s">
        <v>545</v>
      </c>
      <c r="K11" s="2" t="s">
        <v>546</v>
      </c>
      <c r="L11" s="12" t="s">
        <v>502</v>
      </c>
      <c r="M11" s="11" t="s">
        <v>496</v>
      </c>
      <c r="N11" s="2" t="s">
        <v>499</v>
      </c>
      <c r="O11" s="2" t="s">
        <v>490</v>
      </c>
      <c r="P11" s="2" t="s">
        <v>547</v>
      </c>
      <c r="Q11" s="2" t="s">
        <v>498</v>
      </c>
      <c r="R11" s="12" t="s">
        <v>493</v>
      </c>
      <c r="S11" s="11" t="s">
        <v>548</v>
      </c>
      <c r="T11" s="2" t="s">
        <v>549</v>
      </c>
      <c r="U11" s="2" t="s">
        <v>506</v>
      </c>
      <c r="V11" s="2" t="s">
        <v>550</v>
      </c>
      <c r="W11" s="2" t="s">
        <v>492</v>
      </c>
      <c r="X11" s="12" t="s">
        <v>551</v>
      </c>
      <c r="Y11" s="11" t="s">
        <v>511</v>
      </c>
      <c r="Z11" s="2" t="s">
        <v>552</v>
      </c>
      <c r="AA11" s="2" t="s">
        <v>553</v>
      </c>
      <c r="AB11" s="2" t="s">
        <v>510</v>
      </c>
      <c r="AC11" s="2" t="s">
        <v>499</v>
      </c>
      <c r="AD11" s="12" t="s">
        <v>554</v>
      </c>
      <c r="AE11" s="11" t="s">
        <v>548</v>
      </c>
      <c r="AF11" s="2" t="s">
        <v>555</v>
      </c>
      <c r="AG11" s="2" t="s">
        <v>509</v>
      </c>
      <c r="AH11" s="2" t="s">
        <v>556</v>
      </c>
      <c r="AI11" s="2" t="s">
        <v>529</v>
      </c>
      <c r="AJ11" s="12" t="s">
        <v>551</v>
      </c>
      <c r="AK11" s="2" t="s">
        <v>558</v>
      </c>
      <c r="AL11" s="2" t="s">
        <v>557</v>
      </c>
      <c r="AM11" s="2" t="s">
        <v>559</v>
      </c>
      <c r="AN11" s="2" t="s">
        <v>560</v>
      </c>
      <c r="AO11" s="2" t="s">
        <v>561</v>
      </c>
      <c r="AP11" s="12" t="s">
        <v>554</v>
      </c>
      <c r="AQ11" s="11" t="s">
        <v>525</v>
      </c>
      <c r="AR11" s="2" t="s">
        <v>532</v>
      </c>
      <c r="AS11" s="2" t="s">
        <v>562</v>
      </c>
      <c r="AT11" s="2" t="s">
        <v>563</v>
      </c>
      <c r="AU11" s="2" t="s">
        <v>504</v>
      </c>
      <c r="AV11" s="12" t="s">
        <v>551</v>
      </c>
      <c r="AW11" s="11" t="s">
        <v>564</v>
      </c>
      <c r="AX11" s="2" t="s">
        <v>565</v>
      </c>
      <c r="AY11" s="2" t="s">
        <v>566</v>
      </c>
      <c r="AZ11" s="2" t="s">
        <v>567</v>
      </c>
      <c r="BA11" s="2" t="s">
        <v>568</v>
      </c>
      <c r="BB11" s="12" t="s">
        <v>92</v>
      </c>
      <c r="BC11" s="11" t="s">
        <v>540</v>
      </c>
      <c r="BD11" s="2" t="s">
        <v>526</v>
      </c>
      <c r="BE11" s="2" t="s">
        <v>555</v>
      </c>
      <c r="BF11" s="2" t="s">
        <v>528</v>
      </c>
      <c r="BG11" s="2" t="s">
        <v>569</v>
      </c>
      <c r="BH11" s="12" t="s">
        <v>92</v>
      </c>
      <c r="BI11" s="11" t="s">
        <v>531</v>
      </c>
      <c r="BJ11" s="2" t="s">
        <v>541</v>
      </c>
      <c r="BK11" s="2" t="s">
        <v>570</v>
      </c>
      <c r="BL11" s="2" t="s">
        <v>571</v>
      </c>
      <c r="BM11" s="2" t="s">
        <v>509</v>
      </c>
      <c r="BN11" s="12" t="s">
        <v>92</v>
      </c>
      <c r="BO11" s="118" t="s">
        <v>1863</v>
      </c>
      <c r="BP11" s="116" t="s">
        <v>1871</v>
      </c>
      <c r="BQ11" s="32" t="s">
        <v>1939</v>
      </c>
      <c r="BR11" s="32" t="s">
        <v>1940</v>
      </c>
      <c r="BS11" s="32" t="s">
        <v>1941</v>
      </c>
      <c r="BT11" s="12" t="s">
        <v>1869</v>
      </c>
      <c r="BU11" s="11" t="s">
        <v>1889</v>
      </c>
      <c r="BV11" s="32" t="s">
        <v>1942</v>
      </c>
      <c r="BW11" s="32" t="s">
        <v>1943</v>
      </c>
      <c r="BX11" s="32" t="s">
        <v>1944</v>
      </c>
      <c r="BY11" s="32" t="s">
        <v>1869</v>
      </c>
      <c r="BZ11" s="139" t="s">
        <v>2094</v>
      </c>
    </row>
    <row r="12" spans="1:78">
      <c r="A12" s="28" t="s">
        <v>19</v>
      </c>
      <c r="B12" s="14" t="s">
        <v>43</v>
      </c>
      <c r="C12" s="15" t="s">
        <v>85</v>
      </c>
      <c r="D12" s="17" t="s">
        <v>127</v>
      </c>
      <c r="E12" s="126" t="s">
        <v>1895</v>
      </c>
      <c r="F12" s="24" t="s">
        <v>166</v>
      </c>
      <c r="G12" s="11" t="s">
        <v>499</v>
      </c>
      <c r="H12" s="32" t="s">
        <v>499</v>
      </c>
      <c r="I12" s="32" t="s">
        <v>500</v>
      </c>
      <c r="J12" s="2" t="s">
        <v>501</v>
      </c>
      <c r="K12" s="2" t="s">
        <v>502</v>
      </c>
      <c r="L12" s="12" t="s">
        <v>490</v>
      </c>
      <c r="M12" s="2" t="s">
        <v>504</v>
      </c>
      <c r="N12" s="2" t="s">
        <v>505</v>
      </c>
      <c r="O12" s="2" t="s">
        <v>506</v>
      </c>
      <c r="P12" s="2" t="s">
        <v>503</v>
      </c>
      <c r="Q12" s="2" t="s">
        <v>503</v>
      </c>
      <c r="R12" s="12" t="s">
        <v>493</v>
      </c>
      <c r="S12" s="11" t="s">
        <v>507</v>
      </c>
      <c r="T12" s="2" t="s">
        <v>508</v>
      </c>
      <c r="U12" s="2" t="s">
        <v>509</v>
      </c>
      <c r="V12" s="2" t="s">
        <v>510</v>
      </c>
      <c r="W12" s="2" t="s">
        <v>503</v>
      </c>
      <c r="X12" s="12" t="s">
        <v>493</v>
      </c>
      <c r="Y12" s="11" t="s">
        <v>511</v>
      </c>
      <c r="Z12" s="2" t="s">
        <v>512</v>
      </c>
      <c r="AA12" s="2" t="s">
        <v>513</v>
      </c>
      <c r="AB12" s="2" t="s">
        <v>505</v>
      </c>
      <c r="AC12" s="2" t="s">
        <v>514</v>
      </c>
      <c r="AD12" s="12" t="s">
        <v>515</v>
      </c>
      <c r="AE12" s="11" t="s">
        <v>516</v>
      </c>
      <c r="AF12" s="2" t="s">
        <v>517</v>
      </c>
      <c r="AG12" s="2" t="s">
        <v>518</v>
      </c>
      <c r="AH12" s="2" t="s">
        <v>509</v>
      </c>
      <c r="AI12" s="2" t="s">
        <v>492</v>
      </c>
      <c r="AJ12" s="12" t="s">
        <v>515</v>
      </c>
      <c r="AK12" s="11" t="s">
        <v>519</v>
      </c>
      <c r="AL12" s="2" t="s">
        <v>520</v>
      </c>
      <c r="AM12" s="2" t="s">
        <v>521</v>
      </c>
      <c r="AN12" s="2" t="s">
        <v>522</v>
      </c>
      <c r="AO12" s="2" t="s">
        <v>523</v>
      </c>
      <c r="AP12" s="12" t="s">
        <v>515</v>
      </c>
      <c r="AQ12" s="11" t="s">
        <v>525</v>
      </c>
      <c r="AR12" s="2" t="s">
        <v>526</v>
      </c>
      <c r="AS12" s="2" t="s">
        <v>527</v>
      </c>
      <c r="AT12" s="2" t="s">
        <v>528</v>
      </c>
      <c r="AU12" s="2" t="s">
        <v>529</v>
      </c>
      <c r="AV12" s="12" t="s">
        <v>530</v>
      </c>
      <c r="AW12" s="11" t="s">
        <v>531</v>
      </c>
      <c r="AX12" s="2" t="s">
        <v>532</v>
      </c>
      <c r="AY12" s="2" t="s">
        <v>533</v>
      </c>
      <c r="AZ12" s="2" t="s">
        <v>534</v>
      </c>
      <c r="BA12" s="2" t="s">
        <v>521</v>
      </c>
      <c r="BB12" s="12" t="s">
        <v>530</v>
      </c>
      <c r="BC12" s="11" t="s">
        <v>535</v>
      </c>
      <c r="BD12" s="2" t="s">
        <v>536</v>
      </c>
      <c r="BE12" s="2" t="s">
        <v>537</v>
      </c>
      <c r="BF12" s="2" t="s">
        <v>538</v>
      </c>
      <c r="BG12" s="2" t="s">
        <v>539</v>
      </c>
      <c r="BH12" s="12" t="s">
        <v>530</v>
      </c>
      <c r="BI12" s="11" t="s">
        <v>540</v>
      </c>
      <c r="BJ12" s="2" t="s">
        <v>541</v>
      </c>
      <c r="BK12" s="2" t="s">
        <v>542</v>
      </c>
      <c r="BL12" s="2" t="s">
        <v>543</v>
      </c>
      <c r="BM12" s="2" t="s">
        <v>516</v>
      </c>
      <c r="BN12" s="12" t="s">
        <v>530</v>
      </c>
      <c r="BO12" s="118" t="s">
        <v>1863</v>
      </c>
      <c r="BP12" s="116" t="s">
        <v>1871</v>
      </c>
      <c r="BQ12" s="32" t="s">
        <v>1945</v>
      </c>
      <c r="BR12" s="32" t="s">
        <v>1946</v>
      </c>
      <c r="BS12" s="32" t="s">
        <v>1947</v>
      </c>
      <c r="BT12" s="12" t="s">
        <v>1869</v>
      </c>
      <c r="BU12" s="11" t="s">
        <v>1948</v>
      </c>
      <c r="BV12" s="32" t="s">
        <v>1949</v>
      </c>
      <c r="BW12" s="32" t="s">
        <v>1942</v>
      </c>
      <c r="BX12" s="32" t="s">
        <v>1944</v>
      </c>
      <c r="BY12" s="32" t="s">
        <v>1869</v>
      </c>
      <c r="BZ12" s="139" t="s">
        <v>2094</v>
      </c>
    </row>
    <row r="13" spans="1:78">
      <c r="A13" s="28" t="s">
        <v>20</v>
      </c>
      <c r="B13" s="14" t="s">
        <v>44</v>
      </c>
      <c r="C13" s="15" t="s">
        <v>86</v>
      </c>
      <c r="D13" s="17" t="s">
        <v>128</v>
      </c>
      <c r="E13" s="125" t="s">
        <v>1910</v>
      </c>
      <c r="F13" s="25" t="s">
        <v>167</v>
      </c>
      <c r="G13" s="11" t="s">
        <v>465</v>
      </c>
      <c r="H13" s="32" t="s">
        <v>465</v>
      </c>
      <c r="I13" s="32" t="s">
        <v>466</v>
      </c>
      <c r="J13" s="2" t="s">
        <v>466</v>
      </c>
      <c r="K13" s="2" t="s">
        <v>467</v>
      </c>
      <c r="L13" s="12" t="s">
        <v>388</v>
      </c>
      <c r="M13" s="11" t="s">
        <v>468</v>
      </c>
      <c r="N13" s="2" t="s">
        <v>469</v>
      </c>
      <c r="O13" s="2" t="s">
        <v>391</v>
      </c>
      <c r="P13" s="2" t="s">
        <v>469</v>
      </c>
      <c r="Q13" s="2" t="s">
        <v>470</v>
      </c>
      <c r="R13" s="12" t="s">
        <v>430</v>
      </c>
      <c r="S13" s="11" t="s">
        <v>471</v>
      </c>
      <c r="T13" s="2" t="s">
        <v>405</v>
      </c>
      <c r="U13" s="2" t="s">
        <v>399</v>
      </c>
      <c r="V13" s="2" t="s">
        <v>472</v>
      </c>
      <c r="W13" s="2" t="s">
        <v>470</v>
      </c>
      <c r="X13" s="12" t="s">
        <v>430</v>
      </c>
      <c r="Y13" s="11" t="s">
        <v>473</v>
      </c>
      <c r="Z13" s="2" t="s">
        <v>474</v>
      </c>
      <c r="AA13" s="2" t="s">
        <v>413</v>
      </c>
      <c r="AB13" s="2" t="s">
        <v>475</v>
      </c>
      <c r="AC13" s="2" t="s">
        <v>436</v>
      </c>
      <c r="AD13" s="12" t="s">
        <v>440</v>
      </c>
      <c r="AE13" s="11" t="s">
        <v>408</v>
      </c>
      <c r="AF13" s="2" t="s">
        <v>402</v>
      </c>
      <c r="AG13" s="2" t="s">
        <v>451</v>
      </c>
      <c r="AH13" s="2" t="s">
        <v>401</v>
      </c>
      <c r="AI13" s="2" t="s">
        <v>476</v>
      </c>
      <c r="AJ13" s="12" t="s">
        <v>440</v>
      </c>
      <c r="AK13" s="11" t="s">
        <v>407</v>
      </c>
      <c r="AL13" s="2" t="s">
        <v>458</v>
      </c>
      <c r="AM13" s="2" t="s">
        <v>477</v>
      </c>
      <c r="AN13" s="2" t="s">
        <v>399</v>
      </c>
      <c r="AO13" s="2" t="s">
        <v>469</v>
      </c>
      <c r="AP13" s="12" t="s">
        <v>478</v>
      </c>
      <c r="AQ13" s="11" t="s">
        <v>479</v>
      </c>
      <c r="AR13" s="2" t="s">
        <v>421</v>
      </c>
      <c r="AS13" s="2" t="s">
        <v>408</v>
      </c>
      <c r="AT13" s="2" t="s">
        <v>404</v>
      </c>
      <c r="AU13" s="2" t="s">
        <v>472</v>
      </c>
      <c r="AV13" s="12" t="s">
        <v>478</v>
      </c>
      <c r="AW13" s="2" t="s">
        <v>481</v>
      </c>
      <c r="AX13" s="2" t="s">
        <v>480</v>
      </c>
      <c r="AY13" s="2" t="s">
        <v>449</v>
      </c>
      <c r="AZ13" s="2" t="s">
        <v>482</v>
      </c>
      <c r="BA13" s="2" t="s">
        <v>469</v>
      </c>
      <c r="BB13" s="12" t="s">
        <v>414</v>
      </c>
      <c r="BC13" s="2" t="s">
        <v>483</v>
      </c>
      <c r="BD13" s="2" t="s">
        <v>420</v>
      </c>
      <c r="BE13" s="2" t="s">
        <v>450</v>
      </c>
      <c r="BF13" s="2" t="s">
        <v>475</v>
      </c>
      <c r="BG13" s="2" t="s">
        <v>468</v>
      </c>
      <c r="BH13" s="12" t="s">
        <v>414</v>
      </c>
      <c r="BI13" s="11" t="s">
        <v>418</v>
      </c>
      <c r="BJ13" s="2" t="s">
        <v>484</v>
      </c>
      <c r="BK13" s="2" t="s">
        <v>419</v>
      </c>
      <c r="BL13" s="2" t="s">
        <v>444</v>
      </c>
      <c r="BM13" s="2" t="s">
        <v>399</v>
      </c>
      <c r="BN13" s="12" t="s">
        <v>414</v>
      </c>
      <c r="BO13" s="11" t="s">
        <v>1875</v>
      </c>
      <c r="BP13" s="32" t="s">
        <v>1950</v>
      </c>
      <c r="BQ13" s="32" t="s">
        <v>1942</v>
      </c>
      <c r="BR13" s="32" t="s">
        <v>1951</v>
      </c>
      <c r="BS13" s="32" t="s">
        <v>1952</v>
      </c>
      <c r="BT13" s="12" t="s">
        <v>1869</v>
      </c>
      <c r="BU13" s="11" t="s">
        <v>1948</v>
      </c>
      <c r="BV13" s="32" t="s">
        <v>1939</v>
      </c>
      <c r="BW13" s="32" t="s">
        <v>1953</v>
      </c>
      <c r="BX13" s="32" t="s">
        <v>1954</v>
      </c>
      <c r="BY13" s="32" t="s">
        <v>1869</v>
      </c>
      <c r="BZ13" s="139" t="s">
        <v>2094</v>
      </c>
    </row>
    <row r="14" spans="1:78">
      <c r="A14" s="28" t="s">
        <v>21</v>
      </c>
      <c r="B14" s="14" t="s">
        <v>45</v>
      </c>
      <c r="C14" s="16" t="s">
        <v>87</v>
      </c>
      <c r="D14" s="17" t="s">
        <v>131</v>
      </c>
      <c r="E14" s="125" t="s">
        <v>1923</v>
      </c>
      <c r="F14" s="26" t="s">
        <v>168</v>
      </c>
      <c r="G14" s="11" t="s">
        <v>7</v>
      </c>
      <c r="H14" s="32" t="s">
        <v>7</v>
      </c>
      <c r="I14" s="32" t="s">
        <v>11</v>
      </c>
      <c r="J14" s="2" t="s">
        <v>11</v>
      </c>
      <c r="K14" s="2" t="s">
        <v>490</v>
      </c>
      <c r="L14" s="12" t="s">
        <v>489</v>
      </c>
      <c r="M14" s="11" t="s">
        <v>504</v>
      </c>
      <c r="N14" s="2" t="s">
        <v>502</v>
      </c>
      <c r="O14" s="2" t="s">
        <v>572</v>
      </c>
      <c r="P14" s="2" t="s">
        <v>23</v>
      </c>
      <c r="Q14" s="2" t="s">
        <v>21</v>
      </c>
      <c r="R14" s="12" t="s">
        <v>20</v>
      </c>
      <c r="S14" s="11" t="s">
        <v>75</v>
      </c>
      <c r="T14" s="2" t="s">
        <v>509</v>
      </c>
      <c r="U14" s="2" t="s">
        <v>496</v>
      </c>
      <c r="V14" s="2" t="s">
        <v>573</v>
      </c>
      <c r="W14" s="2" t="s">
        <v>503</v>
      </c>
      <c r="X14" s="12" t="s">
        <v>20</v>
      </c>
      <c r="Y14" s="11" t="s">
        <v>86</v>
      </c>
      <c r="Z14" s="2" t="s">
        <v>511</v>
      </c>
      <c r="AA14" s="2" t="s">
        <v>549</v>
      </c>
      <c r="AB14" s="2" t="s">
        <v>574</v>
      </c>
      <c r="AC14" s="2" t="s">
        <v>575</v>
      </c>
      <c r="AD14" s="12" t="s">
        <v>493</v>
      </c>
      <c r="AE14" s="11" t="s">
        <v>576</v>
      </c>
      <c r="AF14" s="2" t="s">
        <v>521</v>
      </c>
      <c r="AG14" s="2" t="s">
        <v>577</v>
      </c>
      <c r="AH14" s="2" t="s">
        <v>578</v>
      </c>
      <c r="AI14" s="2" t="s">
        <v>579</v>
      </c>
      <c r="AJ14" s="12" t="s">
        <v>57</v>
      </c>
      <c r="AK14" s="11" t="s">
        <v>229</v>
      </c>
      <c r="AL14" s="2" t="s">
        <v>527</v>
      </c>
      <c r="AM14" s="2" t="s">
        <v>580</v>
      </c>
      <c r="AN14" s="2" t="s">
        <v>580</v>
      </c>
      <c r="AO14" s="2" t="s">
        <v>23</v>
      </c>
      <c r="AP14" s="12" t="s">
        <v>551</v>
      </c>
      <c r="AQ14" s="11" t="s">
        <v>533</v>
      </c>
      <c r="AR14" s="2" t="s">
        <v>532</v>
      </c>
      <c r="AS14" s="2" t="s">
        <v>548</v>
      </c>
      <c r="AT14" s="2" t="s">
        <v>581</v>
      </c>
      <c r="AU14" s="2" t="s">
        <v>582</v>
      </c>
      <c r="AV14" s="12" t="s">
        <v>551</v>
      </c>
      <c r="AW14" s="11" t="s">
        <v>583</v>
      </c>
      <c r="AX14" s="2" t="s">
        <v>584</v>
      </c>
      <c r="AY14" s="2" t="s">
        <v>517</v>
      </c>
      <c r="AZ14" s="2" t="s">
        <v>585</v>
      </c>
      <c r="BA14" s="2" t="s">
        <v>23</v>
      </c>
      <c r="BB14" s="12" t="s">
        <v>92</v>
      </c>
      <c r="BC14" s="11" t="s">
        <v>238</v>
      </c>
      <c r="BD14" s="2" t="s">
        <v>526</v>
      </c>
      <c r="BE14" s="2" t="s">
        <v>495</v>
      </c>
      <c r="BF14" s="2" t="s">
        <v>586</v>
      </c>
      <c r="BG14" s="2" t="s">
        <v>504</v>
      </c>
      <c r="BH14" s="12" t="s">
        <v>92</v>
      </c>
      <c r="BI14" s="11" t="s">
        <v>542</v>
      </c>
      <c r="BJ14" s="2" t="s">
        <v>531</v>
      </c>
      <c r="BK14" s="2" t="s">
        <v>511</v>
      </c>
      <c r="BL14" s="2" t="s">
        <v>587</v>
      </c>
      <c r="BM14" s="2" t="s">
        <v>509</v>
      </c>
      <c r="BN14" s="12" t="s">
        <v>92</v>
      </c>
      <c r="BO14" s="11" t="s">
        <v>1875</v>
      </c>
      <c r="BP14" s="32" t="s">
        <v>1950</v>
      </c>
      <c r="BQ14" s="32" t="s">
        <v>1955</v>
      </c>
      <c r="BR14" s="32" t="s">
        <v>1956</v>
      </c>
      <c r="BS14" s="32" t="s">
        <v>1954</v>
      </c>
      <c r="BT14" s="12" t="s">
        <v>1869</v>
      </c>
      <c r="BU14" s="11" t="s">
        <v>1948</v>
      </c>
      <c r="BV14" s="32" t="s">
        <v>1949</v>
      </c>
      <c r="BW14" s="32" t="s">
        <v>1960</v>
      </c>
      <c r="BX14" s="32" t="s">
        <v>1953</v>
      </c>
      <c r="BY14" s="32" t="s">
        <v>1869</v>
      </c>
      <c r="BZ14" s="139" t="s">
        <v>2094</v>
      </c>
    </row>
    <row r="15" spans="1:78">
      <c r="A15" s="28" t="s">
        <v>22</v>
      </c>
      <c r="B15" s="14" t="s">
        <v>46</v>
      </c>
      <c r="C15" s="16" t="s">
        <v>89</v>
      </c>
      <c r="D15" s="17" t="s">
        <v>132</v>
      </c>
      <c r="E15" s="125" t="s">
        <v>1989</v>
      </c>
      <c r="F15" s="26" t="s">
        <v>169</v>
      </c>
      <c r="G15" s="11" t="s">
        <v>7</v>
      </c>
      <c r="H15" s="32" t="s">
        <v>7</v>
      </c>
      <c r="I15" s="32" t="s">
        <v>11</v>
      </c>
      <c r="J15" s="32" t="s">
        <v>1284</v>
      </c>
      <c r="K15" s="32" t="s">
        <v>16</v>
      </c>
      <c r="L15" s="12" t="s">
        <v>1285</v>
      </c>
      <c r="M15" s="11" t="s">
        <v>1286</v>
      </c>
      <c r="N15" s="2" t="s">
        <v>1287</v>
      </c>
      <c r="O15" s="32" t="s">
        <v>23</v>
      </c>
      <c r="P15" s="2" t="s">
        <v>1288</v>
      </c>
      <c r="Q15" s="2" t="s">
        <v>1289</v>
      </c>
      <c r="R15" s="12" t="s">
        <v>20</v>
      </c>
      <c r="S15" s="11" t="s">
        <v>1290</v>
      </c>
      <c r="T15" s="2" t="s">
        <v>1291</v>
      </c>
      <c r="U15" s="2" t="s">
        <v>1292</v>
      </c>
      <c r="V15" s="32" t="s">
        <v>1292</v>
      </c>
      <c r="W15" s="2" t="s">
        <v>1285</v>
      </c>
      <c r="X15" s="12" t="s">
        <v>20</v>
      </c>
      <c r="Y15" s="2" t="s">
        <v>562</v>
      </c>
      <c r="Z15" s="2" t="s">
        <v>582</v>
      </c>
      <c r="AA15" s="2" t="s">
        <v>588</v>
      </c>
      <c r="AB15" s="2" t="s">
        <v>503</v>
      </c>
      <c r="AC15" s="2" t="s">
        <v>490</v>
      </c>
      <c r="AD15" s="12" t="s">
        <v>589</v>
      </c>
      <c r="AE15" s="11" t="s">
        <v>516</v>
      </c>
      <c r="AF15" s="2" t="s">
        <v>590</v>
      </c>
      <c r="AG15" s="2" t="s">
        <v>509</v>
      </c>
      <c r="AH15" s="2" t="s">
        <v>578</v>
      </c>
      <c r="AI15" s="2" t="s">
        <v>591</v>
      </c>
      <c r="AJ15" s="12" t="s">
        <v>589</v>
      </c>
      <c r="AK15" s="11" t="s">
        <v>519</v>
      </c>
      <c r="AL15" s="2" t="s">
        <v>584</v>
      </c>
      <c r="AM15" s="2" t="s">
        <v>581</v>
      </c>
      <c r="AN15" s="2" t="s">
        <v>494</v>
      </c>
      <c r="AO15" s="2" t="s">
        <v>592</v>
      </c>
      <c r="AP15" s="12" t="s">
        <v>589</v>
      </c>
      <c r="AQ15" s="11" t="s">
        <v>526</v>
      </c>
      <c r="AR15" s="2" t="s">
        <v>562</v>
      </c>
      <c r="AS15" s="2" t="s">
        <v>548</v>
      </c>
      <c r="AT15" s="2" t="s">
        <v>563</v>
      </c>
      <c r="AU15" s="2" t="s">
        <v>513</v>
      </c>
      <c r="AV15" s="12" t="s">
        <v>530</v>
      </c>
      <c r="AW15" s="11" t="s">
        <v>583</v>
      </c>
      <c r="AX15" s="2" t="s">
        <v>593</v>
      </c>
      <c r="AY15" s="2" t="s">
        <v>517</v>
      </c>
      <c r="AZ15" s="2" t="s">
        <v>528</v>
      </c>
      <c r="BA15" s="2" t="s">
        <v>549</v>
      </c>
      <c r="BB15" s="12" t="s">
        <v>92</v>
      </c>
      <c r="BC15" s="11" t="s">
        <v>535</v>
      </c>
      <c r="BD15" s="2" t="s">
        <v>584</v>
      </c>
      <c r="BE15" s="2" t="s">
        <v>594</v>
      </c>
      <c r="BF15" s="2" t="s">
        <v>595</v>
      </c>
      <c r="BG15" s="2" t="s">
        <v>509</v>
      </c>
      <c r="BH15" s="12" t="s">
        <v>92</v>
      </c>
      <c r="BI15" s="11" t="s">
        <v>583</v>
      </c>
      <c r="BJ15" s="2" t="s">
        <v>540</v>
      </c>
      <c r="BK15" s="2" t="s">
        <v>570</v>
      </c>
      <c r="BL15" s="2" t="s">
        <v>581</v>
      </c>
      <c r="BM15" s="2" t="s">
        <v>513</v>
      </c>
      <c r="BN15" s="12" t="s">
        <v>92</v>
      </c>
      <c r="BO15" s="118" t="s">
        <v>1863</v>
      </c>
      <c r="BP15" s="116" t="s">
        <v>1871</v>
      </c>
      <c r="BQ15" s="32" t="s">
        <v>1954</v>
      </c>
      <c r="BR15" s="32" t="s">
        <v>1961</v>
      </c>
      <c r="BS15" s="32" t="s">
        <v>1944</v>
      </c>
      <c r="BT15" s="12" t="s">
        <v>1869</v>
      </c>
      <c r="BU15" s="118" t="s">
        <v>1910</v>
      </c>
      <c r="BV15" s="116" t="s">
        <v>127</v>
      </c>
      <c r="BW15" s="32" t="s">
        <v>1962</v>
      </c>
      <c r="BX15" s="116" t="s">
        <v>1965</v>
      </c>
      <c r="BY15" s="32" t="s">
        <v>1869</v>
      </c>
      <c r="BZ15" s="139" t="s">
        <v>2094</v>
      </c>
    </row>
    <row r="16" spans="1:78">
      <c r="A16" s="28" t="s">
        <v>23</v>
      </c>
      <c r="B16" s="14" t="s">
        <v>48</v>
      </c>
      <c r="C16" s="16" t="s">
        <v>90</v>
      </c>
      <c r="D16" s="17" t="s">
        <v>135</v>
      </c>
      <c r="E16" s="125" t="s">
        <v>1976</v>
      </c>
      <c r="F16" s="26" t="s">
        <v>170</v>
      </c>
      <c r="G16" s="11" t="s">
        <v>7</v>
      </c>
      <c r="H16" s="2" t="s">
        <v>7</v>
      </c>
      <c r="I16" s="2" t="s">
        <v>11</v>
      </c>
      <c r="J16" s="2" t="s">
        <v>11</v>
      </c>
      <c r="K16" s="2" t="s">
        <v>8</v>
      </c>
      <c r="L16" s="12" t="s">
        <v>596</v>
      </c>
      <c r="M16" s="11" t="s">
        <v>45</v>
      </c>
      <c r="N16" s="2" t="s">
        <v>597</v>
      </c>
      <c r="O16" s="2" t="s">
        <v>16</v>
      </c>
      <c r="P16" s="2" t="s">
        <v>23</v>
      </c>
      <c r="Q16" s="2" t="s">
        <v>23</v>
      </c>
      <c r="R16" s="12" t="s">
        <v>598</v>
      </c>
      <c r="S16" s="11" t="s">
        <v>78</v>
      </c>
      <c r="T16" s="2" t="s">
        <v>69</v>
      </c>
      <c r="U16" s="2" t="s">
        <v>599</v>
      </c>
      <c r="V16" s="2" t="s">
        <v>600</v>
      </c>
      <c r="W16" s="2" t="s">
        <v>21</v>
      </c>
      <c r="X16" s="12" t="s">
        <v>20</v>
      </c>
      <c r="Y16" s="11" t="s">
        <v>601</v>
      </c>
      <c r="Z16" s="2" t="s">
        <v>90</v>
      </c>
      <c r="AA16" s="2" t="s">
        <v>602</v>
      </c>
      <c r="AB16" s="2" t="s">
        <v>603</v>
      </c>
      <c r="AC16" s="2" t="s">
        <v>604</v>
      </c>
      <c r="AD16" s="12" t="s">
        <v>605</v>
      </c>
      <c r="AE16" s="11" t="s">
        <v>606</v>
      </c>
      <c r="AF16" s="2" t="s">
        <v>607</v>
      </c>
      <c r="AG16" s="2" t="s">
        <v>608</v>
      </c>
      <c r="AH16" s="2" t="s">
        <v>609</v>
      </c>
      <c r="AI16" s="2" t="s">
        <v>610</v>
      </c>
      <c r="AJ16" s="12" t="s">
        <v>605</v>
      </c>
      <c r="AK16" s="11" t="s">
        <v>611</v>
      </c>
      <c r="AL16" s="2" t="s">
        <v>612</v>
      </c>
      <c r="AM16" s="2" t="s">
        <v>613</v>
      </c>
      <c r="AN16" s="2" t="s">
        <v>614</v>
      </c>
      <c r="AO16" s="2" t="s">
        <v>615</v>
      </c>
      <c r="AP16" s="12" t="s">
        <v>605</v>
      </c>
      <c r="AQ16" s="11" t="s">
        <v>320</v>
      </c>
      <c r="AR16" s="2" t="s">
        <v>616</v>
      </c>
      <c r="AS16" s="2" t="s">
        <v>617</v>
      </c>
      <c r="AT16" s="2" t="s">
        <v>618</v>
      </c>
      <c r="AU16" s="2" t="s">
        <v>619</v>
      </c>
      <c r="AV16" s="12" t="s">
        <v>92</v>
      </c>
      <c r="AW16" s="11" t="s">
        <v>620</v>
      </c>
      <c r="AX16" s="2" t="s">
        <v>621</v>
      </c>
      <c r="AY16" s="2" t="s">
        <v>622</v>
      </c>
      <c r="AZ16" s="2" t="s">
        <v>614</v>
      </c>
      <c r="BA16" s="2" t="s">
        <v>623</v>
      </c>
      <c r="BB16" s="12" t="s">
        <v>92</v>
      </c>
      <c r="BC16" s="11" t="s">
        <v>624</v>
      </c>
      <c r="BD16" s="2" t="s">
        <v>625</v>
      </c>
      <c r="BE16" s="2" t="s">
        <v>626</v>
      </c>
      <c r="BF16" s="2" t="s">
        <v>627</v>
      </c>
      <c r="BG16" s="2" t="s">
        <v>628</v>
      </c>
      <c r="BH16" s="12" t="s">
        <v>92</v>
      </c>
      <c r="BI16" s="11" t="s">
        <v>480</v>
      </c>
      <c r="BJ16" s="2" t="s">
        <v>629</v>
      </c>
      <c r="BK16" s="2" t="s">
        <v>630</v>
      </c>
      <c r="BL16" s="2" t="s">
        <v>631</v>
      </c>
      <c r="BM16" s="2" t="s">
        <v>632</v>
      </c>
      <c r="BN16" s="12" t="s">
        <v>92</v>
      </c>
      <c r="BO16" s="11" t="s">
        <v>1875</v>
      </c>
      <c r="BP16" s="32" t="s">
        <v>1950</v>
      </c>
      <c r="BQ16" s="116" t="s">
        <v>149</v>
      </c>
      <c r="BR16" s="32" t="s">
        <v>1941</v>
      </c>
      <c r="BS16" s="116" t="s">
        <v>132</v>
      </c>
      <c r="BT16" s="12" t="s">
        <v>1869</v>
      </c>
      <c r="BU16" s="11" t="s">
        <v>1948</v>
      </c>
      <c r="BV16" s="32" t="s">
        <v>1942</v>
      </c>
      <c r="BW16" s="116" t="s">
        <v>1966</v>
      </c>
      <c r="BX16" s="116" t="s">
        <v>1965</v>
      </c>
      <c r="BY16" s="32" t="s">
        <v>1869</v>
      </c>
      <c r="BZ16" s="139" t="s">
        <v>2094</v>
      </c>
    </row>
    <row r="17" spans="1:78">
      <c r="A17" s="28" t="s">
        <v>24</v>
      </c>
      <c r="B17" s="14" t="s">
        <v>49</v>
      </c>
      <c r="C17" s="16" t="s">
        <v>92</v>
      </c>
      <c r="D17" s="17" t="s">
        <v>138</v>
      </c>
      <c r="E17" s="126" t="s">
        <v>2180</v>
      </c>
      <c r="F17" s="26" t="s">
        <v>171</v>
      </c>
      <c r="G17" s="11" t="s">
        <v>7</v>
      </c>
      <c r="H17" s="2" t="s">
        <v>7</v>
      </c>
      <c r="I17" s="2" t="s">
        <v>633</v>
      </c>
      <c r="J17" s="2" t="s">
        <v>634</v>
      </c>
      <c r="K17" s="2" t="s">
        <v>8</v>
      </c>
      <c r="L17" s="12" t="s">
        <v>8</v>
      </c>
      <c r="M17" s="11" t="s">
        <v>635</v>
      </c>
      <c r="N17" s="2" t="s">
        <v>636</v>
      </c>
      <c r="O17" s="2" t="s">
        <v>23</v>
      </c>
      <c r="P17" s="2" t="s">
        <v>23</v>
      </c>
      <c r="Q17" s="2" t="s">
        <v>637</v>
      </c>
      <c r="R17" s="12" t="s">
        <v>20</v>
      </c>
      <c r="S17" s="11" t="s">
        <v>638</v>
      </c>
      <c r="T17" s="2" t="s">
        <v>639</v>
      </c>
      <c r="U17" s="2" t="s">
        <v>640</v>
      </c>
      <c r="V17" s="2" t="s">
        <v>641</v>
      </c>
      <c r="W17" s="2" t="s">
        <v>642</v>
      </c>
      <c r="X17" s="12" t="s">
        <v>643</v>
      </c>
      <c r="Y17" s="11" t="s">
        <v>644</v>
      </c>
      <c r="Z17" s="2" t="s">
        <v>645</v>
      </c>
      <c r="AA17" s="2" t="s">
        <v>646</v>
      </c>
      <c r="AB17" s="2" t="s">
        <v>647</v>
      </c>
      <c r="AC17" s="2" t="s">
        <v>648</v>
      </c>
      <c r="AD17" s="12" t="s">
        <v>649</v>
      </c>
      <c r="AE17" s="11" t="s">
        <v>650</v>
      </c>
      <c r="AF17" s="2" t="s">
        <v>651</v>
      </c>
      <c r="AG17" s="2" t="s">
        <v>652</v>
      </c>
      <c r="AH17" s="2" t="s">
        <v>635</v>
      </c>
      <c r="AI17" s="2" t="s">
        <v>642</v>
      </c>
      <c r="AJ17" s="12" t="s">
        <v>653</v>
      </c>
      <c r="AK17" s="11" t="s">
        <v>654</v>
      </c>
      <c r="AL17" s="2" t="s">
        <v>655</v>
      </c>
      <c r="AM17" s="2" t="s">
        <v>656</v>
      </c>
      <c r="AN17" s="2" t="s">
        <v>657</v>
      </c>
      <c r="AO17" s="2" t="s">
        <v>658</v>
      </c>
      <c r="AP17" s="12" t="s">
        <v>57</v>
      </c>
      <c r="AQ17" s="11" t="s">
        <v>659</v>
      </c>
      <c r="AR17" s="2" t="s">
        <v>661</v>
      </c>
      <c r="AS17" s="2" t="s">
        <v>660</v>
      </c>
      <c r="AT17" s="2" t="s">
        <v>662</v>
      </c>
      <c r="AU17" s="2" t="s">
        <v>663</v>
      </c>
      <c r="AV17" s="12" t="s">
        <v>57</v>
      </c>
      <c r="AW17" s="11" t="s">
        <v>664</v>
      </c>
      <c r="AX17" s="2" t="s">
        <v>665</v>
      </c>
      <c r="AY17" s="2" t="s">
        <v>650</v>
      </c>
      <c r="AZ17" s="2" t="s">
        <v>666</v>
      </c>
      <c r="BA17" s="2" t="s">
        <v>667</v>
      </c>
      <c r="BB17" s="12" t="s">
        <v>92</v>
      </c>
      <c r="BC17" s="11" t="s">
        <v>668</v>
      </c>
      <c r="BD17" s="2" t="s">
        <v>669</v>
      </c>
      <c r="BE17" s="2" t="s">
        <v>660</v>
      </c>
      <c r="BF17" s="2" t="s">
        <v>644</v>
      </c>
      <c r="BG17" s="2" t="s">
        <v>663</v>
      </c>
      <c r="BH17" s="12" t="s">
        <v>92</v>
      </c>
      <c r="BI17" s="11" t="s">
        <v>670</v>
      </c>
      <c r="BJ17" s="2" t="s">
        <v>671</v>
      </c>
      <c r="BK17" s="2" t="s">
        <v>672</v>
      </c>
      <c r="BL17" s="2" t="s">
        <v>673</v>
      </c>
      <c r="BM17" s="2" t="s">
        <v>651</v>
      </c>
      <c r="BN17" s="12" t="s">
        <v>92</v>
      </c>
      <c r="BO17" s="118" t="s">
        <v>1967</v>
      </c>
      <c r="BP17" s="32" t="s">
        <v>1950</v>
      </c>
      <c r="BQ17" s="116" t="s">
        <v>1953</v>
      </c>
      <c r="BR17" s="116" t="s">
        <v>1968</v>
      </c>
      <c r="BS17" s="116" t="s">
        <v>1944</v>
      </c>
      <c r="BT17" s="12" t="s">
        <v>1869</v>
      </c>
      <c r="BU17" s="118" t="s">
        <v>1969</v>
      </c>
      <c r="BV17" s="32" t="s">
        <v>1949</v>
      </c>
      <c r="BW17" s="116" t="s">
        <v>1970</v>
      </c>
      <c r="BX17" s="116" t="s">
        <v>1965</v>
      </c>
      <c r="BY17" s="32" t="s">
        <v>1869</v>
      </c>
      <c r="BZ17" s="139" t="s">
        <v>2094</v>
      </c>
    </row>
    <row r="18" spans="1:78">
      <c r="A18" s="28" t="s">
        <v>25</v>
      </c>
      <c r="B18" s="14" t="s">
        <v>50</v>
      </c>
      <c r="C18" s="16" t="s">
        <v>93</v>
      </c>
      <c r="D18" s="17" t="s">
        <v>139</v>
      </c>
      <c r="E18" s="8"/>
      <c r="F18" s="26" t="s">
        <v>172</v>
      </c>
      <c r="G18" s="11" t="s">
        <v>7</v>
      </c>
      <c r="H18" s="2" t="s">
        <v>7</v>
      </c>
      <c r="I18" s="2" t="s">
        <v>674</v>
      </c>
      <c r="J18" s="2" t="s">
        <v>674</v>
      </c>
      <c r="K18" s="2" t="s">
        <v>633</v>
      </c>
      <c r="L18" s="12" t="s">
        <v>637</v>
      </c>
      <c r="M18" s="11" t="s">
        <v>640</v>
      </c>
      <c r="N18" s="2" t="s">
        <v>635</v>
      </c>
      <c r="O18" s="2" t="s">
        <v>636</v>
      </c>
      <c r="P18" s="2" t="s">
        <v>23</v>
      </c>
      <c r="Q18" s="2" t="s">
        <v>23</v>
      </c>
      <c r="R18" s="12" t="s">
        <v>20</v>
      </c>
      <c r="S18" s="11" t="s">
        <v>675</v>
      </c>
      <c r="T18" s="2" t="s">
        <v>648</v>
      </c>
      <c r="U18" s="2" t="s">
        <v>676</v>
      </c>
      <c r="V18" s="2" t="s">
        <v>677</v>
      </c>
      <c r="W18" s="2" t="s">
        <v>642</v>
      </c>
      <c r="X18" s="12" t="s">
        <v>643</v>
      </c>
      <c r="Y18" s="11" t="s">
        <v>678</v>
      </c>
      <c r="Z18" s="2" t="s">
        <v>679</v>
      </c>
      <c r="AA18" s="2" t="s">
        <v>680</v>
      </c>
      <c r="AB18" s="2" t="s">
        <v>681</v>
      </c>
      <c r="AC18" s="2" t="s">
        <v>682</v>
      </c>
      <c r="AD18" s="12" t="s">
        <v>643</v>
      </c>
      <c r="AE18" s="11" t="s">
        <v>652</v>
      </c>
      <c r="AF18" s="2" t="s">
        <v>644</v>
      </c>
      <c r="AG18" s="2" t="s">
        <v>651</v>
      </c>
      <c r="AH18" s="2" t="s">
        <v>667</v>
      </c>
      <c r="AI18" s="2" t="s">
        <v>648</v>
      </c>
      <c r="AJ18" s="12" t="s">
        <v>683</v>
      </c>
      <c r="AK18" s="11" t="s">
        <v>659</v>
      </c>
      <c r="AL18" s="2" t="s">
        <v>673</v>
      </c>
      <c r="AM18" s="2" t="s">
        <v>684</v>
      </c>
      <c r="AN18" s="2" t="s">
        <v>639</v>
      </c>
      <c r="AO18" s="2" t="s">
        <v>685</v>
      </c>
      <c r="AP18" s="12" t="s">
        <v>683</v>
      </c>
      <c r="AQ18" s="11" t="s">
        <v>665</v>
      </c>
      <c r="AR18" s="2" t="s">
        <v>655</v>
      </c>
      <c r="AS18" s="2" t="s">
        <v>647</v>
      </c>
      <c r="AT18" s="2" t="s">
        <v>676</v>
      </c>
      <c r="AU18" s="2" t="s">
        <v>635</v>
      </c>
      <c r="AV18" s="12" t="s">
        <v>653</v>
      </c>
      <c r="AW18" s="11" t="s">
        <v>686</v>
      </c>
      <c r="AX18" s="2" t="s">
        <v>672</v>
      </c>
      <c r="AY18" s="2" t="s">
        <v>679</v>
      </c>
      <c r="AZ18" s="2" t="s">
        <v>639</v>
      </c>
      <c r="BA18" s="2" t="s">
        <v>642</v>
      </c>
      <c r="BB18" s="12" t="s">
        <v>653</v>
      </c>
      <c r="BC18" s="11" t="s">
        <v>670</v>
      </c>
      <c r="BD18" s="2" t="s">
        <v>654</v>
      </c>
      <c r="BE18" s="2" t="s">
        <v>660</v>
      </c>
      <c r="BF18" s="2" t="s">
        <v>676</v>
      </c>
      <c r="BG18" s="2" t="s">
        <v>642</v>
      </c>
      <c r="BH18" s="12" t="s">
        <v>92</v>
      </c>
      <c r="BI18" s="11" t="s">
        <v>687</v>
      </c>
      <c r="BJ18" s="2" t="s">
        <v>668</v>
      </c>
      <c r="BK18" s="2" t="s">
        <v>688</v>
      </c>
      <c r="BL18" s="2" t="s">
        <v>651</v>
      </c>
      <c r="BM18" s="2" t="s">
        <v>647</v>
      </c>
      <c r="BN18" s="12" t="s">
        <v>92</v>
      </c>
      <c r="BO18" s="118" t="s">
        <v>1967</v>
      </c>
      <c r="BP18" s="32" t="s">
        <v>1950</v>
      </c>
      <c r="BQ18" s="32" t="s">
        <v>1955</v>
      </c>
      <c r="BR18" s="32" t="s">
        <v>1952</v>
      </c>
      <c r="BS18" s="116" t="s">
        <v>1973</v>
      </c>
      <c r="BT18" s="12" t="s">
        <v>1869</v>
      </c>
      <c r="BU18" s="11" t="s">
        <v>1948</v>
      </c>
      <c r="BV18" s="32" t="s">
        <v>1939</v>
      </c>
      <c r="BW18" s="32" t="s">
        <v>1942</v>
      </c>
      <c r="BX18" s="116" t="s">
        <v>1970</v>
      </c>
      <c r="BY18" s="32" t="s">
        <v>1869</v>
      </c>
      <c r="BZ18" s="139" t="s">
        <v>2094</v>
      </c>
    </row>
    <row r="19" spans="1:78">
      <c r="A19" s="28" t="s">
        <v>26</v>
      </c>
      <c r="B19" s="14" t="s">
        <v>51</v>
      </c>
      <c r="C19" s="16" t="s">
        <v>94</v>
      </c>
      <c r="D19" s="17" t="s">
        <v>142</v>
      </c>
      <c r="E19" s="8"/>
      <c r="F19" s="26" t="s">
        <v>173</v>
      </c>
      <c r="G19" s="11" t="s">
        <v>7</v>
      </c>
      <c r="H19" s="2" t="s">
        <v>7</v>
      </c>
      <c r="I19" s="2" t="s">
        <v>689</v>
      </c>
      <c r="J19" s="2" t="s">
        <v>689</v>
      </c>
      <c r="K19" s="2" t="s">
        <v>690</v>
      </c>
      <c r="L19" s="12" t="s">
        <v>633</v>
      </c>
      <c r="M19" s="2" t="s">
        <v>663</v>
      </c>
      <c r="N19" s="2" t="s">
        <v>691</v>
      </c>
      <c r="O19" s="2" t="s">
        <v>642</v>
      </c>
      <c r="P19" s="2" t="s">
        <v>642</v>
      </c>
      <c r="Q19" s="2" t="s">
        <v>637</v>
      </c>
      <c r="R19" s="12" t="s">
        <v>20</v>
      </c>
      <c r="S19" s="11" t="s">
        <v>692</v>
      </c>
      <c r="T19" s="2" t="s">
        <v>693</v>
      </c>
      <c r="U19" s="2" t="s">
        <v>640</v>
      </c>
      <c r="V19" s="2" t="s">
        <v>663</v>
      </c>
      <c r="W19" s="2" t="s">
        <v>691</v>
      </c>
      <c r="X19" s="12" t="s">
        <v>653</v>
      </c>
      <c r="Y19" s="11" t="s">
        <v>644</v>
      </c>
      <c r="Z19" s="2" t="s">
        <v>694</v>
      </c>
      <c r="AA19" s="2" t="s">
        <v>695</v>
      </c>
      <c r="AB19" s="2" t="s">
        <v>663</v>
      </c>
      <c r="AC19" s="2" t="s">
        <v>642</v>
      </c>
      <c r="AD19" s="12" t="s">
        <v>653</v>
      </c>
      <c r="AE19" s="11" t="s">
        <v>651</v>
      </c>
      <c r="AF19" s="2" t="s">
        <v>652</v>
      </c>
      <c r="AG19" s="2" t="s">
        <v>694</v>
      </c>
      <c r="AH19" s="2" t="s">
        <v>696</v>
      </c>
      <c r="AI19" s="2" t="s">
        <v>642</v>
      </c>
      <c r="AJ19" s="12" t="s">
        <v>653</v>
      </c>
      <c r="AK19" s="11" t="s">
        <v>697</v>
      </c>
      <c r="AL19" s="2" t="s">
        <v>698</v>
      </c>
      <c r="AM19" s="2" t="s">
        <v>638</v>
      </c>
      <c r="AN19" s="2" t="s">
        <v>667</v>
      </c>
      <c r="AO19" s="2" t="s">
        <v>691</v>
      </c>
      <c r="AP19" s="12" t="s">
        <v>653</v>
      </c>
      <c r="AQ19" s="11" t="s">
        <v>699</v>
      </c>
      <c r="AR19" s="2" t="s">
        <v>672</v>
      </c>
      <c r="AS19" s="2" t="s">
        <v>660</v>
      </c>
      <c r="AT19" s="2" t="s">
        <v>640</v>
      </c>
      <c r="AU19" s="2" t="s">
        <v>642</v>
      </c>
      <c r="AV19" s="12" t="s">
        <v>700</v>
      </c>
      <c r="AW19" s="11" t="s">
        <v>687</v>
      </c>
      <c r="AX19" s="2" t="s">
        <v>665</v>
      </c>
      <c r="AY19" s="2" t="s">
        <v>651</v>
      </c>
      <c r="AZ19" s="2" t="s">
        <v>663</v>
      </c>
      <c r="BA19" s="2" t="s">
        <v>642</v>
      </c>
      <c r="BB19" s="12" t="s">
        <v>700</v>
      </c>
      <c r="BC19" s="11" t="s">
        <v>670</v>
      </c>
      <c r="BD19" s="2" t="s">
        <v>655</v>
      </c>
      <c r="BE19" s="2" t="s">
        <v>701</v>
      </c>
      <c r="BF19" s="2" t="s">
        <v>650</v>
      </c>
      <c r="BG19" s="2" t="s">
        <v>666</v>
      </c>
      <c r="BH19" s="12" t="s">
        <v>92</v>
      </c>
      <c r="BI19" s="11" t="s">
        <v>671</v>
      </c>
      <c r="BJ19" s="2" t="s">
        <v>668</v>
      </c>
      <c r="BK19" s="2" t="s">
        <v>654</v>
      </c>
      <c r="BL19" s="2" t="s">
        <v>651</v>
      </c>
      <c r="BM19" s="2" t="s">
        <v>692</v>
      </c>
      <c r="BN19" s="12" t="s">
        <v>92</v>
      </c>
      <c r="BO19" s="118" t="s">
        <v>1967</v>
      </c>
      <c r="BP19" s="32" t="s">
        <v>1950</v>
      </c>
      <c r="BQ19" s="32" t="s">
        <v>1949</v>
      </c>
      <c r="BR19" s="116" t="s">
        <v>117</v>
      </c>
      <c r="BS19" s="32" t="s">
        <v>1947</v>
      </c>
      <c r="BT19" s="12" t="s">
        <v>1869</v>
      </c>
      <c r="BU19" s="11" t="s">
        <v>1948</v>
      </c>
      <c r="BV19" s="32" t="s">
        <v>1960</v>
      </c>
      <c r="BW19" s="32" t="s">
        <v>1962</v>
      </c>
      <c r="BX19" s="116" t="s">
        <v>1966</v>
      </c>
      <c r="BY19" s="32" t="s">
        <v>1869</v>
      </c>
      <c r="BZ19" s="139" t="s">
        <v>2094</v>
      </c>
    </row>
    <row r="20" spans="1:78">
      <c r="A20" s="28" t="s">
        <v>27</v>
      </c>
      <c r="B20" s="14" t="s">
        <v>52</v>
      </c>
      <c r="C20" s="16" t="s">
        <v>97</v>
      </c>
      <c r="D20" s="17" t="s">
        <v>143</v>
      </c>
      <c r="E20" s="8"/>
      <c r="F20" s="26" t="s">
        <v>174</v>
      </c>
      <c r="G20" s="11" t="s">
        <v>7</v>
      </c>
      <c r="H20" s="2" t="s">
        <v>7</v>
      </c>
      <c r="I20" s="2" t="s">
        <v>689</v>
      </c>
      <c r="J20" s="2" t="s">
        <v>689</v>
      </c>
      <c r="K20" s="2" t="s">
        <v>689</v>
      </c>
      <c r="L20" s="12" t="s">
        <v>702</v>
      </c>
      <c r="M20" s="2" t="s">
        <v>635</v>
      </c>
      <c r="N20" s="2" t="s">
        <v>703</v>
      </c>
      <c r="O20" s="2" t="s">
        <v>642</v>
      </c>
      <c r="P20" s="2" t="s">
        <v>642</v>
      </c>
      <c r="Q20" s="2" t="s">
        <v>704</v>
      </c>
      <c r="R20" s="12" t="s">
        <v>20</v>
      </c>
      <c r="S20" s="11" t="s">
        <v>638</v>
      </c>
      <c r="T20" s="2" t="s">
        <v>675</v>
      </c>
      <c r="U20" s="2" t="s">
        <v>667</v>
      </c>
      <c r="V20" s="2" t="s">
        <v>705</v>
      </c>
      <c r="W20" s="2" t="s">
        <v>635</v>
      </c>
      <c r="X20" s="12" t="s">
        <v>653</v>
      </c>
      <c r="Y20" s="11" t="s">
        <v>673</v>
      </c>
      <c r="Z20" s="2" t="s">
        <v>644</v>
      </c>
      <c r="AA20" s="2" t="s">
        <v>663</v>
      </c>
      <c r="AB20" s="2" t="s">
        <v>635</v>
      </c>
      <c r="AC20" s="2" t="s">
        <v>642</v>
      </c>
      <c r="AD20" s="12" t="s">
        <v>683</v>
      </c>
      <c r="AE20" s="11" t="s">
        <v>652</v>
      </c>
      <c r="AF20" s="2" t="s">
        <v>706</v>
      </c>
      <c r="AG20" s="2" t="s">
        <v>660</v>
      </c>
      <c r="AH20" s="2" t="s">
        <v>648</v>
      </c>
      <c r="AI20" s="2" t="s">
        <v>642</v>
      </c>
      <c r="AJ20" s="12" t="s">
        <v>707</v>
      </c>
      <c r="AK20" s="11" t="s">
        <v>708</v>
      </c>
      <c r="AL20" s="2" t="s">
        <v>698</v>
      </c>
      <c r="AM20" s="2" t="s">
        <v>638</v>
      </c>
      <c r="AN20" s="2" t="s">
        <v>684</v>
      </c>
      <c r="AO20" s="2" t="s">
        <v>667</v>
      </c>
      <c r="AP20" s="12" t="s">
        <v>653</v>
      </c>
      <c r="AQ20" s="11" t="s">
        <v>654</v>
      </c>
      <c r="AR20" s="2" t="s">
        <v>665</v>
      </c>
      <c r="AS20" s="2" t="s">
        <v>651</v>
      </c>
      <c r="AT20" s="2" t="s">
        <v>650</v>
      </c>
      <c r="AU20" s="2" t="s">
        <v>709</v>
      </c>
      <c r="AV20" s="12" t="s">
        <v>700</v>
      </c>
      <c r="AW20" s="11" t="s">
        <v>687</v>
      </c>
      <c r="AX20" s="2" t="s">
        <v>708</v>
      </c>
      <c r="AY20" s="2" t="s">
        <v>652</v>
      </c>
      <c r="AZ20" s="2" t="s">
        <v>660</v>
      </c>
      <c r="BA20" s="2" t="s">
        <v>666</v>
      </c>
      <c r="BB20" s="12" t="s">
        <v>700</v>
      </c>
      <c r="BC20" s="11" t="s">
        <v>710</v>
      </c>
      <c r="BD20" s="2" t="s">
        <v>655</v>
      </c>
      <c r="BE20" s="2" t="s">
        <v>644</v>
      </c>
      <c r="BF20" s="2" t="s">
        <v>651</v>
      </c>
      <c r="BG20" s="2" t="s">
        <v>692</v>
      </c>
      <c r="BH20" s="12" t="s">
        <v>92</v>
      </c>
      <c r="BI20" s="11" t="s">
        <v>670</v>
      </c>
      <c r="BJ20" s="2" t="s">
        <v>654</v>
      </c>
      <c r="BK20" s="2" t="s">
        <v>665</v>
      </c>
      <c r="BL20" s="2" t="s">
        <v>711</v>
      </c>
      <c r="BM20" s="2" t="s">
        <v>673</v>
      </c>
      <c r="BN20" s="12" t="s">
        <v>92</v>
      </c>
      <c r="BO20" s="118" t="s">
        <v>1967</v>
      </c>
      <c r="BP20" s="32" t="s">
        <v>1950</v>
      </c>
      <c r="BQ20" s="32" t="s">
        <v>1949</v>
      </c>
      <c r="BR20" s="116" t="s">
        <v>1974</v>
      </c>
      <c r="BS20" s="32" t="s">
        <v>1952</v>
      </c>
      <c r="BT20" s="12" t="s">
        <v>1869</v>
      </c>
      <c r="BU20" s="11" t="s">
        <v>1948</v>
      </c>
      <c r="BV20" s="116" t="s">
        <v>148</v>
      </c>
      <c r="BW20" s="116" t="s">
        <v>1973</v>
      </c>
      <c r="BX20" s="32" t="s">
        <v>1944</v>
      </c>
      <c r="BY20" s="32" t="s">
        <v>1869</v>
      </c>
      <c r="BZ20" s="139" t="s">
        <v>2094</v>
      </c>
    </row>
    <row r="21" spans="1:78">
      <c r="A21" s="32"/>
      <c r="B21" s="14" t="s">
        <v>53</v>
      </c>
      <c r="C21" s="16" t="s">
        <v>99</v>
      </c>
      <c r="D21" s="17" t="s">
        <v>144</v>
      </c>
      <c r="E21" s="8"/>
      <c r="F21" s="26" t="s">
        <v>175</v>
      </c>
      <c r="G21" s="11" t="s">
        <v>7</v>
      </c>
      <c r="H21" s="2" t="s">
        <v>689</v>
      </c>
      <c r="I21" s="2" t="s">
        <v>674</v>
      </c>
      <c r="J21" s="2" t="s">
        <v>712</v>
      </c>
      <c r="K21" s="2" t="s">
        <v>702</v>
      </c>
      <c r="L21" s="12" t="s">
        <v>634</v>
      </c>
      <c r="M21" s="11" t="s">
        <v>635</v>
      </c>
      <c r="N21" s="2" t="s">
        <v>704</v>
      </c>
      <c r="O21" s="2" t="s">
        <v>642</v>
      </c>
      <c r="P21" s="2" t="s">
        <v>636</v>
      </c>
      <c r="Q21" s="2" t="s">
        <v>637</v>
      </c>
      <c r="R21" s="12" t="s">
        <v>20</v>
      </c>
      <c r="S21" s="11" t="s">
        <v>675</v>
      </c>
      <c r="T21" s="2" t="s">
        <v>640</v>
      </c>
      <c r="U21" s="2" t="s">
        <v>641</v>
      </c>
      <c r="V21" s="2" t="s">
        <v>648</v>
      </c>
      <c r="W21" s="2" t="s">
        <v>642</v>
      </c>
      <c r="X21" s="12" t="s">
        <v>643</v>
      </c>
      <c r="Y21" s="11" t="s">
        <v>713</v>
      </c>
      <c r="Z21" s="2" t="s">
        <v>678</v>
      </c>
      <c r="AA21" s="2" t="s">
        <v>638</v>
      </c>
      <c r="AB21" s="2" t="s">
        <v>639</v>
      </c>
      <c r="AC21" s="2" t="s">
        <v>636</v>
      </c>
      <c r="AD21" s="12" t="s">
        <v>683</v>
      </c>
      <c r="AE21" s="11" t="s">
        <v>660</v>
      </c>
      <c r="AF21" s="2" t="s">
        <v>651</v>
      </c>
      <c r="AG21" s="2" t="s">
        <v>667</v>
      </c>
      <c r="AH21" s="2" t="s">
        <v>676</v>
      </c>
      <c r="AI21" s="2" t="s">
        <v>642</v>
      </c>
      <c r="AJ21" s="12" t="s">
        <v>683</v>
      </c>
      <c r="AK21" s="11" t="s">
        <v>654</v>
      </c>
      <c r="AL21" s="2" t="s">
        <v>673</v>
      </c>
      <c r="AM21" s="2" t="s">
        <v>652</v>
      </c>
      <c r="AN21" s="2" t="s">
        <v>713</v>
      </c>
      <c r="AO21" s="2" t="s">
        <v>641</v>
      </c>
      <c r="AP21" s="12" t="s">
        <v>653</v>
      </c>
      <c r="AQ21" s="11" t="s">
        <v>665</v>
      </c>
      <c r="AR21" s="2" t="s">
        <v>714</v>
      </c>
      <c r="AS21" s="2" t="s">
        <v>705</v>
      </c>
      <c r="AT21" s="2" t="s">
        <v>639</v>
      </c>
      <c r="AU21" s="2" t="s">
        <v>642</v>
      </c>
      <c r="AV21" s="12" t="s">
        <v>653</v>
      </c>
      <c r="AW21" s="11" t="s">
        <v>687</v>
      </c>
      <c r="AX21" s="2" t="s">
        <v>655</v>
      </c>
      <c r="AY21" s="2" t="s">
        <v>701</v>
      </c>
      <c r="AZ21" s="2" t="s">
        <v>650</v>
      </c>
      <c r="BA21" s="2" t="s">
        <v>667</v>
      </c>
      <c r="BB21" s="12" t="s">
        <v>700</v>
      </c>
      <c r="BC21" s="11" t="s">
        <v>668</v>
      </c>
      <c r="BD21" s="2" t="s">
        <v>715</v>
      </c>
      <c r="BE21" s="2" t="s">
        <v>654</v>
      </c>
      <c r="BF21" s="2" t="s">
        <v>678</v>
      </c>
      <c r="BG21" s="2" t="s">
        <v>642</v>
      </c>
      <c r="BH21" s="12" t="s">
        <v>92</v>
      </c>
      <c r="BI21" s="11" t="s">
        <v>671</v>
      </c>
      <c r="BJ21" s="2" t="s">
        <v>716</v>
      </c>
      <c r="BK21" s="2" t="s">
        <v>714</v>
      </c>
      <c r="BL21" s="2" t="s">
        <v>651</v>
      </c>
      <c r="BM21" s="2" t="s">
        <v>639</v>
      </c>
      <c r="BN21" s="12" t="s">
        <v>92</v>
      </c>
      <c r="BO21" s="118" t="s">
        <v>1863</v>
      </c>
      <c r="BP21" s="32" t="s">
        <v>1950</v>
      </c>
      <c r="BQ21" s="32" t="s">
        <v>1942</v>
      </c>
      <c r="BR21" s="116" t="s">
        <v>1975</v>
      </c>
      <c r="BS21" s="116" t="s">
        <v>1954</v>
      </c>
      <c r="BT21" s="12" t="s">
        <v>1869</v>
      </c>
      <c r="BU21" s="118" t="s">
        <v>1969</v>
      </c>
      <c r="BV21" s="116" t="s">
        <v>1976</v>
      </c>
      <c r="BW21" s="116" t="s">
        <v>1970</v>
      </c>
      <c r="BX21" s="116" t="s">
        <v>1960</v>
      </c>
      <c r="BY21" s="32" t="s">
        <v>1869</v>
      </c>
      <c r="BZ21" s="139" t="s">
        <v>2094</v>
      </c>
    </row>
    <row r="22" spans="1:78">
      <c r="A22" s="32"/>
      <c r="B22" s="14" t="s">
        <v>54</v>
      </c>
      <c r="C22" s="16" t="s">
        <v>100</v>
      </c>
      <c r="D22" s="17" t="s">
        <v>145</v>
      </c>
      <c r="E22" s="8"/>
      <c r="F22" s="26" t="s">
        <v>176</v>
      </c>
      <c r="G22" s="11" t="s">
        <v>7</v>
      </c>
      <c r="H22" s="2" t="s">
        <v>7</v>
      </c>
      <c r="I22" s="2" t="s">
        <v>8</v>
      </c>
      <c r="J22" s="2" t="s">
        <v>8</v>
      </c>
      <c r="K22" s="2" t="s">
        <v>488</v>
      </c>
      <c r="L22" s="12" t="s">
        <v>490</v>
      </c>
      <c r="M22" s="11" t="s">
        <v>491</v>
      </c>
      <c r="N22" s="2" t="s">
        <v>492</v>
      </c>
      <c r="O22" s="2" t="s">
        <v>23</v>
      </c>
      <c r="P22" s="2" t="s">
        <v>23</v>
      </c>
      <c r="Q22" s="2" t="s">
        <v>15</v>
      </c>
      <c r="R22" s="12" t="s">
        <v>493</v>
      </c>
      <c r="S22" s="2" t="s">
        <v>495</v>
      </c>
      <c r="T22" s="2" t="s">
        <v>494</v>
      </c>
      <c r="U22" s="2" t="s">
        <v>496</v>
      </c>
      <c r="V22" s="2" t="s">
        <v>497</v>
      </c>
      <c r="W22" s="2" t="s">
        <v>498</v>
      </c>
      <c r="X22" s="12" t="s">
        <v>493</v>
      </c>
      <c r="Y22" s="11" t="s">
        <v>673</v>
      </c>
      <c r="Z22" s="2" t="s">
        <v>93</v>
      </c>
      <c r="AA22" s="2" t="s">
        <v>80</v>
      </c>
      <c r="AB22" s="2" t="s">
        <v>69</v>
      </c>
      <c r="AC22" s="2" t="s">
        <v>30</v>
      </c>
      <c r="AD22" s="12" t="s">
        <v>57</v>
      </c>
      <c r="AE22" s="2" t="s">
        <v>100</v>
      </c>
      <c r="AF22" s="2" t="s">
        <v>106</v>
      </c>
      <c r="AG22" s="2" t="s">
        <v>85</v>
      </c>
      <c r="AH22" s="2" t="s">
        <v>68</v>
      </c>
      <c r="AI22" s="2" t="s">
        <v>54</v>
      </c>
      <c r="AJ22" s="12" t="s">
        <v>57</v>
      </c>
      <c r="AK22" s="2" t="s">
        <v>127</v>
      </c>
      <c r="AL22" s="2" t="s">
        <v>652</v>
      </c>
      <c r="AM22" s="2" t="s">
        <v>108</v>
      </c>
      <c r="AN22" s="2" t="s">
        <v>79</v>
      </c>
      <c r="AO22" s="2" t="s">
        <v>67</v>
      </c>
      <c r="AP22" s="12" t="s">
        <v>57</v>
      </c>
      <c r="AQ22" s="2" t="s">
        <v>485</v>
      </c>
      <c r="AR22" s="2" t="s">
        <v>407</v>
      </c>
      <c r="AS22" s="2" t="s">
        <v>449</v>
      </c>
      <c r="AT22" s="2" t="s">
        <v>417</v>
      </c>
      <c r="AU22" s="2" t="s">
        <v>427</v>
      </c>
      <c r="AV22" s="12" t="s">
        <v>414</v>
      </c>
      <c r="AW22" s="2" t="s">
        <v>480</v>
      </c>
      <c r="AX22" s="2" t="s">
        <v>396</v>
      </c>
      <c r="AY22" s="2" t="s">
        <v>439</v>
      </c>
      <c r="AZ22" s="2" t="s">
        <v>451</v>
      </c>
      <c r="BA22" s="2" t="s">
        <v>482</v>
      </c>
      <c r="BB22" s="12" t="s">
        <v>414</v>
      </c>
      <c r="BC22" s="2" t="s">
        <v>422</v>
      </c>
      <c r="BD22" s="2" t="s">
        <v>486</v>
      </c>
      <c r="BE22" s="2" t="s">
        <v>413</v>
      </c>
      <c r="BF22" s="2" t="s">
        <v>438</v>
      </c>
      <c r="BG22" s="2" t="s">
        <v>453</v>
      </c>
      <c r="BH22" s="12" t="s">
        <v>414</v>
      </c>
      <c r="BI22" s="2" t="s">
        <v>420</v>
      </c>
      <c r="BJ22" s="2" t="s">
        <v>419</v>
      </c>
      <c r="BK22" s="2" t="s">
        <v>418</v>
      </c>
      <c r="BL22" s="2" t="s">
        <v>408</v>
      </c>
      <c r="BM22" s="2" t="s">
        <v>417</v>
      </c>
      <c r="BN22" s="12" t="s">
        <v>414</v>
      </c>
      <c r="BO22" s="11" t="s">
        <v>1875</v>
      </c>
      <c r="BP22" s="32" t="s">
        <v>1950</v>
      </c>
      <c r="BQ22" s="32" t="s">
        <v>148</v>
      </c>
      <c r="BR22" s="32" t="s">
        <v>145</v>
      </c>
      <c r="BS22" s="116" t="s">
        <v>1873</v>
      </c>
      <c r="BT22" s="12" t="s">
        <v>1869</v>
      </c>
      <c r="BU22" s="11" t="s">
        <v>1948</v>
      </c>
      <c r="BV22" s="32" t="s">
        <v>1949</v>
      </c>
      <c r="BW22" s="32" t="s">
        <v>1942</v>
      </c>
      <c r="BX22" s="116" t="s">
        <v>1965</v>
      </c>
      <c r="BY22" s="32" t="s">
        <v>1869</v>
      </c>
      <c r="BZ22" s="139" t="s">
        <v>2094</v>
      </c>
    </row>
    <row r="23" spans="1:78">
      <c r="A23" s="32"/>
      <c r="B23" s="14" t="s">
        <v>55</v>
      </c>
      <c r="C23" s="16" t="s">
        <v>101</v>
      </c>
      <c r="D23" s="17" t="s">
        <v>146</v>
      </c>
      <c r="E23" s="8"/>
      <c r="F23" s="26" t="s">
        <v>177</v>
      </c>
      <c r="G23" s="11" t="s">
        <v>7</v>
      </c>
      <c r="H23" s="2" t="s">
        <v>7</v>
      </c>
      <c r="I23" s="2" t="s">
        <v>8</v>
      </c>
      <c r="J23" s="2" t="s">
        <v>8</v>
      </c>
      <c r="K23" s="2" t="s">
        <v>488</v>
      </c>
      <c r="L23" s="12" t="s">
        <v>16</v>
      </c>
      <c r="M23" s="11" t="s">
        <v>41</v>
      </c>
      <c r="N23" s="2" t="s">
        <v>25</v>
      </c>
      <c r="O23" s="2" t="s">
        <v>23</v>
      </c>
      <c r="P23" s="2" t="s">
        <v>23</v>
      </c>
      <c r="Q23" s="2" t="s">
        <v>15</v>
      </c>
      <c r="R23" s="12" t="s">
        <v>20</v>
      </c>
      <c r="S23" s="2" t="s">
        <v>72</v>
      </c>
      <c r="T23" s="2" t="s">
        <v>67</v>
      </c>
      <c r="U23" s="2" t="s">
        <v>49</v>
      </c>
      <c r="V23" s="2" t="s">
        <v>45</v>
      </c>
      <c r="W23" s="2" t="s">
        <v>21</v>
      </c>
      <c r="X23" s="12" t="s">
        <v>20</v>
      </c>
      <c r="Y23" s="11" t="s">
        <v>673</v>
      </c>
      <c r="Z23" s="2" t="s">
        <v>93</v>
      </c>
      <c r="AA23" s="2" t="s">
        <v>80</v>
      </c>
      <c r="AB23" s="2" t="s">
        <v>69</v>
      </c>
      <c r="AC23" s="2" t="s">
        <v>30</v>
      </c>
      <c r="AD23" s="12" t="s">
        <v>57</v>
      </c>
      <c r="AE23" s="2" t="s">
        <v>100</v>
      </c>
      <c r="AF23" s="2" t="s">
        <v>106</v>
      </c>
      <c r="AG23" s="2" t="s">
        <v>85</v>
      </c>
      <c r="AH23" s="2" t="s">
        <v>68</v>
      </c>
      <c r="AI23" s="2" t="s">
        <v>54</v>
      </c>
      <c r="AJ23" s="12" t="s">
        <v>57</v>
      </c>
      <c r="AK23" s="2" t="s">
        <v>127</v>
      </c>
      <c r="AL23" s="2" t="s">
        <v>651</v>
      </c>
      <c r="AM23" s="2" t="s">
        <v>108</v>
      </c>
      <c r="AN23" s="2" t="s">
        <v>79</v>
      </c>
      <c r="AO23" s="2" t="s">
        <v>67</v>
      </c>
      <c r="AP23" s="12" t="s">
        <v>57</v>
      </c>
      <c r="AQ23" s="11" t="s">
        <v>655</v>
      </c>
      <c r="AR23" s="2" t="s">
        <v>688</v>
      </c>
      <c r="AS23" s="2" t="s">
        <v>645</v>
      </c>
      <c r="AT23" s="2" t="s">
        <v>639</v>
      </c>
      <c r="AU23" s="2" t="s">
        <v>662</v>
      </c>
      <c r="AV23" s="12" t="s">
        <v>92</v>
      </c>
      <c r="AW23" s="11" t="s">
        <v>716</v>
      </c>
      <c r="AX23" s="2" t="s">
        <v>714</v>
      </c>
      <c r="AY23" s="2" t="s">
        <v>651</v>
      </c>
      <c r="AZ23" s="2" t="s">
        <v>717</v>
      </c>
      <c r="BA23" s="2" t="s">
        <v>718</v>
      </c>
      <c r="BB23" s="12" t="s">
        <v>92</v>
      </c>
      <c r="BC23" s="11" t="s">
        <v>671</v>
      </c>
      <c r="BD23" s="2" t="s">
        <v>659</v>
      </c>
      <c r="BE23" s="2" t="s">
        <v>673</v>
      </c>
      <c r="BF23" s="2" t="s">
        <v>638</v>
      </c>
      <c r="BG23" s="2" t="s">
        <v>67</v>
      </c>
      <c r="BH23" s="12" t="s">
        <v>92</v>
      </c>
      <c r="BI23" s="11" t="s">
        <v>716</v>
      </c>
      <c r="BJ23" s="2" t="s">
        <v>687</v>
      </c>
      <c r="BK23" s="2" t="s">
        <v>688</v>
      </c>
      <c r="BL23" s="2" t="s">
        <v>651</v>
      </c>
      <c r="BM23" s="2" t="s">
        <v>639</v>
      </c>
      <c r="BN23" s="12" t="s">
        <v>700</v>
      </c>
      <c r="BO23" s="11" t="s">
        <v>1875</v>
      </c>
      <c r="BP23" s="116" t="s">
        <v>1871</v>
      </c>
      <c r="BQ23" s="32" t="s">
        <v>148</v>
      </c>
      <c r="BR23" s="116" t="s">
        <v>149</v>
      </c>
      <c r="BS23" s="116" t="s">
        <v>1873</v>
      </c>
      <c r="BT23" s="12" t="s">
        <v>1869</v>
      </c>
      <c r="BU23" s="11" t="s">
        <v>1948</v>
      </c>
      <c r="BV23" s="32" t="s">
        <v>1949</v>
      </c>
      <c r="BW23" s="116" t="s">
        <v>127</v>
      </c>
      <c r="BX23" s="116" t="s">
        <v>117</v>
      </c>
      <c r="BY23" s="32" t="s">
        <v>1869</v>
      </c>
      <c r="BZ23" s="139" t="s">
        <v>2094</v>
      </c>
    </row>
    <row r="24" spans="1:78">
      <c r="A24" s="32"/>
      <c r="B24" s="14" t="s">
        <v>57</v>
      </c>
      <c r="C24" s="16" t="s">
        <v>102</v>
      </c>
      <c r="D24" s="17" t="s">
        <v>126</v>
      </c>
      <c r="E24" s="8"/>
      <c r="F24" s="26" t="s">
        <v>178</v>
      </c>
      <c r="G24" s="11" t="s">
        <v>7</v>
      </c>
      <c r="H24" s="2" t="s">
        <v>7</v>
      </c>
      <c r="I24" s="2" t="s">
        <v>8</v>
      </c>
      <c r="J24" s="2" t="s">
        <v>8</v>
      </c>
      <c r="K24" s="2" t="s">
        <v>637</v>
      </c>
      <c r="L24" s="12" t="s">
        <v>16</v>
      </c>
      <c r="M24" s="2" t="s">
        <v>635</v>
      </c>
      <c r="N24" s="2" t="s">
        <v>642</v>
      </c>
      <c r="O24" s="2" t="s">
        <v>642</v>
      </c>
      <c r="P24" s="2" t="s">
        <v>636</v>
      </c>
      <c r="Q24" s="2" t="s">
        <v>704</v>
      </c>
      <c r="R24" s="12" t="s">
        <v>20</v>
      </c>
      <c r="S24" s="11" t="s">
        <v>675</v>
      </c>
      <c r="T24" s="2" t="s">
        <v>648</v>
      </c>
      <c r="U24" s="2" t="s">
        <v>49</v>
      </c>
      <c r="V24" s="2" t="s">
        <v>641</v>
      </c>
      <c r="W24" s="2" t="s">
        <v>642</v>
      </c>
      <c r="X24" s="12" t="s">
        <v>20</v>
      </c>
      <c r="Y24" s="11" t="s">
        <v>684</v>
      </c>
      <c r="Z24" s="2" t="s">
        <v>644</v>
      </c>
      <c r="AA24" s="2" t="s">
        <v>719</v>
      </c>
      <c r="AB24" s="2" t="s">
        <v>720</v>
      </c>
      <c r="AC24" s="2" t="s">
        <v>642</v>
      </c>
      <c r="AD24" s="12" t="s">
        <v>643</v>
      </c>
      <c r="AE24" s="11" t="s">
        <v>660</v>
      </c>
      <c r="AF24" s="2" t="s">
        <v>651</v>
      </c>
      <c r="AG24" s="2" t="s">
        <v>667</v>
      </c>
      <c r="AH24" s="2" t="s">
        <v>663</v>
      </c>
      <c r="AI24" s="2" t="s">
        <v>662</v>
      </c>
      <c r="AJ24" s="12" t="s">
        <v>653</v>
      </c>
      <c r="AK24" s="11" t="s">
        <v>654</v>
      </c>
      <c r="AL24" s="2" t="s">
        <v>652</v>
      </c>
      <c r="AM24" s="2" t="s">
        <v>721</v>
      </c>
      <c r="AN24" s="2" t="s">
        <v>705</v>
      </c>
      <c r="AO24" s="2" t="s">
        <v>704</v>
      </c>
      <c r="AP24" s="12" t="s">
        <v>653</v>
      </c>
      <c r="AQ24" s="11" t="s">
        <v>665</v>
      </c>
      <c r="AR24" s="2" t="s">
        <v>698</v>
      </c>
      <c r="AS24" s="2" t="s">
        <v>638</v>
      </c>
      <c r="AT24" s="2" t="s">
        <v>663</v>
      </c>
      <c r="AU24" s="2" t="s">
        <v>642</v>
      </c>
      <c r="AV24" s="12" t="s">
        <v>653</v>
      </c>
      <c r="AW24" s="11" t="s">
        <v>687</v>
      </c>
      <c r="AX24" s="2" t="s">
        <v>654</v>
      </c>
      <c r="AY24" s="2" t="s">
        <v>698</v>
      </c>
      <c r="AZ24" s="2" t="s">
        <v>706</v>
      </c>
      <c r="BA24" s="2" t="s">
        <v>666</v>
      </c>
      <c r="BB24" s="12" t="s">
        <v>92</v>
      </c>
      <c r="BC24" s="11" t="s">
        <v>668</v>
      </c>
      <c r="BD24" s="2" t="s">
        <v>711</v>
      </c>
      <c r="BE24" s="2" t="s">
        <v>698</v>
      </c>
      <c r="BF24" s="2" t="s">
        <v>638</v>
      </c>
      <c r="BG24" s="2" t="s">
        <v>650</v>
      </c>
      <c r="BH24" s="12" t="s">
        <v>92</v>
      </c>
      <c r="BI24" s="11" t="s">
        <v>670</v>
      </c>
      <c r="BJ24" s="2" t="s">
        <v>722</v>
      </c>
      <c r="BK24" s="2" t="s">
        <v>715</v>
      </c>
      <c r="BL24" s="2" t="s">
        <v>654</v>
      </c>
      <c r="BM24" s="2" t="s">
        <v>651</v>
      </c>
      <c r="BN24" s="12" t="s">
        <v>700</v>
      </c>
      <c r="BO24" s="118" t="s">
        <v>1967</v>
      </c>
      <c r="BP24" s="32" t="s">
        <v>1950</v>
      </c>
      <c r="BQ24" s="116" t="s">
        <v>1966</v>
      </c>
      <c r="BR24" s="116" t="s">
        <v>1977</v>
      </c>
      <c r="BS24" s="116" t="s">
        <v>1944</v>
      </c>
      <c r="BT24" s="12" t="s">
        <v>1869</v>
      </c>
      <c r="BU24" s="118" t="s">
        <v>1969</v>
      </c>
      <c r="BV24" s="32" t="s">
        <v>1949</v>
      </c>
      <c r="BW24" s="116" t="s">
        <v>1953</v>
      </c>
      <c r="BX24" s="116" t="s">
        <v>1960</v>
      </c>
      <c r="BY24" s="32" t="s">
        <v>1869</v>
      </c>
      <c r="BZ24" s="139" t="s">
        <v>2094</v>
      </c>
    </row>
    <row r="25" spans="1:78">
      <c r="A25" s="32"/>
      <c r="B25" s="14" t="s">
        <v>58</v>
      </c>
      <c r="C25" s="16" t="s">
        <v>104</v>
      </c>
      <c r="D25" s="17" t="s">
        <v>147</v>
      </c>
      <c r="E25" s="8"/>
      <c r="F25" s="26" t="s">
        <v>179</v>
      </c>
      <c r="G25" s="11" t="s">
        <v>7</v>
      </c>
      <c r="H25" s="2" t="s">
        <v>7</v>
      </c>
      <c r="I25" s="2" t="s">
        <v>8</v>
      </c>
      <c r="J25" s="2" t="s">
        <v>8</v>
      </c>
      <c r="K25" s="2" t="s">
        <v>674</v>
      </c>
      <c r="L25" s="12" t="s">
        <v>674</v>
      </c>
      <c r="M25" s="2" t="s">
        <v>635</v>
      </c>
      <c r="N25" s="2" t="s">
        <v>641</v>
      </c>
      <c r="O25" s="2" t="s">
        <v>642</v>
      </c>
      <c r="P25" s="2" t="s">
        <v>642</v>
      </c>
      <c r="Q25" s="2" t="s">
        <v>704</v>
      </c>
      <c r="R25" s="12" t="s">
        <v>20</v>
      </c>
      <c r="S25" s="2" t="s">
        <v>684</v>
      </c>
      <c r="T25" s="2" t="s">
        <v>650</v>
      </c>
      <c r="U25" s="2" t="s">
        <v>635</v>
      </c>
      <c r="V25" s="2" t="s">
        <v>663</v>
      </c>
      <c r="W25" s="2" t="s">
        <v>667</v>
      </c>
      <c r="X25" s="12" t="s">
        <v>723</v>
      </c>
      <c r="Y25" s="2" t="s">
        <v>660</v>
      </c>
      <c r="Z25" s="2" t="s">
        <v>673</v>
      </c>
      <c r="AA25" s="2" t="s">
        <v>675</v>
      </c>
      <c r="AB25" s="2" t="s">
        <v>635</v>
      </c>
      <c r="AC25" s="2" t="s">
        <v>642</v>
      </c>
      <c r="AD25" s="12" t="s">
        <v>653</v>
      </c>
      <c r="AE25" s="2" t="s">
        <v>692</v>
      </c>
      <c r="AF25" s="2" t="s">
        <v>652</v>
      </c>
      <c r="AG25" s="2" t="s">
        <v>644</v>
      </c>
      <c r="AH25" s="2" t="s">
        <v>667</v>
      </c>
      <c r="AI25" s="2" t="s">
        <v>663</v>
      </c>
      <c r="AJ25" s="12" t="s">
        <v>653</v>
      </c>
      <c r="AK25" s="11" t="s">
        <v>654</v>
      </c>
      <c r="AL25" s="2" t="s">
        <v>651</v>
      </c>
      <c r="AM25" s="2" t="s">
        <v>684</v>
      </c>
      <c r="AN25" s="2" t="s">
        <v>705</v>
      </c>
      <c r="AO25" s="2" t="s">
        <v>704</v>
      </c>
      <c r="AP25" s="12" t="s">
        <v>653</v>
      </c>
      <c r="AQ25" s="11" t="s">
        <v>724</v>
      </c>
      <c r="AR25" s="2" t="s">
        <v>638</v>
      </c>
      <c r="AS25" s="2" t="s">
        <v>650</v>
      </c>
      <c r="AT25" s="2" t="s">
        <v>644</v>
      </c>
      <c r="AU25" s="2" t="s">
        <v>706</v>
      </c>
      <c r="AV25" s="12" t="s">
        <v>700</v>
      </c>
      <c r="AW25" s="11" t="s">
        <v>687</v>
      </c>
      <c r="AX25" s="2" t="s">
        <v>675</v>
      </c>
      <c r="AY25" s="2" t="s">
        <v>709</v>
      </c>
      <c r="AZ25" s="2" t="s">
        <v>721</v>
      </c>
      <c r="BA25" s="2" t="s">
        <v>651</v>
      </c>
      <c r="BB25" s="12" t="s">
        <v>92</v>
      </c>
      <c r="BC25" s="11" t="s">
        <v>670</v>
      </c>
      <c r="BD25" s="2" t="s">
        <v>711</v>
      </c>
      <c r="BE25" s="2" t="s">
        <v>652</v>
      </c>
      <c r="BF25" s="2" t="s">
        <v>666</v>
      </c>
      <c r="BG25" s="2" t="s">
        <v>663</v>
      </c>
      <c r="BH25" s="12" t="s">
        <v>92</v>
      </c>
      <c r="BI25" s="11" t="s">
        <v>668</v>
      </c>
      <c r="BJ25" s="2" t="s">
        <v>655</v>
      </c>
      <c r="BK25" s="2" t="s">
        <v>654</v>
      </c>
      <c r="BL25" s="2" t="s">
        <v>673</v>
      </c>
      <c r="BM25" s="2" t="s">
        <v>652</v>
      </c>
      <c r="BN25" s="12" t="s">
        <v>700</v>
      </c>
      <c r="BO25" s="118" t="s">
        <v>1967</v>
      </c>
      <c r="BP25" s="32" t="s">
        <v>1950</v>
      </c>
      <c r="BQ25" s="116" t="s">
        <v>1944</v>
      </c>
      <c r="BR25" s="116" t="s">
        <v>1978</v>
      </c>
      <c r="BS25" s="116" t="s">
        <v>1979</v>
      </c>
      <c r="BT25" s="12" t="s">
        <v>1869</v>
      </c>
      <c r="BU25" s="11" t="s">
        <v>1948</v>
      </c>
      <c r="BV25" s="116" t="s">
        <v>1966</v>
      </c>
      <c r="BW25" s="116" t="s">
        <v>1965</v>
      </c>
      <c r="BX25" s="116" t="s">
        <v>1962</v>
      </c>
      <c r="BY25" s="32" t="s">
        <v>1869</v>
      </c>
      <c r="BZ25" s="139" t="s">
        <v>2094</v>
      </c>
    </row>
    <row r="26" spans="1:78">
      <c r="A26" s="32"/>
      <c r="B26" s="14" t="s">
        <v>59</v>
      </c>
      <c r="C26" s="16" t="s">
        <v>106</v>
      </c>
      <c r="D26" s="17" t="s">
        <v>148</v>
      </c>
      <c r="E26" s="8"/>
      <c r="F26" s="26" t="s">
        <v>180</v>
      </c>
      <c r="G26" s="11" t="s">
        <v>7</v>
      </c>
      <c r="H26" s="2" t="s">
        <v>7</v>
      </c>
      <c r="I26" s="2" t="s">
        <v>7</v>
      </c>
      <c r="J26" s="2" t="s">
        <v>725</v>
      </c>
      <c r="K26" s="2" t="s">
        <v>726</v>
      </c>
      <c r="L26" s="12" t="s">
        <v>727</v>
      </c>
      <c r="M26" s="11" t="s">
        <v>728</v>
      </c>
      <c r="N26" s="2" t="s">
        <v>729</v>
      </c>
      <c r="O26" s="2" t="s">
        <v>730</v>
      </c>
      <c r="P26" s="2" t="s">
        <v>730</v>
      </c>
      <c r="Q26" s="2" t="s">
        <v>26</v>
      </c>
      <c r="R26" s="12" t="s">
        <v>20</v>
      </c>
      <c r="S26" s="11" t="s">
        <v>731</v>
      </c>
      <c r="T26" s="2" t="s">
        <v>732</v>
      </c>
      <c r="U26" s="2" t="s">
        <v>733</v>
      </c>
      <c r="V26" s="2" t="s">
        <v>734</v>
      </c>
      <c r="W26" s="2" t="s">
        <v>730</v>
      </c>
      <c r="X26" s="12" t="s">
        <v>735</v>
      </c>
      <c r="Y26" s="11" t="s">
        <v>736</v>
      </c>
      <c r="Z26" s="2" t="s">
        <v>737</v>
      </c>
      <c r="AA26" s="2" t="s">
        <v>738</v>
      </c>
      <c r="AB26" s="2" t="s">
        <v>739</v>
      </c>
      <c r="AC26" s="2" t="s">
        <v>728</v>
      </c>
      <c r="AD26" s="12" t="s">
        <v>740</v>
      </c>
      <c r="AE26" s="11" t="s">
        <v>741</v>
      </c>
      <c r="AF26" s="2" t="s">
        <v>742</v>
      </c>
      <c r="AG26" s="2" t="s">
        <v>743</v>
      </c>
      <c r="AH26" s="2" t="s">
        <v>731</v>
      </c>
      <c r="AI26" s="2" t="s">
        <v>744</v>
      </c>
      <c r="AJ26" s="12" t="s">
        <v>59</v>
      </c>
      <c r="AK26" s="11" t="s">
        <v>127</v>
      </c>
      <c r="AL26" s="2" t="s">
        <v>106</v>
      </c>
      <c r="AM26" s="2" t="s">
        <v>745</v>
      </c>
      <c r="AN26" s="2" t="s">
        <v>746</v>
      </c>
      <c r="AO26" s="2" t="s">
        <v>732</v>
      </c>
      <c r="AP26" s="12" t="s">
        <v>59</v>
      </c>
      <c r="AQ26" s="11" t="s">
        <v>747</v>
      </c>
      <c r="AR26" s="2" t="s">
        <v>748</v>
      </c>
      <c r="AS26" s="2" t="s">
        <v>749</v>
      </c>
      <c r="AT26" s="2" t="s">
        <v>739</v>
      </c>
      <c r="AU26" s="2" t="s">
        <v>750</v>
      </c>
      <c r="AV26" s="12" t="s">
        <v>92</v>
      </c>
      <c r="AW26" s="11" t="s">
        <v>146</v>
      </c>
      <c r="AX26" s="2" t="s">
        <v>751</v>
      </c>
      <c r="AY26" s="2" t="s">
        <v>752</v>
      </c>
      <c r="AZ26" s="2" t="s">
        <v>731</v>
      </c>
      <c r="BA26" s="2" t="s">
        <v>732</v>
      </c>
      <c r="BB26" s="12" t="s">
        <v>92</v>
      </c>
      <c r="BC26" s="2" t="s">
        <v>753</v>
      </c>
      <c r="BD26" s="2" t="s">
        <v>147</v>
      </c>
      <c r="BE26" s="2" t="s">
        <v>754</v>
      </c>
      <c r="BF26" s="2" t="s">
        <v>79</v>
      </c>
      <c r="BG26" s="2" t="s">
        <v>755</v>
      </c>
      <c r="BH26" s="12" t="s">
        <v>92</v>
      </c>
      <c r="BI26" s="11" t="s">
        <v>756</v>
      </c>
      <c r="BJ26" s="2" t="s">
        <v>757</v>
      </c>
      <c r="BK26" s="2" t="s">
        <v>758</v>
      </c>
      <c r="BL26" s="2" t="s">
        <v>759</v>
      </c>
      <c r="BM26" s="2" t="s">
        <v>739</v>
      </c>
      <c r="BN26" s="12" t="s">
        <v>92</v>
      </c>
      <c r="BO26" s="11" t="s">
        <v>1875</v>
      </c>
      <c r="BP26" s="32" t="s">
        <v>1950</v>
      </c>
      <c r="BQ26" s="116" t="s">
        <v>1980</v>
      </c>
      <c r="BR26" s="116" t="s">
        <v>149</v>
      </c>
      <c r="BS26" s="116" t="s">
        <v>1873</v>
      </c>
      <c r="BT26" s="12" t="s">
        <v>1869</v>
      </c>
      <c r="BU26" s="11" t="s">
        <v>1948</v>
      </c>
      <c r="BV26" s="32" t="s">
        <v>1949</v>
      </c>
      <c r="BW26" s="116" t="s">
        <v>127</v>
      </c>
      <c r="BX26" s="32" t="s">
        <v>1944</v>
      </c>
      <c r="BY26" s="32" t="s">
        <v>1869</v>
      </c>
      <c r="BZ26" s="139" t="s">
        <v>2094</v>
      </c>
    </row>
    <row r="27" spans="1:78">
      <c r="A27" s="32"/>
      <c r="B27" s="14" t="s">
        <v>60</v>
      </c>
      <c r="C27" s="16" t="s">
        <v>108</v>
      </c>
      <c r="D27" s="17" t="s">
        <v>149</v>
      </c>
      <c r="E27" s="8"/>
      <c r="F27" s="26" t="s">
        <v>181</v>
      </c>
      <c r="G27" s="11" t="s">
        <v>7</v>
      </c>
      <c r="H27" s="2" t="s">
        <v>7</v>
      </c>
      <c r="I27" s="2" t="s">
        <v>760</v>
      </c>
      <c r="J27" s="2" t="s">
        <v>760</v>
      </c>
      <c r="K27" s="2" t="s">
        <v>761</v>
      </c>
      <c r="L27" s="12" t="s">
        <v>761</v>
      </c>
      <c r="M27" s="11" t="s">
        <v>728</v>
      </c>
      <c r="N27" s="2" t="s">
        <v>762</v>
      </c>
      <c r="O27" s="2" t="s">
        <v>729</v>
      </c>
      <c r="P27" s="2" t="s">
        <v>730</v>
      </c>
      <c r="Q27" s="2" t="s">
        <v>730</v>
      </c>
      <c r="R27" s="12" t="s">
        <v>20</v>
      </c>
      <c r="S27" s="11" t="s">
        <v>763</v>
      </c>
      <c r="T27" s="2" t="s">
        <v>731</v>
      </c>
      <c r="U27" s="2" t="s">
        <v>733</v>
      </c>
      <c r="V27" s="2" t="s">
        <v>764</v>
      </c>
      <c r="W27" s="2" t="s">
        <v>730</v>
      </c>
      <c r="X27" s="12" t="s">
        <v>735</v>
      </c>
      <c r="Y27" s="11" t="s">
        <v>765</v>
      </c>
      <c r="Z27" s="2" t="s">
        <v>766</v>
      </c>
      <c r="AA27" s="2" t="s">
        <v>737</v>
      </c>
      <c r="AB27" s="2" t="s">
        <v>732</v>
      </c>
      <c r="AC27" s="2" t="s">
        <v>767</v>
      </c>
      <c r="AD27" s="12" t="s">
        <v>740</v>
      </c>
      <c r="AE27" s="11" t="s">
        <v>741</v>
      </c>
      <c r="AF27" s="2" t="s">
        <v>768</v>
      </c>
      <c r="AG27" s="2" t="s">
        <v>742</v>
      </c>
      <c r="AH27" s="2" t="s">
        <v>728</v>
      </c>
      <c r="AI27" s="2" t="s">
        <v>730</v>
      </c>
      <c r="AJ27" s="12" t="s">
        <v>59</v>
      </c>
      <c r="AK27" s="11" t="s">
        <v>127</v>
      </c>
      <c r="AL27" s="2" t="s">
        <v>769</v>
      </c>
      <c r="AM27" s="2" t="s">
        <v>770</v>
      </c>
      <c r="AN27" s="2" t="s">
        <v>734</v>
      </c>
      <c r="AO27" s="2" t="s">
        <v>767</v>
      </c>
      <c r="AP27" s="12" t="s">
        <v>59</v>
      </c>
      <c r="AQ27" s="11" t="s">
        <v>771</v>
      </c>
      <c r="AR27" s="2" t="s">
        <v>754</v>
      </c>
      <c r="AS27" s="2" t="s">
        <v>772</v>
      </c>
      <c r="AT27" s="2" t="s">
        <v>773</v>
      </c>
      <c r="AU27" s="2" t="s">
        <v>774</v>
      </c>
      <c r="AV27" s="12" t="s">
        <v>92</v>
      </c>
      <c r="AW27" s="11" t="s">
        <v>146</v>
      </c>
      <c r="AX27" s="2" t="s">
        <v>759</v>
      </c>
      <c r="AY27" s="2" t="s">
        <v>775</v>
      </c>
      <c r="AZ27" s="2" t="s">
        <v>776</v>
      </c>
      <c r="BA27" s="2" t="s">
        <v>732</v>
      </c>
      <c r="BB27" s="12" t="s">
        <v>92</v>
      </c>
      <c r="BC27" s="11" t="s">
        <v>777</v>
      </c>
      <c r="BD27" s="2" t="s">
        <v>778</v>
      </c>
      <c r="BE27" s="2" t="s">
        <v>779</v>
      </c>
      <c r="BF27" s="2" t="s">
        <v>741</v>
      </c>
      <c r="BG27" s="2" t="s">
        <v>774</v>
      </c>
      <c r="BH27" s="12" t="s">
        <v>92</v>
      </c>
      <c r="BI27" s="11" t="s">
        <v>780</v>
      </c>
      <c r="BJ27" s="2" t="s">
        <v>781</v>
      </c>
      <c r="BK27" s="2" t="s">
        <v>782</v>
      </c>
      <c r="BL27" s="2" t="s">
        <v>765</v>
      </c>
      <c r="BM27" s="2" t="s">
        <v>768</v>
      </c>
      <c r="BN27" s="12" t="s">
        <v>92</v>
      </c>
      <c r="BO27" s="11" t="s">
        <v>1875</v>
      </c>
      <c r="BP27" s="32" t="s">
        <v>1950</v>
      </c>
      <c r="BQ27" s="32" t="s">
        <v>1955</v>
      </c>
      <c r="BR27" s="116" t="s">
        <v>1946</v>
      </c>
      <c r="BS27" s="116" t="s">
        <v>1939</v>
      </c>
      <c r="BT27" s="12" t="s">
        <v>1869</v>
      </c>
      <c r="BU27" s="11" t="s">
        <v>1948</v>
      </c>
      <c r="BV27" s="32" t="s">
        <v>1962</v>
      </c>
      <c r="BW27" s="116" t="s">
        <v>1966</v>
      </c>
      <c r="BX27" s="116" t="s">
        <v>1970</v>
      </c>
      <c r="BY27" s="32" t="s">
        <v>1869</v>
      </c>
      <c r="BZ27" s="139" t="s">
        <v>2094</v>
      </c>
    </row>
    <row r="28" spans="1:78">
      <c r="A28" s="32"/>
      <c r="B28" s="14" t="s">
        <v>61</v>
      </c>
      <c r="C28" s="16" t="s">
        <v>109</v>
      </c>
      <c r="D28" s="17" t="s">
        <v>137</v>
      </c>
      <c r="E28" s="8"/>
      <c r="F28" s="26" t="s">
        <v>182</v>
      </c>
      <c r="G28" s="11" t="s">
        <v>7</v>
      </c>
      <c r="H28" s="2" t="s">
        <v>7</v>
      </c>
      <c r="I28" s="2" t="s">
        <v>760</v>
      </c>
      <c r="J28" s="2" t="s">
        <v>760</v>
      </c>
      <c r="K28" s="2" t="s">
        <v>761</v>
      </c>
      <c r="L28" s="12" t="s">
        <v>726</v>
      </c>
      <c r="M28" s="11" t="s">
        <v>750</v>
      </c>
      <c r="N28" s="2" t="s">
        <v>730</v>
      </c>
      <c r="O28" s="2" t="s">
        <v>783</v>
      </c>
      <c r="P28" s="2" t="s">
        <v>730</v>
      </c>
      <c r="Q28" s="2" t="s">
        <v>784</v>
      </c>
      <c r="R28" s="12" t="s">
        <v>20</v>
      </c>
      <c r="S28" s="11" t="s">
        <v>763</v>
      </c>
      <c r="T28" s="2" t="s">
        <v>728</v>
      </c>
      <c r="U28" s="2" t="s">
        <v>732</v>
      </c>
      <c r="V28" s="2" t="s">
        <v>734</v>
      </c>
      <c r="W28" s="2" t="s">
        <v>730</v>
      </c>
      <c r="X28" s="12" t="s">
        <v>735</v>
      </c>
      <c r="Y28" s="11" t="s">
        <v>737</v>
      </c>
      <c r="Z28" s="2" t="s">
        <v>785</v>
      </c>
      <c r="AA28" s="2" t="s">
        <v>763</v>
      </c>
      <c r="AB28" s="2" t="s">
        <v>775</v>
      </c>
      <c r="AC28" s="2" t="s">
        <v>774</v>
      </c>
      <c r="AD28" s="12" t="s">
        <v>740</v>
      </c>
      <c r="AE28" s="11" t="s">
        <v>768</v>
      </c>
      <c r="AF28" s="2" t="s">
        <v>741</v>
      </c>
      <c r="AG28" s="2" t="s">
        <v>786</v>
      </c>
      <c r="AH28" s="2" t="s">
        <v>776</v>
      </c>
      <c r="AI28" s="2" t="s">
        <v>755</v>
      </c>
      <c r="AJ28" s="12" t="s">
        <v>59</v>
      </c>
      <c r="AK28" s="11" t="s">
        <v>754</v>
      </c>
      <c r="AL28" s="2" t="s">
        <v>779</v>
      </c>
      <c r="AM28" s="2" t="s">
        <v>763</v>
      </c>
      <c r="AN28" s="2" t="s">
        <v>732</v>
      </c>
      <c r="AO28" s="2" t="s">
        <v>730</v>
      </c>
      <c r="AP28" s="12" t="s">
        <v>59</v>
      </c>
      <c r="AQ28" s="11" t="s">
        <v>748</v>
      </c>
      <c r="AR28" s="2" t="s">
        <v>787</v>
      </c>
      <c r="AS28" s="2" t="s">
        <v>768</v>
      </c>
      <c r="AT28" s="2" t="s">
        <v>788</v>
      </c>
      <c r="AU28" s="2" t="s">
        <v>734</v>
      </c>
      <c r="AV28" s="12" t="s">
        <v>92</v>
      </c>
      <c r="AW28" s="11" t="s">
        <v>146</v>
      </c>
      <c r="AX28" s="2" t="s">
        <v>782</v>
      </c>
      <c r="AY28" s="2" t="s">
        <v>765</v>
      </c>
      <c r="AZ28" s="2" t="s">
        <v>766</v>
      </c>
      <c r="BA28" s="2" t="s">
        <v>730</v>
      </c>
      <c r="BB28" s="12" t="s">
        <v>92</v>
      </c>
      <c r="BC28" s="11" t="s">
        <v>777</v>
      </c>
      <c r="BD28" s="2" t="s">
        <v>780</v>
      </c>
      <c r="BE28" s="2" t="s">
        <v>745</v>
      </c>
      <c r="BF28" s="2" t="s">
        <v>775</v>
      </c>
      <c r="BG28" s="2" t="s">
        <v>728</v>
      </c>
      <c r="BH28" s="12" t="s">
        <v>92</v>
      </c>
      <c r="BI28" s="11" t="s">
        <v>757</v>
      </c>
      <c r="BJ28" s="2" t="s">
        <v>789</v>
      </c>
      <c r="BK28" s="2" t="s">
        <v>768</v>
      </c>
      <c r="BL28" s="2" t="s">
        <v>785</v>
      </c>
      <c r="BM28" s="2" t="s">
        <v>732</v>
      </c>
      <c r="BN28" s="12" t="s">
        <v>92</v>
      </c>
      <c r="BO28" s="11" t="s">
        <v>1875</v>
      </c>
      <c r="BP28" s="32" t="s">
        <v>1880</v>
      </c>
      <c r="BQ28" s="116" t="s">
        <v>123</v>
      </c>
      <c r="BR28" s="32" t="s">
        <v>1981</v>
      </c>
      <c r="BS28" s="32" t="s">
        <v>1982</v>
      </c>
      <c r="BT28" s="12" t="s">
        <v>1869</v>
      </c>
      <c r="BU28" s="11" t="s">
        <v>1923</v>
      </c>
      <c r="BV28" s="32" t="s">
        <v>144</v>
      </c>
      <c r="BW28" s="116" t="s">
        <v>122</v>
      </c>
      <c r="BX28" s="32" t="s">
        <v>119</v>
      </c>
      <c r="BY28" s="32" t="s">
        <v>1869</v>
      </c>
      <c r="BZ28" s="139" t="s">
        <v>2094</v>
      </c>
    </row>
    <row r="29" spans="1:78">
      <c r="A29" s="32"/>
      <c r="B29" s="14" t="s">
        <v>62</v>
      </c>
      <c r="C29" s="16" t="s">
        <v>111</v>
      </c>
      <c r="D29" s="17" t="s">
        <v>155</v>
      </c>
      <c r="E29" s="8"/>
      <c r="F29" s="25" t="s">
        <v>183</v>
      </c>
      <c r="G29" s="11" t="s">
        <v>7</v>
      </c>
      <c r="H29" s="2" t="s">
        <v>7</v>
      </c>
      <c r="I29" s="2" t="s">
        <v>727</v>
      </c>
      <c r="J29" s="2" t="s">
        <v>790</v>
      </c>
      <c r="K29" s="2" t="s">
        <v>791</v>
      </c>
      <c r="L29" s="12" t="s">
        <v>792</v>
      </c>
      <c r="M29" s="11" t="s">
        <v>793</v>
      </c>
      <c r="N29" s="2" t="s">
        <v>795</v>
      </c>
      <c r="O29" s="2" t="s">
        <v>794</v>
      </c>
      <c r="P29" s="2" t="s">
        <v>729</v>
      </c>
      <c r="Q29" s="2" t="s">
        <v>783</v>
      </c>
      <c r="R29" s="12" t="s">
        <v>20</v>
      </c>
      <c r="S29" s="11" t="s">
        <v>796</v>
      </c>
      <c r="T29" s="2" t="s">
        <v>797</v>
      </c>
      <c r="U29" s="2" t="s">
        <v>798</v>
      </c>
      <c r="V29" s="2" t="s">
        <v>791</v>
      </c>
      <c r="W29" s="2" t="s">
        <v>792</v>
      </c>
      <c r="X29" s="12" t="s">
        <v>735</v>
      </c>
      <c r="Y29" s="11" t="s">
        <v>799</v>
      </c>
      <c r="Z29" s="2" t="s">
        <v>738</v>
      </c>
      <c r="AA29" s="2" t="s">
        <v>733</v>
      </c>
      <c r="AB29" s="2" t="s">
        <v>793</v>
      </c>
      <c r="AC29" s="2" t="s">
        <v>729</v>
      </c>
      <c r="AD29" s="12" t="s">
        <v>735</v>
      </c>
      <c r="AE29" s="11" t="s">
        <v>800</v>
      </c>
      <c r="AF29" s="2" t="s">
        <v>801</v>
      </c>
      <c r="AG29" s="2" t="s">
        <v>802</v>
      </c>
      <c r="AH29" s="2" t="s">
        <v>744</v>
      </c>
      <c r="AI29" s="2" t="s">
        <v>803</v>
      </c>
      <c r="AJ29" s="12" t="s">
        <v>804</v>
      </c>
      <c r="AK29" s="11" t="s">
        <v>805</v>
      </c>
      <c r="AL29" s="2" t="s">
        <v>806</v>
      </c>
      <c r="AM29" s="2" t="s">
        <v>785</v>
      </c>
      <c r="AN29" s="2" t="s">
        <v>788</v>
      </c>
      <c r="AO29" s="2" t="s">
        <v>797</v>
      </c>
      <c r="AP29" s="12" t="s">
        <v>804</v>
      </c>
      <c r="AQ29" s="11" t="s">
        <v>807</v>
      </c>
      <c r="AR29" s="2" t="s">
        <v>808</v>
      </c>
      <c r="AS29" s="2" t="s">
        <v>809</v>
      </c>
      <c r="AT29" s="2" t="s">
        <v>776</v>
      </c>
      <c r="AU29" s="2" t="s">
        <v>810</v>
      </c>
      <c r="AV29" s="12" t="s">
        <v>804</v>
      </c>
      <c r="AW29" s="11" t="s">
        <v>811</v>
      </c>
      <c r="AX29" s="2" t="s">
        <v>812</v>
      </c>
      <c r="AY29" s="2" t="s">
        <v>776</v>
      </c>
      <c r="AZ29" s="2" t="s">
        <v>802</v>
      </c>
      <c r="BA29" s="2" t="s">
        <v>813</v>
      </c>
      <c r="BB29" s="12" t="s">
        <v>92</v>
      </c>
      <c r="BC29" s="11" t="s">
        <v>777</v>
      </c>
      <c r="BD29" s="2" t="s">
        <v>814</v>
      </c>
      <c r="BE29" s="2" t="s">
        <v>754</v>
      </c>
      <c r="BF29" s="2" t="s">
        <v>742</v>
      </c>
      <c r="BG29" s="2" t="s">
        <v>739</v>
      </c>
      <c r="BH29" s="12" t="s">
        <v>92</v>
      </c>
      <c r="BI29" s="2" t="s">
        <v>816</v>
      </c>
      <c r="BJ29" s="2" t="s">
        <v>815</v>
      </c>
      <c r="BK29" s="2" t="s">
        <v>805</v>
      </c>
      <c r="BL29" s="2" t="s">
        <v>759</v>
      </c>
      <c r="BM29" s="2" t="s">
        <v>785</v>
      </c>
      <c r="BN29" s="12" t="s">
        <v>92</v>
      </c>
      <c r="BO29" s="32" t="s">
        <v>1984</v>
      </c>
      <c r="BP29" s="32" t="s">
        <v>1985</v>
      </c>
      <c r="BQ29" s="32" t="s">
        <v>1986</v>
      </c>
      <c r="BR29" s="32" t="s">
        <v>1987</v>
      </c>
      <c r="BS29" s="32" t="s">
        <v>1988</v>
      </c>
      <c r="BT29" s="12" t="s">
        <v>1869</v>
      </c>
      <c r="BU29" s="32" t="s">
        <v>1989</v>
      </c>
      <c r="BV29" s="32" t="s">
        <v>1990</v>
      </c>
      <c r="BW29" s="32" t="s">
        <v>1991</v>
      </c>
      <c r="BX29" s="32" t="s">
        <v>1992</v>
      </c>
      <c r="BY29" s="32" t="s">
        <v>1869</v>
      </c>
      <c r="BZ29" s="139" t="s">
        <v>2094</v>
      </c>
    </row>
    <row r="30" spans="1:78">
      <c r="A30" s="32"/>
      <c r="B30" s="14" t="s">
        <v>63</v>
      </c>
      <c r="C30" s="16" t="s">
        <v>112</v>
      </c>
      <c r="D30" s="17" t="s">
        <v>133</v>
      </c>
      <c r="E30" s="8"/>
      <c r="F30" s="26" t="s">
        <v>184</v>
      </c>
      <c r="G30" s="11" t="s">
        <v>7</v>
      </c>
      <c r="H30" s="2" t="s">
        <v>7</v>
      </c>
      <c r="I30" s="2" t="s">
        <v>760</v>
      </c>
      <c r="J30" s="2" t="s">
        <v>760</v>
      </c>
      <c r="K30" s="2" t="s">
        <v>817</v>
      </c>
      <c r="L30" s="12" t="s">
        <v>817</v>
      </c>
      <c r="M30" s="11" t="s">
        <v>795</v>
      </c>
      <c r="N30" s="2" t="s">
        <v>791</v>
      </c>
      <c r="O30" s="2" t="s">
        <v>810</v>
      </c>
      <c r="P30" s="2" t="s">
        <v>810</v>
      </c>
      <c r="Q30" s="2" t="s">
        <v>783</v>
      </c>
      <c r="R30" s="12" t="s">
        <v>20</v>
      </c>
      <c r="S30" s="11" t="s">
        <v>798</v>
      </c>
      <c r="T30" s="2" t="s">
        <v>818</v>
      </c>
      <c r="U30" s="2" t="s">
        <v>819</v>
      </c>
      <c r="V30" s="2" t="s">
        <v>794</v>
      </c>
      <c r="W30" s="2" t="s">
        <v>810</v>
      </c>
      <c r="X30" s="12" t="s">
        <v>820</v>
      </c>
      <c r="Y30" s="11" t="s">
        <v>801</v>
      </c>
      <c r="Z30" s="2" t="s">
        <v>785</v>
      </c>
      <c r="AA30" s="2" t="s">
        <v>733</v>
      </c>
      <c r="AB30" s="2" t="s">
        <v>793</v>
      </c>
      <c r="AC30" s="2" t="s">
        <v>726</v>
      </c>
      <c r="AD30" s="12" t="s">
        <v>821</v>
      </c>
      <c r="AE30" s="11" t="s">
        <v>806</v>
      </c>
      <c r="AF30" s="2" t="s">
        <v>799</v>
      </c>
      <c r="AG30" s="2" t="s">
        <v>739</v>
      </c>
      <c r="AH30" s="2" t="s">
        <v>810</v>
      </c>
      <c r="AI30" s="2" t="s">
        <v>783</v>
      </c>
      <c r="AJ30" s="12" t="s">
        <v>821</v>
      </c>
      <c r="AK30" s="11" t="s">
        <v>805</v>
      </c>
      <c r="AL30" s="2" t="s">
        <v>768</v>
      </c>
      <c r="AM30" s="2" t="s">
        <v>802</v>
      </c>
      <c r="AN30" s="2" t="s">
        <v>788</v>
      </c>
      <c r="AO30" s="2" t="s">
        <v>810</v>
      </c>
      <c r="AP30" s="12" t="s">
        <v>821</v>
      </c>
      <c r="AQ30" s="11" t="s">
        <v>751</v>
      </c>
      <c r="AR30" s="2" t="s">
        <v>822</v>
      </c>
      <c r="AS30" s="2" t="s">
        <v>823</v>
      </c>
      <c r="AT30" s="2" t="s">
        <v>786</v>
      </c>
      <c r="AU30" s="2" t="s">
        <v>793</v>
      </c>
      <c r="AV30" s="12" t="s">
        <v>824</v>
      </c>
      <c r="AW30" s="2" t="s">
        <v>825</v>
      </c>
      <c r="AX30" s="2" t="s">
        <v>811</v>
      </c>
      <c r="AY30" s="2" t="s">
        <v>809</v>
      </c>
      <c r="AZ30" s="2" t="s">
        <v>826</v>
      </c>
      <c r="BA30" s="2" t="s">
        <v>739</v>
      </c>
      <c r="BB30" s="12" t="s">
        <v>92</v>
      </c>
      <c r="BC30" s="11" t="s">
        <v>812</v>
      </c>
      <c r="BD30" s="2" t="s">
        <v>782</v>
      </c>
      <c r="BE30" s="2" t="s">
        <v>827</v>
      </c>
      <c r="BF30" s="2" t="s">
        <v>752</v>
      </c>
      <c r="BG30" s="2" t="s">
        <v>802</v>
      </c>
      <c r="BH30" s="12" t="s">
        <v>92</v>
      </c>
      <c r="BI30" s="2" t="s">
        <v>828</v>
      </c>
      <c r="BJ30" s="2" t="s">
        <v>757</v>
      </c>
      <c r="BK30" s="2" t="s">
        <v>805</v>
      </c>
      <c r="BL30" s="2" t="s">
        <v>799</v>
      </c>
      <c r="BM30" s="2" t="s">
        <v>768</v>
      </c>
      <c r="BN30" s="12" t="s">
        <v>824</v>
      </c>
      <c r="BO30" s="118" t="s">
        <v>1879</v>
      </c>
      <c r="BP30" s="32" t="s">
        <v>1985</v>
      </c>
      <c r="BQ30" s="32" t="s">
        <v>1992</v>
      </c>
      <c r="BR30" s="32" t="s">
        <v>1988</v>
      </c>
      <c r="BS30" s="32" t="s">
        <v>1991</v>
      </c>
      <c r="BT30" s="12" t="s">
        <v>1869</v>
      </c>
      <c r="BU30" s="32" t="s">
        <v>1994</v>
      </c>
      <c r="BV30" s="32" t="s">
        <v>1995</v>
      </c>
      <c r="BW30" s="32" t="s">
        <v>1986</v>
      </c>
      <c r="BX30" s="32" t="s">
        <v>1990</v>
      </c>
      <c r="BY30" s="32" t="s">
        <v>1869</v>
      </c>
      <c r="BZ30" s="139" t="s">
        <v>2094</v>
      </c>
    </row>
    <row r="31" spans="1:78">
      <c r="A31" s="32"/>
      <c r="B31" s="14" t="s">
        <v>64</v>
      </c>
      <c r="C31" s="16" t="s">
        <v>113</v>
      </c>
      <c r="D31" s="17" t="s">
        <v>150</v>
      </c>
      <c r="E31" s="8"/>
      <c r="F31" s="26" t="s">
        <v>185</v>
      </c>
      <c r="G31" s="11" t="s">
        <v>7</v>
      </c>
      <c r="H31" s="2" t="s">
        <v>7</v>
      </c>
      <c r="I31" s="2" t="s">
        <v>11</v>
      </c>
      <c r="J31" s="2" t="s">
        <v>11</v>
      </c>
      <c r="K31" s="2" t="s">
        <v>9</v>
      </c>
      <c r="L31" s="12" t="s">
        <v>9</v>
      </c>
      <c r="M31" s="11" t="s">
        <v>32</v>
      </c>
      <c r="N31" s="2" t="s">
        <v>829</v>
      </c>
      <c r="O31" s="2" t="s">
        <v>24</v>
      </c>
      <c r="P31" s="2" t="s">
        <v>24</v>
      </c>
      <c r="Q31" s="2" t="s">
        <v>830</v>
      </c>
      <c r="R31" s="12" t="s">
        <v>20</v>
      </c>
      <c r="S31" s="11" t="s">
        <v>831</v>
      </c>
      <c r="T31" s="2" t="s">
        <v>832</v>
      </c>
      <c r="U31" s="2" t="s">
        <v>833</v>
      </c>
      <c r="V31" s="2" t="s">
        <v>834</v>
      </c>
      <c r="W31" s="2" t="s">
        <v>835</v>
      </c>
      <c r="X31" s="12" t="s">
        <v>836</v>
      </c>
      <c r="Y31" s="11" t="s">
        <v>90</v>
      </c>
      <c r="Z31" s="2" t="s">
        <v>837</v>
      </c>
      <c r="AA31" s="2" t="s">
        <v>838</v>
      </c>
      <c r="AB31" s="2" t="s">
        <v>46</v>
      </c>
      <c r="AC31" s="2" t="s">
        <v>839</v>
      </c>
      <c r="AD31" s="12" t="s">
        <v>840</v>
      </c>
      <c r="AE31" s="11" t="s">
        <v>841</v>
      </c>
      <c r="AF31" s="2" t="s">
        <v>842</v>
      </c>
      <c r="AG31" s="2" t="s">
        <v>843</v>
      </c>
      <c r="AH31" s="2" t="s">
        <v>844</v>
      </c>
      <c r="AI31" s="2" t="s">
        <v>845</v>
      </c>
      <c r="AJ31" s="12" t="s">
        <v>60</v>
      </c>
      <c r="AK31" s="2" t="s">
        <v>847</v>
      </c>
      <c r="AL31" s="2" t="s">
        <v>846</v>
      </c>
      <c r="AM31" s="2" t="s">
        <v>848</v>
      </c>
      <c r="AN31" s="2" t="s">
        <v>68</v>
      </c>
      <c r="AO31" s="2" t="s">
        <v>849</v>
      </c>
      <c r="AP31" s="12" t="s">
        <v>850</v>
      </c>
      <c r="AQ31" s="11" t="s">
        <v>851</v>
      </c>
      <c r="AR31" s="2" t="s">
        <v>852</v>
      </c>
      <c r="AS31" s="2" t="s">
        <v>853</v>
      </c>
      <c r="AT31" s="2" t="s">
        <v>855</v>
      </c>
      <c r="AU31" s="2" t="s">
        <v>854</v>
      </c>
      <c r="AV31" s="12" t="s">
        <v>850</v>
      </c>
      <c r="AW31" s="11" t="s">
        <v>142</v>
      </c>
      <c r="AX31" s="2" t="s">
        <v>856</v>
      </c>
      <c r="AY31" s="2" t="s">
        <v>857</v>
      </c>
      <c r="AZ31" s="2" t="s">
        <v>858</v>
      </c>
      <c r="BA31" s="2" t="s">
        <v>838</v>
      </c>
      <c r="BB31" s="12" t="s">
        <v>92</v>
      </c>
      <c r="BC31" s="11" t="s">
        <v>859</v>
      </c>
      <c r="BD31" s="2" t="s">
        <v>860</v>
      </c>
      <c r="BE31" s="2" t="s">
        <v>861</v>
      </c>
      <c r="BF31" s="2" t="s">
        <v>831</v>
      </c>
      <c r="BG31" s="2" t="s">
        <v>862</v>
      </c>
      <c r="BH31" s="12" t="s">
        <v>92</v>
      </c>
      <c r="BI31" s="2" t="s">
        <v>863</v>
      </c>
      <c r="BJ31" s="2" t="s">
        <v>145</v>
      </c>
      <c r="BK31" s="2" t="s">
        <v>851</v>
      </c>
      <c r="BL31" s="2" t="s">
        <v>864</v>
      </c>
      <c r="BM31" s="2" t="s">
        <v>832</v>
      </c>
      <c r="BN31" s="12" t="s">
        <v>92</v>
      </c>
      <c r="BO31" s="118" t="s">
        <v>1879</v>
      </c>
      <c r="BP31" s="32" t="s">
        <v>1985</v>
      </c>
      <c r="BQ31" s="32" t="s">
        <v>1992</v>
      </c>
      <c r="BR31" s="32" t="s">
        <v>1996</v>
      </c>
      <c r="BS31" s="32" t="s">
        <v>1997</v>
      </c>
      <c r="BT31" s="12" t="s">
        <v>1869</v>
      </c>
      <c r="BU31" s="32" t="s">
        <v>1989</v>
      </c>
      <c r="BV31" s="32" t="s">
        <v>1998</v>
      </c>
      <c r="BW31" s="32" t="s">
        <v>1986</v>
      </c>
      <c r="BX31" s="32" t="s">
        <v>1999</v>
      </c>
      <c r="BY31" s="32" t="s">
        <v>1869</v>
      </c>
      <c r="BZ31" s="139" t="s">
        <v>2094</v>
      </c>
    </row>
    <row r="32" spans="1:78">
      <c r="A32" s="32"/>
      <c r="B32" s="14" t="s">
        <v>65</v>
      </c>
      <c r="C32" s="16" t="s">
        <v>95</v>
      </c>
      <c r="D32" s="17" t="s">
        <v>134</v>
      </c>
      <c r="E32" s="8"/>
      <c r="F32" s="26" t="s">
        <v>186</v>
      </c>
      <c r="G32" s="11" t="s">
        <v>7</v>
      </c>
      <c r="H32" s="2" t="s">
        <v>7</v>
      </c>
      <c r="I32" s="2" t="s">
        <v>9</v>
      </c>
      <c r="J32" s="2" t="s">
        <v>9</v>
      </c>
      <c r="K32" s="2" t="s">
        <v>11</v>
      </c>
      <c r="L32" s="12" t="s">
        <v>865</v>
      </c>
      <c r="M32" s="11" t="s">
        <v>866</v>
      </c>
      <c r="N32" s="2" t="s">
        <v>867</v>
      </c>
      <c r="O32" s="2" t="s">
        <v>24</v>
      </c>
      <c r="P32" s="2" t="s">
        <v>24</v>
      </c>
      <c r="Q32" s="2" t="s">
        <v>22</v>
      </c>
      <c r="R32" s="12" t="s">
        <v>20</v>
      </c>
      <c r="S32" s="11" t="s">
        <v>76</v>
      </c>
      <c r="T32" s="2" t="s">
        <v>63</v>
      </c>
      <c r="U32" s="2" t="s">
        <v>52</v>
      </c>
      <c r="V32" s="2" t="s">
        <v>24</v>
      </c>
      <c r="W32" s="2" t="s">
        <v>868</v>
      </c>
      <c r="X32" s="12" t="s">
        <v>20</v>
      </c>
      <c r="Y32" s="11" t="s">
        <v>869</v>
      </c>
      <c r="Z32" s="2" t="s">
        <v>870</v>
      </c>
      <c r="AA32" s="2" t="s">
        <v>871</v>
      </c>
      <c r="AB32" s="2" t="s">
        <v>46</v>
      </c>
      <c r="AC32" s="2" t="s">
        <v>872</v>
      </c>
      <c r="AD32" s="12" t="s">
        <v>873</v>
      </c>
      <c r="AE32" s="11" t="s">
        <v>874</v>
      </c>
      <c r="AF32" s="2" t="s">
        <v>875</v>
      </c>
      <c r="AG32" s="2" t="s">
        <v>106</v>
      </c>
      <c r="AH32" s="2" t="s">
        <v>876</v>
      </c>
      <c r="AI32" s="2" t="s">
        <v>877</v>
      </c>
      <c r="AJ32" s="12" t="s">
        <v>878</v>
      </c>
      <c r="AK32" s="11" t="s">
        <v>879</v>
      </c>
      <c r="AL32" s="2" t="s">
        <v>880</v>
      </c>
      <c r="AM32" s="2" t="s">
        <v>95</v>
      </c>
      <c r="AN32" s="2" t="s">
        <v>881</v>
      </c>
      <c r="AO32" s="2" t="s">
        <v>27</v>
      </c>
      <c r="AP32" s="12" t="s">
        <v>61</v>
      </c>
      <c r="AQ32" s="11" t="s">
        <v>882</v>
      </c>
      <c r="AR32" s="2" t="s">
        <v>883</v>
      </c>
      <c r="AS32" s="2" t="s">
        <v>875</v>
      </c>
      <c r="AT32" s="2" t="s">
        <v>881</v>
      </c>
      <c r="AU32" s="2" t="s">
        <v>884</v>
      </c>
      <c r="AV32" s="12" t="s">
        <v>61</v>
      </c>
      <c r="AW32" s="11" t="s">
        <v>142</v>
      </c>
      <c r="AX32" s="2" t="s">
        <v>128</v>
      </c>
      <c r="AY32" s="2" t="s">
        <v>886</v>
      </c>
      <c r="AZ32" s="2" t="s">
        <v>885</v>
      </c>
      <c r="BA32" s="2" t="s">
        <v>866</v>
      </c>
      <c r="BB32" s="12" t="s">
        <v>92</v>
      </c>
      <c r="BC32" s="11" t="s">
        <v>827</v>
      </c>
      <c r="BD32" s="2" t="s">
        <v>887</v>
      </c>
      <c r="BE32" s="2" t="s">
        <v>888</v>
      </c>
      <c r="BF32" s="2" t="s">
        <v>889</v>
      </c>
      <c r="BG32" s="2" t="s">
        <v>890</v>
      </c>
      <c r="BH32" s="12" t="s">
        <v>92</v>
      </c>
      <c r="BI32" s="11" t="s">
        <v>891</v>
      </c>
      <c r="BJ32" s="2" t="s">
        <v>892</v>
      </c>
      <c r="BK32" s="2" t="s">
        <v>139</v>
      </c>
      <c r="BL32" s="2" t="s">
        <v>893</v>
      </c>
      <c r="BM32" s="2" t="s">
        <v>894</v>
      </c>
      <c r="BN32" s="12" t="s">
        <v>92</v>
      </c>
      <c r="BO32" s="118" t="s">
        <v>1879</v>
      </c>
      <c r="BP32" s="32" t="s">
        <v>1985</v>
      </c>
      <c r="BQ32" s="32" t="s">
        <v>1986</v>
      </c>
      <c r="BR32" s="32" t="s">
        <v>1992</v>
      </c>
      <c r="BS32" s="32" t="s">
        <v>1995</v>
      </c>
      <c r="BT32" s="12" t="s">
        <v>1869</v>
      </c>
      <c r="BU32" s="32" t="s">
        <v>1994</v>
      </c>
      <c r="BV32" s="32" t="s">
        <v>1991</v>
      </c>
      <c r="BW32" s="32" t="s">
        <v>1990</v>
      </c>
      <c r="BX32" s="32" t="s">
        <v>2000</v>
      </c>
      <c r="BY32" s="32" t="s">
        <v>1869</v>
      </c>
      <c r="BZ32" s="139" t="s">
        <v>2094</v>
      </c>
    </row>
    <row r="33" spans="1:78">
      <c r="A33" s="32"/>
      <c r="B33" s="14" t="s">
        <v>66</v>
      </c>
      <c r="C33" s="16" t="s">
        <v>96</v>
      </c>
      <c r="D33" s="17" t="s">
        <v>151</v>
      </c>
      <c r="E33" s="8"/>
      <c r="F33" s="26" t="s">
        <v>187</v>
      </c>
      <c r="G33" s="11" t="s">
        <v>7</v>
      </c>
      <c r="H33" s="2" t="s">
        <v>7</v>
      </c>
      <c r="I33" s="2" t="s">
        <v>895</v>
      </c>
      <c r="J33" s="2" t="s">
        <v>9</v>
      </c>
      <c r="K33" s="2" t="s">
        <v>896</v>
      </c>
      <c r="L33" s="12" t="s">
        <v>897</v>
      </c>
      <c r="M33" s="11" t="s">
        <v>49</v>
      </c>
      <c r="N33" s="2" t="s">
        <v>898</v>
      </c>
      <c r="O33" s="2" t="s">
        <v>24</v>
      </c>
      <c r="P33" s="2" t="s">
        <v>24</v>
      </c>
      <c r="Q33" s="2" t="s">
        <v>899</v>
      </c>
      <c r="R33" s="12" t="s">
        <v>20</v>
      </c>
      <c r="S33" s="11" t="s">
        <v>900</v>
      </c>
      <c r="T33" s="2" t="s">
        <v>901</v>
      </c>
      <c r="U33" s="2" t="s">
        <v>903</v>
      </c>
      <c r="V33" s="2" t="s">
        <v>902</v>
      </c>
      <c r="W33" s="2" t="s">
        <v>902</v>
      </c>
      <c r="X33" s="12" t="s">
        <v>20</v>
      </c>
      <c r="Y33" s="11" t="s">
        <v>904</v>
      </c>
      <c r="Z33" s="2" t="s">
        <v>900</v>
      </c>
      <c r="AA33" s="2" t="s">
        <v>905</v>
      </c>
      <c r="AB33" s="2" t="s">
        <v>906</v>
      </c>
      <c r="AC33" s="2" t="s">
        <v>24</v>
      </c>
      <c r="AD33" s="12" t="s">
        <v>907</v>
      </c>
      <c r="AE33" s="11" t="s">
        <v>894</v>
      </c>
      <c r="AF33" s="2" t="s">
        <v>908</v>
      </c>
      <c r="AG33" s="2" t="s">
        <v>909</v>
      </c>
      <c r="AH33" s="2" t="s">
        <v>909</v>
      </c>
      <c r="AI33" s="2" t="s">
        <v>910</v>
      </c>
      <c r="AJ33" s="12" t="s">
        <v>57</v>
      </c>
      <c r="AK33" s="11" t="s">
        <v>911</v>
      </c>
      <c r="AL33" s="2" t="s">
        <v>893</v>
      </c>
      <c r="AM33" s="2" t="s">
        <v>83</v>
      </c>
      <c r="AN33" s="2" t="s">
        <v>912</v>
      </c>
      <c r="AO33" s="2" t="s">
        <v>913</v>
      </c>
      <c r="AP33" s="12" t="s">
        <v>907</v>
      </c>
      <c r="AQ33" s="11" t="s">
        <v>914</v>
      </c>
      <c r="AR33" s="2" t="s">
        <v>915</v>
      </c>
      <c r="AS33" s="2" t="s">
        <v>916</v>
      </c>
      <c r="AT33" s="2" t="s">
        <v>917</v>
      </c>
      <c r="AU33" s="2" t="s">
        <v>918</v>
      </c>
      <c r="AV33" s="12" t="s">
        <v>907</v>
      </c>
      <c r="AW33" s="11" t="s">
        <v>919</v>
      </c>
      <c r="AX33" s="2" t="s">
        <v>920</v>
      </c>
      <c r="AY33" s="2" t="s">
        <v>889</v>
      </c>
      <c r="AZ33" s="2" t="s">
        <v>921</v>
      </c>
      <c r="BA33" s="2" t="s">
        <v>922</v>
      </c>
      <c r="BB33" s="12" t="s">
        <v>92</v>
      </c>
      <c r="BC33" s="11" t="s">
        <v>923</v>
      </c>
      <c r="BD33" s="2" t="s">
        <v>924</v>
      </c>
      <c r="BE33" s="2" t="s">
        <v>925</v>
      </c>
      <c r="BF33" s="2" t="s">
        <v>926</v>
      </c>
      <c r="BG33" s="2" t="s">
        <v>922</v>
      </c>
      <c r="BH33" s="12" t="s">
        <v>92</v>
      </c>
      <c r="BI33" s="11" t="s">
        <v>927</v>
      </c>
      <c r="BJ33" s="2" t="s">
        <v>928</v>
      </c>
      <c r="BK33" s="2" t="s">
        <v>929</v>
      </c>
      <c r="BL33" s="2" t="s">
        <v>930</v>
      </c>
      <c r="BM33" s="2" t="s">
        <v>894</v>
      </c>
      <c r="BN33" s="12" t="s">
        <v>92</v>
      </c>
      <c r="BO33" s="118" t="s">
        <v>1882</v>
      </c>
      <c r="BP33" s="32" t="s">
        <v>1985</v>
      </c>
      <c r="BQ33" s="116" t="s">
        <v>1946</v>
      </c>
      <c r="BR33" s="32" t="s">
        <v>144</v>
      </c>
      <c r="BS33" s="32" t="s">
        <v>1997</v>
      </c>
      <c r="BT33" s="12" t="s">
        <v>1869</v>
      </c>
      <c r="BU33" s="11" t="s">
        <v>1948</v>
      </c>
      <c r="BV33" s="116" t="s">
        <v>1962</v>
      </c>
      <c r="BW33" s="32" t="s">
        <v>1990</v>
      </c>
      <c r="BX33" s="32" t="s">
        <v>1992</v>
      </c>
      <c r="BY33" s="32" t="s">
        <v>1869</v>
      </c>
      <c r="BZ33" s="139" t="s">
        <v>2094</v>
      </c>
    </row>
    <row r="34" spans="1:78">
      <c r="A34" s="32"/>
      <c r="B34" s="14" t="s">
        <v>67</v>
      </c>
      <c r="C34" s="16" t="s">
        <v>105</v>
      </c>
      <c r="D34" s="17" t="s">
        <v>152</v>
      </c>
      <c r="E34" s="8"/>
      <c r="F34" s="26" t="s">
        <v>188</v>
      </c>
      <c r="G34" s="11" t="s">
        <v>7</v>
      </c>
      <c r="H34" s="2" t="s">
        <v>7</v>
      </c>
      <c r="I34" s="2" t="s">
        <v>895</v>
      </c>
      <c r="J34" s="2" t="s">
        <v>931</v>
      </c>
      <c r="K34" s="2" t="s">
        <v>896</v>
      </c>
      <c r="L34" s="12" t="s">
        <v>899</v>
      </c>
      <c r="M34" s="11" t="s">
        <v>932</v>
      </c>
      <c r="N34" s="2" t="s">
        <v>933</v>
      </c>
      <c r="O34" s="2" t="s">
        <v>898</v>
      </c>
      <c r="P34" s="2" t="s">
        <v>24</v>
      </c>
      <c r="Q34" s="2" t="s">
        <v>934</v>
      </c>
      <c r="R34" s="12" t="s">
        <v>20</v>
      </c>
      <c r="S34" s="11" t="s">
        <v>890</v>
      </c>
      <c r="T34" s="2" t="s">
        <v>904</v>
      </c>
      <c r="U34" s="2" t="s">
        <v>901</v>
      </c>
      <c r="V34" s="2" t="s">
        <v>935</v>
      </c>
      <c r="W34" s="2" t="s">
        <v>918</v>
      </c>
      <c r="X34" s="12" t="s">
        <v>20</v>
      </c>
      <c r="Y34" s="11" t="s">
        <v>936</v>
      </c>
      <c r="Z34" s="2" t="s">
        <v>904</v>
      </c>
      <c r="AA34" s="2" t="s">
        <v>937</v>
      </c>
      <c r="AB34" s="2" t="s">
        <v>938</v>
      </c>
      <c r="AC34" s="2" t="s">
        <v>898</v>
      </c>
      <c r="AD34" s="12" t="s">
        <v>939</v>
      </c>
      <c r="AE34" s="11" t="s">
        <v>940</v>
      </c>
      <c r="AF34" s="2" t="s">
        <v>893</v>
      </c>
      <c r="AG34" s="2" t="s">
        <v>890</v>
      </c>
      <c r="AH34" s="2" t="s">
        <v>930</v>
      </c>
      <c r="AI34" s="2" t="s">
        <v>896</v>
      </c>
      <c r="AJ34" s="12" t="s">
        <v>941</v>
      </c>
      <c r="AK34" s="11" t="s">
        <v>914</v>
      </c>
      <c r="AL34" s="2" t="s">
        <v>942</v>
      </c>
      <c r="AM34" s="2" t="s">
        <v>943</v>
      </c>
      <c r="AN34" s="2" t="s">
        <v>938</v>
      </c>
      <c r="AO34" s="2" t="s">
        <v>937</v>
      </c>
      <c r="AP34" s="12" t="s">
        <v>941</v>
      </c>
      <c r="AQ34" s="2" t="s">
        <v>944</v>
      </c>
      <c r="AR34" s="2" t="s">
        <v>133</v>
      </c>
      <c r="AS34" s="2" t="s">
        <v>921</v>
      </c>
      <c r="AT34" s="2" t="s">
        <v>945</v>
      </c>
      <c r="AU34" s="2" t="s">
        <v>935</v>
      </c>
      <c r="AV34" s="12" t="s">
        <v>941</v>
      </c>
      <c r="AW34" s="11" t="s">
        <v>892</v>
      </c>
      <c r="AX34" s="2" t="s">
        <v>925</v>
      </c>
      <c r="AY34" s="2" t="s">
        <v>915</v>
      </c>
      <c r="AZ34" s="2" t="s">
        <v>890</v>
      </c>
      <c r="BA34" s="2" t="s">
        <v>937</v>
      </c>
      <c r="BB34" s="12" t="s">
        <v>92</v>
      </c>
      <c r="BC34" s="2" t="s">
        <v>946</v>
      </c>
      <c r="BD34" s="2" t="s">
        <v>887</v>
      </c>
      <c r="BE34" s="2" t="s">
        <v>947</v>
      </c>
      <c r="BF34" s="2" t="s">
        <v>904</v>
      </c>
      <c r="BG34" s="2" t="s">
        <v>948</v>
      </c>
      <c r="BH34" s="12" t="s">
        <v>92</v>
      </c>
      <c r="BI34" s="2" t="s">
        <v>828</v>
      </c>
      <c r="BJ34" s="2" t="s">
        <v>919</v>
      </c>
      <c r="BK34" s="2" t="s">
        <v>914</v>
      </c>
      <c r="BL34" s="2" t="s">
        <v>893</v>
      </c>
      <c r="BM34" s="2" t="s">
        <v>937</v>
      </c>
      <c r="BN34" s="12" t="s">
        <v>92</v>
      </c>
      <c r="BO34" s="118" t="s">
        <v>1879</v>
      </c>
      <c r="BP34" s="32" t="s">
        <v>1985</v>
      </c>
      <c r="BQ34" s="32" t="s">
        <v>1992</v>
      </c>
      <c r="BR34" s="32" t="s">
        <v>2001</v>
      </c>
      <c r="BS34" s="32" t="s">
        <v>1990</v>
      </c>
      <c r="BT34" s="12" t="s">
        <v>1869</v>
      </c>
      <c r="BU34" s="32" t="s">
        <v>1989</v>
      </c>
      <c r="BV34" s="32" t="s">
        <v>2002</v>
      </c>
      <c r="BW34" s="32" t="s">
        <v>1988</v>
      </c>
      <c r="BX34" s="32" t="s">
        <v>1997</v>
      </c>
      <c r="BY34" s="32" t="s">
        <v>1869</v>
      </c>
      <c r="BZ34" s="139" t="s">
        <v>2094</v>
      </c>
    </row>
    <row r="35" spans="1:78">
      <c r="A35" s="32"/>
      <c r="B35" s="14" t="s">
        <v>68</v>
      </c>
      <c r="C35" s="16" t="s">
        <v>114</v>
      </c>
      <c r="D35" s="17" t="s">
        <v>136</v>
      </c>
      <c r="E35" s="8"/>
      <c r="F35" s="26" t="s">
        <v>189</v>
      </c>
      <c r="G35" s="11" t="s">
        <v>7</v>
      </c>
      <c r="H35" s="2" t="s">
        <v>7</v>
      </c>
      <c r="I35" s="2" t="s">
        <v>895</v>
      </c>
      <c r="J35" s="2" t="s">
        <v>931</v>
      </c>
      <c r="K35" s="2" t="s">
        <v>949</v>
      </c>
      <c r="L35" s="12" t="s">
        <v>950</v>
      </c>
      <c r="M35" s="11" t="s">
        <v>951</v>
      </c>
      <c r="N35" s="2" t="s">
        <v>898</v>
      </c>
      <c r="O35" s="2" t="s">
        <v>934</v>
      </c>
      <c r="P35" s="2" t="s">
        <v>934</v>
      </c>
      <c r="Q35" s="2" t="s">
        <v>933</v>
      </c>
      <c r="R35" s="12" t="s">
        <v>939</v>
      </c>
      <c r="S35" s="11" t="s">
        <v>904</v>
      </c>
      <c r="T35" s="2" t="s">
        <v>952</v>
      </c>
      <c r="U35" s="2" t="s">
        <v>953</v>
      </c>
      <c r="V35" s="2" t="s">
        <v>935</v>
      </c>
      <c r="W35" s="2" t="s">
        <v>918</v>
      </c>
      <c r="X35" s="12" t="s">
        <v>20</v>
      </c>
      <c r="Y35" s="11" t="s">
        <v>930</v>
      </c>
      <c r="Z35" s="2" t="s">
        <v>921</v>
      </c>
      <c r="AA35" s="2" t="s">
        <v>937</v>
      </c>
      <c r="AB35" s="2" t="s">
        <v>954</v>
      </c>
      <c r="AC35" s="2" t="s">
        <v>902</v>
      </c>
      <c r="AD35" s="12" t="s">
        <v>939</v>
      </c>
      <c r="AE35" s="11" t="s">
        <v>955</v>
      </c>
      <c r="AF35" s="2" t="s">
        <v>940</v>
      </c>
      <c r="AG35" s="2" t="s">
        <v>942</v>
      </c>
      <c r="AH35" s="2" t="s">
        <v>945</v>
      </c>
      <c r="AI35" s="2" t="s">
        <v>956</v>
      </c>
      <c r="AJ35" s="12" t="s">
        <v>939</v>
      </c>
      <c r="AK35" s="11" t="s">
        <v>911</v>
      </c>
      <c r="AL35" s="2" t="s">
        <v>889</v>
      </c>
      <c r="AM35" s="2" t="s">
        <v>943</v>
      </c>
      <c r="AN35" s="2" t="s">
        <v>957</v>
      </c>
      <c r="AO35" s="2" t="s">
        <v>918</v>
      </c>
      <c r="AP35" s="12" t="s">
        <v>907</v>
      </c>
      <c r="AQ35" s="11" t="s">
        <v>924</v>
      </c>
      <c r="AR35" s="2" t="s">
        <v>925</v>
      </c>
      <c r="AS35" s="2" t="s">
        <v>936</v>
      </c>
      <c r="AT35" s="2" t="s">
        <v>952</v>
      </c>
      <c r="AU35" s="2" t="s">
        <v>918</v>
      </c>
      <c r="AV35" s="12" t="s">
        <v>907</v>
      </c>
      <c r="AW35" s="2" t="s">
        <v>134</v>
      </c>
      <c r="AX35" s="2" t="s">
        <v>919</v>
      </c>
      <c r="AY35" s="2" t="s">
        <v>914</v>
      </c>
      <c r="AZ35" s="2" t="s">
        <v>937</v>
      </c>
      <c r="BA35" s="2" t="s">
        <v>933</v>
      </c>
      <c r="BB35" s="12" t="s">
        <v>907</v>
      </c>
      <c r="BC35" s="2" t="s">
        <v>827</v>
      </c>
      <c r="BD35" s="2" t="s">
        <v>929</v>
      </c>
      <c r="BE35" s="2" t="s">
        <v>889</v>
      </c>
      <c r="BF35" s="2" t="s">
        <v>958</v>
      </c>
      <c r="BG35" s="2" t="s">
        <v>959</v>
      </c>
      <c r="BH35" s="12" t="s">
        <v>92</v>
      </c>
      <c r="BI35" s="2" t="s">
        <v>828</v>
      </c>
      <c r="BJ35" s="2" t="s">
        <v>960</v>
      </c>
      <c r="BK35" s="2" t="s">
        <v>947</v>
      </c>
      <c r="BL35" s="2" t="s">
        <v>940</v>
      </c>
      <c r="BM35" s="2" t="s">
        <v>957</v>
      </c>
      <c r="BN35" s="12" t="s">
        <v>92</v>
      </c>
      <c r="BO35" s="118" t="s">
        <v>1879</v>
      </c>
      <c r="BP35" s="32" t="s">
        <v>1985</v>
      </c>
      <c r="BQ35" s="32" t="s">
        <v>1992</v>
      </c>
      <c r="BR35" s="32" t="s">
        <v>1988</v>
      </c>
      <c r="BS35" s="32" t="s">
        <v>1991</v>
      </c>
      <c r="BT35" s="12" t="s">
        <v>1869</v>
      </c>
      <c r="BU35" s="32" t="s">
        <v>1994</v>
      </c>
      <c r="BV35" s="32" t="s">
        <v>1986</v>
      </c>
      <c r="BW35" s="32" t="s">
        <v>1995</v>
      </c>
      <c r="BX35" s="32" t="s">
        <v>1990</v>
      </c>
      <c r="BY35" s="32" t="s">
        <v>1869</v>
      </c>
      <c r="BZ35" s="139" t="s">
        <v>2094</v>
      </c>
    </row>
    <row r="36" spans="1:78">
      <c r="A36" s="32"/>
      <c r="B36" s="14" t="s">
        <v>69</v>
      </c>
      <c r="C36" s="127" t="s">
        <v>1873</v>
      </c>
      <c r="D36" s="17" t="s">
        <v>153</v>
      </c>
      <c r="E36" s="8"/>
      <c r="F36" s="26" t="s">
        <v>190</v>
      </c>
      <c r="G36" s="11" t="s">
        <v>7</v>
      </c>
      <c r="H36" s="2" t="s">
        <v>7</v>
      </c>
      <c r="I36" s="2" t="s">
        <v>895</v>
      </c>
      <c r="J36" s="2" t="s">
        <v>11</v>
      </c>
      <c r="K36" s="2" t="s">
        <v>9</v>
      </c>
      <c r="L36" s="12" t="s">
        <v>949</v>
      </c>
      <c r="M36" s="11" t="s">
        <v>938</v>
      </c>
      <c r="N36" s="2" t="s">
        <v>938</v>
      </c>
      <c r="O36" s="2" t="s">
        <v>918</v>
      </c>
      <c r="P36" s="2" t="s">
        <v>918</v>
      </c>
      <c r="Q36" s="2" t="s">
        <v>933</v>
      </c>
      <c r="R36" s="12" t="s">
        <v>939</v>
      </c>
      <c r="S36" s="11" t="s">
        <v>904</v>
      </c>
      <c r="T36" s="2" t="s">
        <v>937</v>
      </c>
      <c r="U36" s="2" t="s">
        <v>935</v>
      </c>
      <c r="V36" s="2" t="s">
        <v>918</v>
      </c>
      <c r="W36" s="2" t="s">
        <v>918</v>
      </c>
      <c r="X36" s="12" t="s">
        <v>961</v>
      </c>
      <c r="Y36" s="11" t="s">
        <v>921</v>
      </c>
      <c r="Z36" s="2" t="s">
        <v>904</v>
      </c>
      <c r="AA36" s="2" t="s">
        <v>962</v>
      </c>
      <c r="AB36" s="2" t="s">
        <v>918</v>
      </c>
      <c r="AC36" s="2" t="s">
        <v>918</v>
      </c>
      <c r="AD36" s="12" t="s">
        <v>963</v>
      </c>
      <c r="AE36" s="11" t="s">
        <v>893</v>
      </c>
      <c r="AF36" s="2" t="s">
        <v>890</v>
      </c>
      <c r="AG36" s="2" t="s">
        <v>894</v>
      </c>
      <c r="AH36" s="2" t="s">
        <v>951</v>
      </c>
      <c r="AI36" s="2" t="s">
        <v>918</v>
      </c>
      <c r="AJ36" s="12" t="s">
        <v>964</v>
      </c>
      <c r="AK36" s="11" t="s">
        <v>914</v>
      </c>
      <c r="AL36" s="2" t="s">
        <v>943</v>
      </c>
      <c r="AM36" s="2" t="s">
        <v>942</v>
      </c>
      <c r="AN36" s="2" t="s">
        <v>909</v>
      </c>
      <c r="AO36" s="2" t="s">
        <v>918</v>
      </c>
      <c r="AP36" s="12" t="s">
        <v>964</v>
      </c>
      <c r="AQ36" s="11" t="s">
        <v>915</v>
      </c>
      <c r="AR36" s="2" t="s">
        <v>925</v>
      </c>
      <c r="AS36" s="2" t="s">
        <v>921</v>
      </c>
      <c r="AT36" s="2" t="s">
        <v>909</v>
      </c>
      <c r="AU36" s="2" t="s">
        <v>918</v>
      </c>
      <c r="AV36" s="12" t="s">
        <v>965</v>
      </c>
      <c r="AW36" s="11" t="s">
        <v>919</v>
      </c>
      <c r="AX36" s="2" t="s">
        <v>924</v>
      </c>
      <c r="AY36" s="2" t="s">
        <v>889</v>
      </c>
      <c r="AZ36" s="2" t="s">
        <v>904</v>
      </c>
      <c r="BA36" s="2" t="s">
        <v>938</v>
      </c>
      <c r="BB36" s="12" t="s">
        <v>965</v>
      </c>
      <c r="BC36" s="11" t="s">
        <v>887</v>
      </c>
      <c r="BD36" s="2" t="s">
        <v>911</v>
      </c>
      <c r="BE36" s="2" t="s">
        <v>925</v>
      </c>
      <c r="BF36" s="2" t="s">
        <v>943</v>
      </c>
      <c r="BG36" s="2" t="s">
        <v>938</v>
      </c>
      <c r="BH36" s="12" t="s">
        <v>965</v>
      </c>
      <c r="BI36" s="11" t="s">
        <v>960</v>
      </c>
      <c r="BJ36" s="2" t="s">
        <v>914</v>
      </c>
      <c r="BK36" s="2" t="s">
        <v>888</v>
      </c>
      <c r="BL36" s="2" t="s">
        <v>894</v>
      </c>
      <c r="BM36" s="2" t="s">
        <v>890</v>
      </c>
      <c r="BN36" s="12" t="s">
        <v>92</v>
      </c>
      <c r="BO36" s="118" t="s">
        <v>1879</v>
      </c>
      <c r="BP36" s="32" t="s">
        <v>1985</v>
      </c>
      <c r="BQ36" s="32" t="s">
        <v>1992</v>
      </c>
      <c r="BR36" s="32" t="s">
        <v>1990</v>
      </c>
      <c r="BS36" s="32" t="s">
        <v>1995</v>
      </c>
      <c r="BT36" s="12" t="s">
        <v>1869</v>
      </c>
      <c r="BU36" s="32" t="s">
        <v>1989</v>
      </c>
      <c r="BV36" s="32" t="s">
        <v>1996</v>
      </c>
      <c r="BW36" s="32" t="s">
        <v>1988</v>
      </c>
      <c r="BX36" s="32" t="s">
        <v>1997</v>
      </c>
      <c r="BY36" s="32" t="s">
        <v>1869</v>
      </c>
      <c r="BZ36" s="139" t="s">
        <v>2094</v>
      </c>
    </row>
    <row r="37" spans="1:78">
      <c r="A37" s="32"/>
      <c r="B37" s="14" t="s">
        <v>70</v>
      </c>
      <c r="C37" s="32"/>
      <c r="D37" s="17" t="s">
        <v>140</v>
      </c>
      <c r="E37" s="8"/>
      <c r="F37" s="26" t="s">
        <v>191</v>
      </c>
      <c r="G37" s="11" t="s">
        <v>7</v>
      </c>
      <c r="H37" s="2" t="s">
        <v>7</v>
      </c>
      <c r="I37" s="2" t="s">
        <v>895</v>
      </c>
      <c r="J37" s="2" t="s">
        <v>895</v>
      </c>
      <c r="K37" s="2" t="s">
        <v>949</v>
      </c>
      <c r="L37" s="12" t="s">
        <v>949</v>
      </c>
      <c r="M37" s="11" t="s">
        <v>935</v>
      </c>
      <c r="N37" s="2" t="s">
        <v>938</v>
      </c>
      <c r="O37" s="2" t="s">
        <v>918</v>
      </c>
      <c r="P37" s="2" t="s">
        <v>918</v>
      </c>
      <c r="Q37" s="2" t="s">
        <v>934</v>
      </c>
      <c r="R37" s="12" t="s">
        <v>939</v>
      </c>
      <c r="S37" s="11" t="s">
        <v>890</v>
      </c>
      <c r="T37" s="2" t="s">
        <v>904</v>
      </c>
      <c r="U37" s="2" t="s">
        <v>909</v>
      </c>
      <c r="V37" s="2" t="s">
        <v>898</v>
      </c>
      <c r="W37" s="2" t="s">
        <v>896</v>
      </c>
      <c r="X37" s="12" t="s">
        <v>939</v>
      </c>
      <c r="Y37" s="11" t="s">
        <v>936</v>
      </c>
      <c r="Z37" s="2" t="s">
        <v>893</v>
      </c>
      <c r="AA37" s="2" t="s">
        <v>935</v>
      </c>
      <c r="AB37" s="2" t="s">
        <v>938</v>
      </c>
      <c r="AC37" s="2" t="s">
        <v>918</v>
      </c>
      <c r="AD37" s="12" t="s">
        <v>941</v>
      </c>
      <c r="AE37" s="11" t="s">
        <v>936</v>
      </c>
      <c r="AF37" s="2" t="s">
        <v>921</v>
      </c>
      <c r="AG37" s="2" t="s">
        <v>894</v>
      </c>
      <c r="AH37" s="2" t="s">
        <v>935</v>
      </c>
      <c r="AI37" s="2" t="s">
        <v>938</v>
      </c>
      <c r="AJ37" s="12" t="s">
        <v>941</v>
      </c>
      <c r="AK37" s="11" t="s">
        <v>134</v>
      </c>
      <c r="AL37" s="2" t="s">
        <v>925</v>
      </c>
      <c r="AM37" s="2" t="s">
        <v>930</v>
      </c>
      <c r="AN37" s="2" t="s">
        <v>935</v>
      </c>
      <c r="AO37" s="2" t="s">
        <v>934</v>
      </c>
      <c r="AP37" s="12" t="s">
        <v>941</v>
      </c>
      <c r="AQ37" s="11" t="s">
        <v>888</v>
      </c>
      <c r="AR37" s="2" t="s">
        <v>914</v>
      </c>
      <c r="AS37" s="2" t="s">
        <v>921</v>
      </c>
      <c r="AT37" s="2" t="s">
        <v>935</v>
      </c>
      <c r="AU37" s="2" t="s">
        <v>966</v>
      </c>
      <c r="AV37" s="12" t="s">
        <v>965</v>
      </c>
      <c r="AW37" s="11" t="s">
        <v>919</v>
      </c>
      <c r="AX37" s="2" t="s">
        <v>915</v>
      </c>
      <c r="AY37" s="2" t="s">
        <v>889</v>
      </c>
      <c r="AZ37" s="2" t="s">
        <v>909</v>
      </c>
      <c r="BA37" s="2" t="s">
        <v>909</v>
      </c>
      <c r="BB37" s="12" t="s">
        <v>965</v>
      </c>
      <c r="BC37" s="11" t="s">
        <v>827</v>
      </c>
      <c r="BD37" s="2" t="s">
        <v>887</v>
      </c>
      <c r="BE37" s="2" t="s">
        <v>911</v>
      </c>
      <c r="BF37" s="2" t="s">
        <v>917</v>
      </c>
      <c r="BG37" s="2" t="s">
        <v>890</v>
      </c>
      <c r="BH37" s="12" t="s">
        <v>965</v>
      </c>
      <c r="BI37" s="11" t="s">
        <v>891</v>
      </c>
      <c r="BJ37" s="2" t="s">
        <v>960</v>
      </c>
      <c r="BK37" s="2" t="s">
        <v>914</v>
      </c>
      <c r="BL37" s="2" t="s">
        <v>893</v>
      </c>
      <c r="BM37" s="2" t="s">
        <v>894</v>
      </c>
      <c r="BN37" s="12" t="s">
        <v>92</v>
      </c>
      <c r="BO37" s="118" t="s">
        <v>1879</v>
      </c>
      <c r="BP37" s="32" t="s">
        <v>1985</v>
      </c>
      <c r="BQ37" s="32" t="s">
        <v>1986</v>
      </c>
      <c r="BR37" s="32" t="s">
        <v>1991</v>
      </c>
      <c r="BS37" s="32" t="s">
        <v>1988</v>
      </c>
      <c r="BT37" s="12" t="s">
        <v>1869</v>
      </c>
      <c r="BU37" s="32" t="s">
        <v>1994</v>
      </c>
      <c r="BV37" s="32" t="s">
        <v>1992</v>
      </c>
      <c r="BW37" s="32" t="s">
        <v>2003</v>
      </c>
      <c r="BX37" s="32" t="s">
        <v>1990</v>
      </c>
      <c r="BY37" s="32" t="s">
        <v>1869</v>
      </c>
      <c r="BZ37" s="139" t="s">
        <v>2094</v>
      </c>
    </row>
    <row r="38" spans="1:78">
      <c r="A38" s="32"/>
      <c r="B38" s="32"/>
      <c r="C38" s="32"/>
      <c r="D38" s="17" t="s">
        <v>141</v>
      </c>
      <c r="E38" s="8"/>
      <c r="F38" s="26" t="s">
        <v>192</v>
      </c>
      <c r="G38" s="11" t="s">
        <v>7</v>
      </c>
      <c r="H38" s="2" t="s">
        <v>7</v>
      </c>
      <c r="I38" s="2" t="s">
        <v>949</v>
      </c>
      <c r="J38" s="2" t="s">
        <v>949</v>
      </c>
      <c r="K38" s="2" t="s">
        <v>896</v>
      </c>
      <c r="L38" s="12" t="s">
        <v>950</v>
      </c>
      <c r="M38" s="11" t="s">
        <v>951</v>
      </c>
      <c r="N38" s="2" t="s">
        <v>899</v>
      </c>
      <c r="O38" s="2" t="s">
        <v>918</v>
      </c>
      <c r="P38" s="2" t="s">
        <v>918</v>
      </c>
      <c r="Q38" s="2" t="s">
        <v>934</v>
      </c>
      <c r="R38" s="12" t="s">
        <v>939</v>
      </c>
      <c r="S38" s="11" t="s">
        <v>904</v>
      </c>
      <c r="T38" s="2" t="s">
        <v>966</v>
      </c>
      <c r="U38" s="2" t="s">
        <v>952</v>
      </c>
      <c r="V38" s="2" t="s">
        <v>918</v>
      </c>
      <c r="W38" s="2" t="s">
        <v>896</v>
      </c>
      <c r="X38" s="12" t="s">
        <v>939</v>
      </c>
      <c r="Y38" s="11" t="s">
        <v>936</v>
      </c>
      <c r="Z38" s="2" t="s">
        <v>942</v>
      </c>
      <c r="AA38" s="2" t="s">
        <v>948</v>
      </c>
      <c r="AB38" s="2" t="s">
        <v>962</v>
      </c>
      <c r="AC38" s="2" t="s">
        <v>938</v>
      </c>
      <c r="AD38" s="12" t="s">
        <v>907</v>
      </c>
      <c r="AE38" s="11" t="s">
        <v>893</v>
      </c>
      <c r="AF38" s="2" t="s">
        <v>940</v>
      </c>
      <c r="AG38" s="2" t="s">
        <v>921</v>
      </c>
      <c r="AH38" s="2" t="s">
        <v>935</v>
      </c>
      <c r="AI38" s="2" t="s">
        <v>918</v>
      </c>
      <c r="AJ38" s="12" t="s">
        <v>907</v>
      </c>
      <c r="AK38" s="2" t="s">
        <v>134</v>
      </c>
      <c r="AL38" s="2" t="s">
        <v>914</v>
      </c>
      <c r="AM38" s="2" t="s">
        <v>930</v>
      </c>
      <c r="AN38" s="2" t="s">
        <v>956</v>
      </c>
      <c r="AO38" s="2" t="s">
        <v>909</v>
      </c>
      <c r="AP38" s="12" t="s">
        <v>941</v>
      </c>
      <c r="AQ38" s="2" t="s">
        <v>967</v>
      </c>
      <c r="AR38" s="2" t="s">
        <v>911</v>
      </c>
      <c r="AS38" s="2" t="s">
        <v>947</v>
      </c>
      <c r="AT38" s="2" t="s">
        <v>904</v>
      </c>
      <c r="AU38" s="2" t="s">
        <v>917</v>
      </c>
      <c r="AV38" s="12" t="s">
        <v>941</v>
      </c>
      <c r="AW38" s="11" t="s">
        <v>892</v>
      </c>
      <c r="AX38" s="2" t="s">
        <v>919</v>
      </c>
      <c r="AY38" s="2" t="s">
        <v>888</v>
      </c>
      <c r="AZ38" s="2" t="s">
        <v>893</v>
      </c>
      <c r="BA38" s="2" t="s">
        <v>935</v>
      </c>
      <c r="BB38" s="12" t="s">
        <v>965</v>
      </c>
      <c r="BC38" s="11" t="s">
        <v>827</v>
      </c>
      <c r="BD38" s="2" t="s">
        <v>925</v>
      </c>
      <c r="BE38" s="2" t="s">
        <v>904</v>
      </c>
      <c r="BF38" s="2" t="s">
        <v>952</v>
      </c>
      <c r="BG38" s="2" t="s">
        <v>918</v>
      </c>
      <c r="BH38" s="12" t="s">
        <v>965</v>
      </c>
      <c r="BI38" s="11" t="s">
        <v>891</v>
      </c>
      <c r="BJ38" s="2" t="s">
        <v>960</v>
      </c>
      <c r="BK38" s="2" t="s">
        <v>915</v>
      </c>
      <c r="BL38" s="2" t="s">
        <v>893</v>
      </c>
      <c r="BM38" s="2" t="s">
        <v>959</v>
      </c>
      <c r="BN38" s="12" t="s">
        <v>92</v>
      </c>
      <c r="BO38" s="118" t="s">
        <v>1863</v>
      </c>
      <c r="BP38" s="32" t="s">
        <v>1985</v>
      </c>
      <c r="BQ38" s="32" t="s">
        <v>1990</v>
      </c>
      <c r="BR38" s="32" t="s">
        <v>1992</v>
      </c>
      <c r="BS38" s="32" t="s">
        <v>2002</v>
      </c>
      <c r="BT38" s="12" t="s">
        <v>1869</v>
      </c>
      <c r="BU38" s="32" t="s">
        <v>1994</v>
      </c>
      <c r="BV38" s="32" t="s">
        <v>1996</v>
      </c>
      <c r="BW38" s="32" t="s">
        <v>1988</v>
      </c>
      <c r="BX38" s="32" t="s">
        <v>1890</v>
      </c>
      <c r="BY38" s="32" t="s">
        <v>1869</v>
      </c>
      <c r="BZ38" s="139" t="s">
        <v>2094</v>
      </c>
    </row>
    <row r="39" spans="1:78">
      <c r="A39" s="32"/>
      <c r="B39" s="32"/>
      <c r="C39" s="32"/>
      <c r="D39" s="17" t="s">
        <v>129</v>
      </c>
      <c r="E39" s="8"/>
      <c r="F39" s="26" t="s">
        <v>193</v>
      </c>
      <c r="G39" s="11" t="s">
        <v>7</v>
      </c>
      <c r="H39" s="2" t="s">
        <v>7</v>
      </c>
      <c r="I39" s="2" t="s">
        <v>968</v>
      </c>
      <c r="J39" s="2" t="s">
        <v>969</v>
      </c>
      <c r="K39" s="2" t="s">
        <v>17</v>
      </c>
      <c r="L39" s="12" t="s">
        <v>970</v>
      </c>
      <c r="M39" s="11" t="s">
        <v>49</v>
      </c>
      <c r="N39" s="2" t="s">
        <v>971</v>
      </c>
      <c r="O39" s="2" t="s">
        <v>24</v>
      </c>
      <c r="P39" s="2" t="s">
        <v>24</v>
      </c>
      <c r="Q39" s="2" t="s">
        <v>972</v>
      </c>
      <c r="R39" s="12" t="s">
        <v>20</v>
      </c>
      <c r="S39" s="11" t="s">
        <v>76</v>
      </c>
      <c r="T39" s="2" t="s">
        <v>973</v>
      </c>
      <c r="U39" s="2" t="s">
        <v>977</v>
      </c>
      <c r="V39" s="2" t="s">
        <v>978</v>
      </c>
      <c r="W39" s="2" t="s">
        <v>979</v>
      </c>
      <c r="X39" s="12" t="s">
        <v>20</v>
      </c>
      <c r="Y39" s="11" t="s">
        <v>980</v>
      </c>
      <c r="Z39" s="2" t="s">
        <v>981</v>
      </c>
      <c r="AA39" s="2" t="s">
        <v>974</v>
      </c>
      <c r="AB39" s="2" t="s">
        <v>975</v>
      </c>
      <c r="AC39" s="2" t="s">
        <v>976</v>
      </c>
      <c r="AD39" s="12" t="s">
        <v>982</v>
      </c>
      <c r="AE39" s="11" t="s">
        <v>109</v>
      </c>
      <c r="AF39" s="2" t="s">
        <v>95</v>
      </c>
      <c r="AG39" s="2" t="s">
        <v>983</v>
      </c>
      <c r="AH39" s="2" t="s">
        <v>984</v>
      </c>
      <c r="AI39" s="2" t="s">
        <v>985</v>
      </c>
      <c r="AJ39" s="12" t="s">
        <v>982</v>
      </c>
      <c r="AK39" s="11" t="s">
        <v>139</v>
      </c>
      <c r="AL39" s="2" t="s">
        <v>986</v>
      </c>
      <c r="AM39" s="2" t="s">
        <v>987</v>
      </c>
      <c r="AN39" s="2" t="s">
        <v>979</v>
      </c>
      <c r="AO39" s="2" t="s">
        <v>988</v>
      </c>
      <c r="AP39" s="12" t="s">
        <v>61</v>
      </c>
      <c r="AQ39" s="2" t="s">
        <v>133</v>
      </c>
      <c r="AR39" s="2" t="s">
        <v>989</v>
      </c>
      <c r="AS39" s="2" t="s">
        <v>990</v>
      </c>
      <c r="AT39" s="2" t="s">
        <v>991</v>
      </c>
      <c r="AU39" s="2" t="s">
        <v>79</v>
      </c>
      <c r="AV39" s="12" t="s">
        <v>992</v>
      </c>
      <c r="AW39" s="11" t="s">
        <v>993</v>
      </c>
      <c r="AX39" s="2" t="s">
        <v>994</v>
      </c>
      <c r="AY39" s="2" t="s">
        <v>134</v>
      </c>
      <c r="AZ39" s="2" t="s">
        <v>980</v>
      </c>
      <c r="BA39" s="2" t="s">
        <v>988</v>
      </c>
      <c r="BB39" s="12" t="s">
        <v>92</v>
      </c>
      <c r="BC39" s="2" t="s">
        <v>827</v>
      </c>
      <c r="BD39" s="2" t="s">
        <v>995</v>
      </c>
      <c r="BE39" s="2" t="s">
        <v>996</v>
      </c>
      <c r="BF39" s="2" t="s">
        <v>63</v>
      </c>
      <c r="BG39" s="2" t="s">
        <v>24</v>
      </c>
      <c r="BH39" s="12" t="s">
        <v>92</v>
      </c>
      <c r="BI39" s="11" t="s">
        <v>828</v>
      </c>
      <c r="BJ39" s="2" t="s">
        <v>145</v>
      </c>
      <c r="BK39" s="2" t="s">
        <v>997</v>
      </c>
      <c r="BL39" s="2" t="s">
        <v>994</v>
      </c>
      <c r="BM39" s="2" t="s">
        <v>973</v>
      </c>
      <c r="BN39" s="12" t="s">
        <v>92</v>
      </c>
      <c r="BO39" s="118" t="s">
        <v>1879</v>
      </c>
      <c r="BP39" s="32" t="s">
        <v>1985</v>
      </c>
      <c r="BQ39" s="32" t="s">
        <v>1986</v>
      </c>
      <c r="BR39" s="32" t="s">
        <v>1990</v>
      </c>
      <c r="BS39" s="32" t="s">
        <v>1992</v>
      </c>
      <c r="BT39" s="12" t="s">
        <v>1869</v>
      </c>
      <c r="BU39" s="32" t="s">
        <v>1994</v>
      </c>
      <c r="BV39" s="32" t="s">
        <v>1890</v>
      </c>
      <c r="BW39" s="32" t="s">
        <v>1997</v>
      </c>
      <c r="BX39" s="32" t="s">
        <v>1988</v>
      </c>
      <c r="BY39" s="32" t="s">
        <v>1869</v>
      </c>
      <c r="BZ39" s="139" t="s">
        <v>2094</v>
      </c>
    </row>
    <row r="40" spans="1:78">
      <c r="A40" s="32"/>
      <c r="B40" s="32"/>
      <c r="C40" s="32"/>
      <c r="D40" s="17" t="s">
        <v>154</v>
      </c>
      <c r="E40" s="8"/>
      <c r="F40" s="26" t="s">
        <v>194</v>
      </c>
      <c r="G40" s="11" t="s">
        <v>7</v>
      </c>
      <c r="H40" s="2" t="s">
        <v>7</v>
      </c>
      <c r="I40" s="2" t="s">
        <v>970</v>
      </c>
      <c r="J40" s="2" t="s">
        <v>998</v>
      </c>
      <c r="K40" s="2" t="s">
        <v>969</v>
      </c>
      <c r="L40" s="12" t="s">
        <v>999</v>
      </c>
      <c r="M40" s="11" t="s">
        <v>1000</v>
      </c>
      <c r="N40" s="2" t="s">
        <v>974</v>
      </c>
      <c r="O40" s="2" t="s">
        <v>988</v>
      </c>
      <c r="P40" s="2" t="s">
        <v>971</v>
      </c>
      <c r="Q40" s="2" t="s">
        <v>1001</v>
      </c>
      <c r="R40" s="12" t="s">
        <v>20</v>
      </c>
      <c r="S40" s="2" t="s">
        <v>1004</v>
      </c>
      <c r="T40" s="2" t="s">
        <v>1002</v>
      </c>
      <c r="U40" s="2" t="s">
        <v>1003</v>
      </c>
      <c r="V40" s="2" t="s">
        <v>985</v>
      </c>
      <c r="W40" s="2" t="s">
        <v>1005</v>
      </c>
      <c r="X40" s="12" t="s">
        <v>20</v>
      </c>
      <c r="Y40" s="11" t="s">
        <v>1006</v>
      </c>
      <c r="Z40" s="2" t="s">
        <v>1007</v>
      </c>
      <c r="AA40" s="2" t="s">
        <v>1004</v>
      </c>
      <c r="AB40" s="2" t="s">
        <v>1008</v>
      </c>
      <c r="AC40" s="2" t="s">
        <v>974</v>
      </c>
      <c r="AD40" s="12" t="s">
        <v>1009</v>
      </c>
      <c r="AE40" s="11" t="s">
        <v>113</v>
      </c>
      <c r="AF40" s="2" t="s">
        <v>980</v>
      </c>
      <c r="AG40" s="2" t="s">
        <v>981</v>
      </c>
      <c r="AH40" s="2" t="s">
        <v>977</v>
      </c>
      <c r="AI40" s="2" t="s">
        <v>988</v>
      </c>
      <c r="AJ40" s="12" t="s">
        <v>1010</v>
      </c>
      <c r="AK40" s="11" t="s">
        <v>139</v>
      </c>
      <c r="AL40" s="2" t="s">
        <v>96</v>
      </c>
      <c r="AM40" s="2" t="s">
        <v>990</v>
      </c>
      <c r="AN40" s="2" t="s">
        <v>985</v>
      </c>
      <c r="AO40" s="2" t="s">
        <v>988</v>
      </c>
      <c r="AP40" s="12" t="s">
        <v>1010</v>
      </c>
      <c r="AQ40" s="2" t="s">
        <v>1011</v>
      </c>
      <c r="AR40" s="2" t="s">
        <v>137</v>
      </c>
      <c r="AS40" s="2" t="s">
        <v>989</v>
      </c>
      <c r="AT40" s="2" t="s">
        <v>976</v>
      </c>
      <c r="AU40" s="2" t="s">
        <v>1008</v>
      </c>
      <c r="AV40" s="12" t="s">
        <v>1010</v>
      </c>
      <c r="AW40" s="11" t="s">
        <v>1012</v>
      </c>
      <c r="AX40" s="2" t="s">
        <v>993</v>
      </c>
      <c r="AY40" s="2" t="s">
        <v>1013</v>
      </c>
      <c r="AZ40" s="2" t="s">
        <v>1014</v>
      </c>
      <c r="BA40" s="2" t="s">
        <v>978</v>
      </c>
      <c r="BB40" s="12" t="s">
        <v>92</v>
      </c>
      <c r="BC40" s="2" t="s">
        <v>827</v>
      </c>
      <c r="BD40" s="2" t="s">
        <v>382</v>
      </c>
      <c r="BE40" s="2" t="s">
        <v>1004</v>
      </c>
      <c r="BF40" s="2" t="s">
        <v>1015</v>
      </c>
      <c r="BG40" s="2" t="s">
        <v>985</v>
      </c>
      <c r="BH40" s="12" t="s">
        <v>92</v>
      </c>
      <c r="BI40" s="2" t="s">
        <v>828</v>
      </c>
      <c r="BJ40" s="2" t="s">
        <v>1016</v>
      </c>
      <c r="BK40" s="2" t="s">
        <v>994</v>
      </c>
      <c r="BL40" s="2" t="s">
        <v>1006</v>
      </c>
      <c r="BM40" s="2" t="s">
        <v>1003</v>
      </c>
      <c r="BN40" s="12" t="s">
        <v>92</v>
      </c>
      <c r="BO40" s="32" t="s">
        <v>1984</v>
      </c>
      <c r="BP40" s="32" t="s">
        <v>1985</v>
      </c>
      <c r="BQ40" s="32" t="s">
        <v>1992</v>
      </c>
      <c r="BR40" s="32" t="s">
        <v>2004</v>
      </c>
      <c r="BS40" s="32" t="s">
        <v>1997</v>
      </c>
      <c r="BT40" s="12" t="s">
        <v>1869</v>
      </c>
      <c r="BU40" s="32" t="s">
        <v>1994</v>
      </c>
      <c r="BV40" s="32" t="s">
        <v>1998</v>
      </c>
      <c r="BW40" s="32" t="s">
        <v>1988</v>
      </c>
      <c r="BX40" s="32" t="s">
        <v>1990</v>
      </c>
      <c r="BY40" s="32" t="s">
        <v>1869</v>
      </c>
      <c r="BZ40" s="139" t="s">
        <v>2094</v>
      </c>
    </row>
    <row r="41" spans="1:78">
      <c r="A41" s="32"/>
      <c r="B41" s="32"/>
      <c r="C41" s="32"/>
      <c r="D41" s="17" t="s">
        <v>1865</v>
      </c>
      <c r="E41" s="8"/>
      <c r="F41" s="26" t="s">
        <v>195</v>
      </c>
      <c r="G41" s="11" t="s">
        <v>7</v>
      </c>
      <c r="H41" s="32" t="s">
        <v>7</v>
      </c>
      <c r="I41" s="104" t="s">
        <v>1768</v>
      </c>
      <c r="J41" s="104" t="s">
        <v>1769</v>
      </c>
      <c r="K41" s="104" t="s">
        <v>1770</v>
      </c>
      <c r="L41" s="105" t="s">
        <v>1771</v>
      </c>
      <c r="M41" s="106" t="s">
        <v>51</v>
      </c>
      <c r="N41" s="104" t="s">
        <v>1772</v>
      </c>
      <c r="O41" s="104" t="s">
        <v>1773</v>
      </c>
      <c r="P41" s="104" t="s">
        <v>27</v>
      </c>
      <c r="Q41" s="32" t="s">
        <v>22</v>
      </c>
      <c r="R41" s="12" t="s">
        <v>20</v>
      </c>
      <c r="S41" s="106" t="s">
        <v>70</v>
      </c>
      <c r="T41" s="104" t="s">
        <v>1774</v>
      </c>
      <c r="U41" s="104" t="s">
        <v>1772</v>
      </c>
      <c r="V41" s="104" t="s">
        <v>1773</v>
      </c>
      <c r="W41" s="104" t="s">
        <v>1775</v>
      </c>
      <c r="X41" s="12" t="s">
        <v>20</v>
      </c>
      <c r="Y41" s="2" t="s">
        <v>1006</v>
      </c>
      <c r="Z41" s="2" t="s">
        <v>973</v>
      </c>
      <c r="AA41" s="2" t="s">
        <v>1005</v>
      </c>
      <c r="AB41" s="2" t="s">
        <v>985</v>
      </c>
      <c r="AC41" s="2" t="s">
        <v>1001</v>
      </c>
      <c r="AD41" s="12" t="s">
        <v>982</v>
      </c>
      <c r="AE41" s="11" t="s">
        <v>113</v>
      </c>
      <c r="AF41" s="2" t="s">
        <v>1017</v>
      </c>
      <c r="AG41" s="2" t="s">
        <v>1008</v>
      </c>
      <c r="AH41" s="2" t="s">
        <v>977</v>
      </c>
      <c r="AI41" s="2" t="s">
        <v>1018</v>
      </c>
      <c r="AJ41" s="12" t="s">
        <v>982</v>
      </c>
      <c r="AK41" s="11" t="s">
        <v>139</v>
      </c>
      <c r="AL41" s="2" t="s">
        <v>96</v>
      </c>
      <c r="AM41" s="2" t="s">
        <v>981</v>
      </c>
      <c r="AN41" s="2" t="s">
        <v>1019</v>
      </c>
      <c r="AO41" s="2" t="s">
        <v>988</v>
      </c>
      <c r="AP41" s="12" t="s">
        <v>982</v>
      </c>
      <c r="AQ41" s="11" t="s">
        <v>1013</v>
      </c>
      <c r="AR41" s="2" t="s">
        <v>1020</v>
      </c>
      <c r="AS41" s="2" t="s">
        <v>1015</v>
      </c>
      <c r="AT41" s="2" t="s">
        <v>978</v>
      </c>
      <c r="AU41" s="2" t="s">
        <v>998</v>
      </c>
      <c r="AV41" s="12" t="s">
        <v>992</v>
      </c>
      <c r="AW41" s="2" t="s">
        <v>1021</v>
      </c>
      <c r="AX41" s="2" t="s">
        <v>993</v>
      </c>
      <c r="AY41" s="2" t="s">
        <v>976</v>
      </c>
      <c r="AZ41" s="2" t="s">
        <v>1022</v>
      </c>
      <c r="BA41" s="2" t="s">
        <v>988</v>
      </c>
      <c r="BB41" s="12" t="s">
        <v>92</v>
      </c>
      <c r="BC41" s="2" t="s">
        <v>827</v>
      </c>
      <c r="BD41" s="2" t="s">
        <v>1012</v>
      </c>
      <c r="BE41" s="2" t="s">
        <v>1017</v>
      </c>
      <c r="BF41" s="2" t="s">
        <v>977</v>
      </c>
      <c r="BG41" s="2" t="s">
        <v>988</v>
      </c>
      <c r="BH41" s="12" t="s">
        <v>92</v>
      </c>
      <c r="BI41" s="2" t="s">
        <v>828</v>
      </c>
      <c r="BJ41" s="2" t="s">
        <v>1023</v>
      </c>
      <c r="BK41" s="2" t="s">
        <v>1006</v>
      </c>
      <c r="BL41" s="2" t="s">
        <v>1024</v>
      </c>
      <c r="BM41" s="2" t="s">
        <v>973</v>
      </c>
      <c r="BN41" s="12" t="s">
        <v>92</v>
      </c>
      <c r="BO41" s="32" t="s">
        <v>1984</v>
      </c>
      <c r="BP41" s="32" t="s">
        <v>1985</v>
      </c>
      <c r="BQ41" s="32" t="s">
        <v>2002</v>
      </c>
      <c r="BR41" s="32" t="s">
        <v>1986</v>
      </c>
      <c r="BS41" s="32" t="s">
        <v>2000</v>
      </c>
      <c r="BT41" s="12" t="s">
        <v>1869</v>
      </c>
      <c r="BU41" s="32" t="s">
        <v>1994</v>
      </c>
      <c r="BV41" s="32" t="s">
        <v>1992</v>
      </c>
      <c r="BW41" s="32" t="s">
        <v>1991</v>
      </c>
      <c r="BX41" s="32" t="s">
        <v>1997</v>
      </c>
      <c r="BY41" s="32" t="s">
        <v>1869</v>
      </c>
      <c r="BZ41" s="139" t="s">
        <v>2094</v>
      </c>
    </row>
    <row r="42" spans="1:78">
      <c r="A42" s="32"/>
      <c r="B42" s="32"/>
      <c r="C42" s="32"/>
      <c r="D42" s="124" t="s">
        <v>1866</v>
      </c>
      <c r="E42" s="8"/>
      <c r="F42" s="26" t="s">
        <v>196</v>
      </c>
      <c r="G42" s="11" t="s">
        <v>7</v>
      </c>
      <c r="H42" s="32" t="s">
        <v>1272</v>
      </c>
      <c r="I42" s="32" t="s">
        <v>1273</v>
      </c>
      <c r="J42" s="32" t="s">
        <v>1273</v>
      </c>
      <c r="K42" s="32" t="s">
        <v>1274</v>
      </c>
      <c r="L42" s="32" t="s">
        <v>1274</v>
      </c>
      <c r="M42" s="11" t="s">
        <v>45</v>
      </c>
      <c r="N42" s="32" t="s">
        <v>1275</v>
      </c>
      <c r="O42" s="32" t="s">
        <v>1276</v>
      </c>
      <c r="P42" s="32" t="s">
        <v>1276</v>
      </c>
      <c r="Q42" s="32" t="s">
        <v>1277</v>
      </c>
      <c r="R42" s="12" t="s">
        <v>1278</v>
      </c>
      <c r="S42" s="11" t="s">
        <v>76</v>
      </c>
      <c r="T42" s="32" t="s">
        <v>1279</v>
      </c>
      <c r="U42" s="32" t="s">
        <v>1280</v>
      </c>
      <c r="V42" s="32" t="s">
        <v>1281</v>
      </c>
      <c r="W42" s="32" t="s">
        <v>1282</v>
      </c>
      <c r="X42" s="12" t="s">
        <v>1283</v>
      </c>
      <c r="Y42" s="11" t="s">
        <v>980</v>
      </c>
      <c r="Z42" s="2" t="s">
        <v>1025</v>
      </c>
      <c r="AA42" s="2" t="s">
        <v>985</v>
      </c>
      <c r="AB42" s="2" t="s">
        <v>979</v>
      </c>
      <c r="AC42" s="2" t="s">
        <v>988</v>
      </c>
      <c r="AD42" s="12" t="s">
        <v>982</v>
      </c>
      <c r="AE42" s="11" t="s">
        <v>991</v>
      </c>
      <c r="AF42" s="2" t="s">
        <v>1026</v>
      </c>
      <c r="AG42" s="2" t="s">
        <v>990</v>
      </c>
      <c r="AH42" s="2" t="s">
        <v>977</v>
      </c>
      <c r="AI42" s="2" t="s">
        <v>998</v>
      </c>
      <c r="AJ42" s="12" t="s">
        <v>982</v>
      </c>
      <c r="AK42" s="11" t="s">
        <v>989</v>
      </c>
      <c r="AL42" s="2" t="s">
        <v>986</v>
      </c>
      <c r="AM42" s="2" t="s">
        <v>1017</v>
      </c>
      <c r="AN42" s="2" t="s">
        <v>1003</v>
      </c>
      <c r="AO42" s="2" t="s">
        <v>988</v>
      </c>
      <c r="AP42" s="12" t="s">
        <v>1010</v>
      </c>
      <c r="AQ42" s="11" t="s">
        <v>1027</v>
      </c>
      <c r="AR42" s="2" t="s">
        <v>1028</v>
      </c>
      <c r="AS42" s="2" t="s">
        <v>986</v>
      </c>
      <c r="AT42" s="2" t="s">
        <v>975</v>
      </c>
      <c r="AU42" s="2" t="s">
        <v>988</v>
      </c>
      <c r="AV42" s="12" t="s">
        <v>1010</v>
      </c>
      <c r="AW42" s="2" t="s">
        <v>1029</v>
      </c>
      <c r="AX42" s="2" t="s">
        <v>993</v>
      </c>
      <c r="AY42" s="2" t="s">
        <v>996</v>
      </c>
      <c r="AZ42" s="2" t="s">
        <v>1007</v>
      </c>
      <c r="BA42" s="2" t="s">
        <v>1002</v>
      </c>
      <c r="BB42" s="12" t="s">
        <v>92</v>
      </c>
      <c r="BC42" s="11" t="s">
        <v>1030</v>
      </c>
      <c r="BD42" s="2" t="s">
        <v>994</v>
      </c>
      <c r="BE42" s="2" t="s">
        <v>1013</v>
      </c>
      <c r="BF42" s="2" t="s">
        <v>1004</v>
      </c>
      <c r="BG42" s="2" t="s">
        <v>977</v>
      </c>
      <c r="BH42" s="12" t="s">
        <v>92</v>
      </c>
      <c r="BI42" s="2" t="s">
        <v>1031</v>
      </c>
      <c r="BJ42" s="2" t="s">
        <v>1012</v>
      </c>
      <c r="BK42" s="2" t="s">
        <v>1020</v>
      </c>
      <c r="BL42" s="2" t="s">
        <v>990</v>
      </c>
      <c r="BM42" s="2" t="s">
        <v>973</v>
      </c>
      <c r="BN42" s="12" t="s">
        <v>92</v>
      </c>
      <c r="BO42" s="118" t="s">
        <v>1879</v>
      </c>
      <c r="BP42" s="32" t="s">
        <v>1985</v>
      </c>
      <c r="BQ42" s="32" t="s">
        <v>1996</v>
      </c>
      <c r="BR42" s="32" t="s">
        <v>1986</v>
      </c>
      <c r="BS42" s="32" t="s">
        <v>2000</v>
      </c>
      <c r="BT42" s="12" t="s">
        <v>1869</v>
      </c>
      <c r="BU42" s="32" t="s">
        <v>1994</v>
      </c>
      <c r="BV42" s="32" t="s">
        <v>2002</v>
      </c>
      <c r="BW42" s="32" t="s">
        <v>1992</v>
      </c>
      <c r="BX42" s="32" t="s">
        <v>1997</v>
      </c>
      <c r="BY42" s="32" t="s">
        <v>1869</v>
      </c>
      <c r="BZ42" s="139" t="s">
        <v>2094</v>
      </c>
    </row>
    <row r="43" spans="1:78">
      <c r="A43" s="32"/>
      <c r="B43" s="32"/>
      <c r="C43" s="32"/>
      <c r="D43" s="124" t="s">
        <v>1868</v>
      </c>
      <c r="E43" s="8"/>
      <c r="F43" s="26" t="s">
        <v>197</v>
      </c>
      <c r="G43" s="11" t="s">
        <v>1032</v>
      </c>
      <c r="H43" s="2" t="s">
        <v>1032</v>
      </c>
      <c r="I43" s="2" t="s">
        <v>968</v>
      </c>
      <c r="J43" s="2" t="s">
        <v>968</v>
      </c>
      <c r="K43" s="2" t="s">
        <v>998</v>
      </c>
      <c r="L43" s="12" t="s">
        <v>972</v>
      </c>
      <c r="M43" s="11" t="s">
        <v>1005</v>
      </c>
      <c r="N43" s="2" t="s">
        <v>979</v>
      </c>
      <c r="O43" s="2" t="s">
        <v>988</v>
      </c>
      <c r="P43" s="2" t="s">
        <v>988</v>
      </c>
      <c r="Q43" s="2" t="s">
        <v>971</v>
      </c>
      <c r="R43" s="12" t="s">
        <v>1009</v>
      </c>
      <c r="S43" s="11" t="s">
        <v>1004</v>
      </c>
      <c r="T43" s="2" t="s">
        <v>977</v>
      </c>
      <c r="U43" s="2" t="s">
        <v>1000</v>
      </c>
      <c r="V43" s="2" t="s">
        <v>988</v>
      </c>
      <c r="W43" s="2" t="s">
        <v>1001</v>
      </c>
      <c r="X43" s="12" t="s">
        <v>1009</v>
      </c>
      <c r="Y43" s="11" t="s">
        <v>983</v>
      </c>
      <c r="Z43" s="2" t="s">
        <v>980</v>
      </c>
      <c r="AA43" s="2" t="s">
        <v>1033</v>
      </c>
      <c r="AB43" s="2" t="s">
        <v>1008</v>
      </c>
      <c r="AC43" s="2" t="s">
        <v>988</v>
      </c>
      <c r="AD43" s="12" t="s">
        <v>982</v>
      </c>
      <c r="AE43" s="11" t="s">
        <v>987</v>
      </c>
      <c r="AF43" s="2" t="s">
        <v>1007</v>
      </c>
      <c r="AG43" s="2" t="s">
        <v>1006</v>
      </c>
      <c r="AH43" s="2" t="s">
        <v>1002</v>
      </c>
      <c r="AI43" s="2" t="s">
        <v>976</v>
      </c>
      <c r="AJ43" s="12" t="s">
        <v>982</v>
      </c>
      <c r="AK43" s="11" t="s">
        <v>1027</v>
      </c>
      <c r="AL43" s="2" t="s">
        <v>991</v>
      </c>
      <c r="AM43" s="2" t="s">
        <v>990</v>
      </c>
      <c r="AN43" s="2" t="s">
        <v>1004</v>
      </c>
      <c r="AO43" s="2" t="s">
        <v>1001</v>
      </c>
      <c r="AP43" s="12" t="s">
        <v>1010</v>
      </c>
      <c r="AQ43" s="11" t="s">
        <v>1011</v>
      </c>
      <c r="AR43" s="2" t="s">
        <v>133</v>
      </c>
      <c r="AS43" s="2" t="s">
        <v>987</v>
      </c>
      <c r="AT43" s="2" t="s">
        <v>1034</v>
      </c>
      <c r="AU43" s="2" t="s">
        <v>988</v>
      </c>
      <c r="AV43" s="12" t="s">
        <v>1010</v>
      </c>
      <c r="AW43" s="11" t="s">
        <v>993</v>
      </c>
      <c r="AX43" s="2" t="s">
        <v>1013</v>
      </c>
      <c r="AY43" s="2" t="s">
        <v>1004</v>
      </c>
      <c r="AZ43" s="2" t="s">
        <v>990</v>
      </c>
      <c r="BA43" s="2" t="s">
        <v>1034</v>
      </c>
      <c r="BB43" s="12" t="s">
        <v>92</v>
      </c>
      <c r="BC43" s="11" t="s">
        <v>827</v>
      </c>
      <c r="BD43" s="2" t="s">
        <v>1035</v>
      </c>
      <c r="BE43" s="2" t="s">
        <v>1028</v>
      </c>
      <c r="BF43" s="2" t="s">
        <v>1013</v>
      </c>
      <c r="BG43" s="2" t="s">
        <v>1004</v>
      </c>
      <c r="BH43" s="12" t="s">
        <v>92</v>
      </c>
      <c r="BI43" s="11" t="s">
        <v>828</v>
      </c>
      <c r="BJ43" s="2" t="s">
        <v>1012</v>
      </c>
      <c r="BK43" s="2" t="s">
        <v>997</v>
      </c>
      <c r="BL43" s="2" t="s">
        <v>990</v>
      </c>
      <c r="BM43" s="2" t="s">
        <v>1007</v>
      </c>
      <c r="BN43" s="12" t="s">
        <v>92</v>
      </c>
      <c r="BO43" s="118" t="s">
        <v>1879</v>
      </c>
      <c r="BP43" s="32" t="s">
        <v>1985</v>
      </c>
      <c r="BQ43" s="32" t="s">
        <v>1992</v>
      </c>
      <c r="BR43" s="32" t="s">
        <v>1991</v>
      </c>
      <c r="BS43" s="32" t="s">
        <v>2000</v>
      </c>
      <c r="BT43" s="12" t="s">
        <v>1869</v>
      </c>
      <c r="BU43" s="32" t="s">
        <v>1994</v>
      </c>
      <c r="BV43" s="32" t="s">
        <v>1986</v>
      </c>
      <c r="BW43" s="32" t="s">
        <v>2002</v>
      </c>
      <c r="BX43" s="32" t="s">
        <v>1997</v>
      </c>
      <c r="BY43" s="32" t="s">
        <v>1869</v>
      </c>
      <c r="BZ43" s="139" t="s">
        <v>2094</v>
      </c>
    </row>
    <row r="44" spans="1:78">
      <c r="A44" s="32"/>
      <c r="B44" s="32"/>
      <c r="C44" s="32"/>
      <c r="D44" s="124" t="s">
        <v>1869</v>
      </c>
      <c r="E44" s="8"/>
      <c r="F44" s="26" t="s">
        <v>198</v>
      </c>
      <c r="G44" s="11" t="s">
        <v>1032</v>
      </c>
      <c r="H44" s="2" t="s">
        <v>1032</v>
      </c>
      <c r="I44" s="2" t="s">
        <v>1036</v>
      </c>
      <c r="J44" s="2" t="s">
        <v>968</v>
      </c>
      <c r="K44" s="2" t="s">
        <v>998</v>
      </c>
      <c r="L44" s="12" t="s">
        <v>972</v>
      </c>
      <c r="M44" s="11" t="s">
        <v>1005</v>
      </c>
      <c r="N44" s="2" t="s">
        <v>978</v>
      </c>
      <c r="O44" s="2" t="s">
        <v>1001</v>
      </c>
      <c r="P44" s="2" t="s">
        <v>988</v>
      </c>
      <c r="Q44" s="2" t="s">
        <v>988</v>
      </c>
      <c r="R44" s="12" t="s">
        <v>1009</v>
      </c>
      <c r="S44" s="11" t="s">
        <v>1004</v>
      </c>
      <c r="T44" s="2" t="s">
        <v>1002</v>
      </c>
      <c r="U44" s="2" t="s">
        <v>977</v>
      </c>
      <c r="V44" s="2" t="s">
        <v>975</v>
      </c>
      <c r="W44" s="2" t="s">
        <v>988</v>
      </c>
      <c r="X44" s="12" t="s">
        <v>1009</v>
      </c>
      <c r="Y44" s="11" t="s">
        <v>1006</v>
      </c>
      <c r="Z44" s="2" t="s">
        <v>981</v>
      </c>
      <c r="AA44" s="2" t="s">
        <v>974</v>
      </c>
      <c r="AB44" s="2" t="s">
        <v>1034</v>
      </c>
      <c r="AC44" s="2" t="s">
        <v>1037</v>
      </c>
      <c r="AD44" s="12" t="s">
        <v>982</v>
      </c>
      <c r="AE44" s="11" t="s">
        <v>983</v>
      </c>
      <c r="AF44" s="2" t="s">
        <v>980</v>
      </c>
      <c r="AG44" s="2" t="s">
        <v>1017</v>
      </c>
      <c r="AH44" s="2" t="s">
        <v>1008</v>
      </c>
      <c r="AI44" s="2" t="s">
        <v>1038</v>
      </c>
      <c r="AJ44" s="12" t="s">
        <v>982</v>
      </c>
      <c r="AK44" s="2" t="s">
        <v>1028</v>
      </c>
      <c r="AL44" s="2" t="s">
        <v>1004</v>
      </c>
      <c r="AM44" s="2" t="s">
        <v>1025</v>
      </c>
      <c r="AN44" s="2" t="s">
        <v>1006</v>
      </c>
      <c r="AO44" s="2" t="s">
        <v>973</v>
      </c>
      <c r="AP44" s="12" t="s">
        <v>982</v>
      </c>
      <c r="AQ44" s="11" t="s">
        <v>1020</v>
      </c>
      <c r="AR44" s="2" t="s">
        <v>1027</v>
      </c>
      <c r="AS44" s="2" t="s">
        <v>1014</v>
      </c>
      <c r="AT44" s="2" t="s">
        <v>1003</v>
      </c>
      <c r="AU44" s="2" t="s">
        <v>985</v>
      </c>
      <c r="AV44" s="12" t="s">
        <v>992</v>
      </c>
      <c r="AW44" s="11" t="s">
        <v>993</v>
      </c>
      <c r="AX44" s="2" t="s">
        <v>989</v>
      </c>
      <c r="AY44" s="2" t="s">
        <v>986</v>
      </c>
      <c r="AZ44" s="2" t="s">
        <v>987</v>
      </c>
      <c r="BA44" s="2" t="s">
        <v>977</v>
      </c>
      <c r="BB44" s="12" t="s">
        <v>92</v>
      </c>
      <c r="BC44" s="11" t="s">
        <v>827</v>
      </c>
      <c r="BD44" s="2" t="s">
        <v>1029</v>
      </c>
      <c r="BE44" s="2" t="s">
        <v>1028</v>
      </c>
      <c r="BF44" s="2" t="s">
        <v>991</v>
      </c>
      <c r="BG44" s="2" t="s">
        <v>1022</v>
      </c>
      <c r="BH44" s="12" t="s">
        <v>92</v>
      </c>
      <c r="BI44" s="11" t="s">
        <v>828</v>
      </c>
      <c r="BJ44" s="2" t="s">
        <v>150</v>
      </c>
      <c r="BK44" s="2" t="s">
        <v>1027</v>
      </c>
      <c r="BL44" s="2" t="s">
        <v>1006</v>
      </c>
      <c r="BM44" s="2" t="s">
        <v>1003</v>
      </c>
      <c r="BN44" s="12" t="s">
        <v>92</v>
      </c>
      <c r="BO44" s="118" t="s">
        <v>1879</v>
      </c>
      <c r="BP44" s="32" t="s">
        <v>1985</v>
      </c>
      <c r="BQ44" s="32" t="s">
        <v>1992</v>
      </c>
      <c r="BR44" s="32" t="s">
        <v>1986</v>
      </c>
      <c r="BS44" s="32" t="s">
        <v>2002</v>
      </c>
      <c r="BT44" s="12" t="s">
        <v>1869</v>
      </c>
      <c r="BU44" s="32" t="s">
        <v>1989</v>
      </c>
      <c r="BV44" s="32" t="s">
        <v>1990</v>
      </c>
      <c r="BW44" s="32" t="s">
        <v>1996</v>
      </c>
      <c r="BX44" s="32" t="s">
        <v>1988</v>
      </c>
      <c r="BY44" s="32" t="s">
        <v>1869</v>
      </c>
      <c r="BZ44" s="139" t="s">
        <v>2094</v>
      </c>
    </row>
    <row r="45" spans="1:78">
      <c r="A45" s="32"/>
      <c r="B45" s="32"/>
      <c r="C45" s="32"/>
      <c r="D45" s="124" t="s">
        <v>1876</v>
      </c>
      <c r="E45" s="8"/>
      <c r="F45" s="26" t="s">
        <v>199</v>
      </c>
      <c r="G45" s="11" t="s">
        <v>1032</v>
      </c>
      <c r="H45" s="2" t="s">
        <v>1032</v>
      </c>
      <c r="I45" s="2" t="s">
        <v>968</v>
      </c>
      <c r="J45" s="2" t="s">
        <v>968</v>
      </c>
      <c r="K45" s="2" t="s">
        <v>998</v>
      </c>
      <c r="L45" s="12" t="s">
        <v>970</v>
      </c>
      <c r="M45" s="11" t="s">
        <v>978</v>
      </c>
      <c r="N45" s="2" t="s">
        <v>988</v>
      </c>
      <c r="O45" s="2" t="s">
        <v>971</v>
      </c>
      <c r="P45" s="2" t="s">
        <v>1022</v>
      </c>
      <c r="Q45" s="2" t="s">
        <v>1001</v>
      </c>
      <c r="R45" s="12" t="s">
        <v>1009</v>
      </c>
      <c r="S45" s="11" t="s">
        <v>1004</v>
      </c>
      <c r="T45" s="2" t="s">
        <v>1002</v>
      </c>
      <c r="U45" s="2" t="s">
        <v>1005</v>
      </c>
      <c r="V45" s="2" t="s">
        <v>979</v>
      </c>
      <c r="W45" s="2" t="s">
        <v>998</v>
      </c>
      <c r="X45" s="12" t="s">
        <v>1009</v>
      </c>
      <c r="Y45" s="11" t="s">
        <v>1006</v>
      </c>
      <c r="Z45" s="2" t="s">
        <v>980</v>
      </c>
      <c r="AA45" s="2" t="s">
        <v>977</v>
      </c>
      <c r="AB45" s="2" t="s">
        <v>973</v>
      </c>
      <c r="AC45" s="2" t="s">
        <v>1008</v>
      </c>
      <c r="AD45" s="12" t="s">
        <v>982</v>
      </c>
      <c r="AE45" s="11" t="s">
        <v>113</v>
      </c>
      <c r="AF45" s="2" t="s">
        <v>1025</v>
      </c>
      <c r="AG45" s="2" t="s">
        <v>1004</v>
      </c>
      <c r="AH45" s="2" t="s">
        <v>1015</v>
      </c>
      <c r="AI45" s="2" t="s">
        <v>985</v>
      </c>
      <c r="AJ45" s="12" t="s">
        <v>1039</v>
      </c>
      <c r="AK45" s="11" t="s">
        <v>989</v>
      </c>
      <c r="AL45" s="2" t="s">
        <v>1024</v>
      </c>
      <c r="AM45" s="2" t="s">
        <v>990</v>
      </c>
      <c r="AN45" s="2" t="s">
        <v>1007</v>
      </c>
      <c r="AO45" s="2" t="s">
        <v>998</v>
      </c>
      <c r="AP45" s="12" t="s">
        <v>1010</v>
      </c>
      <c r="AQ45" s="2" t="s">
        <v>137</v>
      </c>
      <c r="AR45" s="2" t="s">
        <v>1027</v>
      </c>
      <c r="AS45" s="2" t="s">
        <v>981</v>
      </c>
      <c r="AT45" s="2" t="s">
        <v>1014</v>
      </c>
      <c r="AU45" s="2" t="s">
        <v>976</v>
      </c>
      <c r="AV45" s="12" t="s">
        <v>1010</v>
      </c>
      <c r="AW45" s="11" t="s">
        <v>1012</v>
      </c>
      <c r="AX45" s="2" t="s">
        <v>1040</v>
      </c>
      <c r="AY45" s="2" t="s">
        <v>1013</v>
      </c>
      <c r="AZ45" s="2" t="s">
        <v>1019</v>
      </c>
      <c r="BA45" s="2" t="s">
        <v>978</v>
      </c>
      <c r="BB45" s="12" t="s">
        <v>92</v>
      </c>
      <c r="BC45" s="11" t="s">
        <v>382</v>
      </c>
      <c r="BD45" s="2" t="s">
        <v>994</v>
      </c>
      <c r="BE45" s="2" t="s">
        <v>986</v>
      </c>
      <c r="BF45" s="2" t="s">
        <v>1004</v>
      </c>
      <c r="BG45" s="2" t="s">
        <v>985</v>
      </c>
      <c r="BH45" s="12" t="s">
        <v>92</v>
      </c>
      <c r="BI45" s="11" t="s">
        <v>993</v>
      </c>
      <c r="BJ45" s="2" t="s">
        <v>989</v>
      </c>
      <c r="BK45" s="2" t="s">
        <v>1027</v>
      </c>
      <c r="BL45" s="2" t="s">
        <v>981</v>
      </c>
      <c r="BM45" s="2" t="s">
        <v>1006</v>
      </c>
      <c r="BN45" s="12" t="s">
        <v>92</v>
      </c>
      <c r="BO45" s="32" t="s">
        <v>1984</v>
      </c>
      <c r="BP45" s="32" t="s">
        <v>1985</v>
      </c>
      <c r="BQ45" s="32" t="s">
        <v>1986</v>
      </c>
      <c r="BR45" s="32" t="s">
        <v>1988</v>
      </c>
      <c r="BS45" s="32" t="s">
        <v>1991</v>
      </c>
      <c r="BT45" s="12" t="s">
        <v>1869</v>
      </c>
      <c r="BU45" s="32" t="s">
        <v>1989</v>
      </c>
      <c r="BV45" s="32" t="s">
        <v>1992</v>
      </c>
      <c r="BW45" s="32" t="s">
        <v>1890</v>
      </c>
      <c r="BX45" s="32" t="s">
        <v>1997</v>
      </c>
      <c r="BY45" s="32" t="s">
        <v>1869</v>
      </c>
      <c r="BZ45" s="139" t="s">
        <v>2094</v>
      </c>
    </row>
    <row r="46" spans="1:78">
      <c r="A46" s="32"/>
      <c r="B46" s="32"/>
      <c r="C46" s="32"/>
      <c r="D46" s="124" t="s">
        <v>1878</v>
      </c>
      <c r="E46" s="8"/>
      <c r="F46" s="26" t="s">
        <v>200</v>
      </c>
      <c r="G46" s="11" t="s">
        <v>1032</v>
      </c>
      <c r="H46" s="2" t="s">
        <v>1032</v>
      </c>
      <c r="I46" s="2" t="s">
        <v>1036</v>
      </c>
      <c r="J46" s="2" t="s">
        <v>1036</v>
      </c>
      <c r="K46" s="2" t="s">
        <v>998</v>
      </c>
      <c r="L46" s="12" t="s">
        <v>969</v>
      </c>
      <c r="M46" s="11" t="s">
        <v>1000</v>
      </c>
      <c r="N46" s="2" t="s">
        <v>988</v>
      </c>
      <c r="O46" s="2" t="s">
        <v>988</v>
      </c>
      <c r="P46" s="2" t="s">
        <v>988</v>
      </c>
      <c r="Q46" s="2" t="s">
        <v>998</v>
      </c>
      <c r="R46" s="12" t="s">
        <v>1009</v>
      </c>
      <c r="S46" s="11" t="s">
        <v>1004</v>
      </c>
      <c r="T46" s="2" t="s">
        <v>979</v>
      </c>
      <c r="U46" s="2" t="s">
        <v>1034</v>
      </c>
      <c r="V46" s="2" t="s">
        <v>988</v>
      </c>
      <c r="W46" s="2" t="s">
        <v>971</v>
      </c>
      <c r="X46" s="12" t="s">
        <v>1009</v>
      </c>
      <c r="Y46" s="11" t="s">
        <v>983</v>
      </c>
      <c r="Z46" s="2" t="s">
        <v>981</v>
      </c>
      <c r="AA46" s="2" t="s">
        <v>1008</v>
      </c>
      <c r="AB46" s="2" t="s">
        <v>975</v>
      </c>
      <c r="AC46" s="2" t="s">
        <v>988</v>
      </c>
      <c r="AD46" s="12" t="s">
        <v>992</v>
      </c>
      <c r="AE46" s="11" t="s">
        <v>983</v>
      </c>
      <c r="AF46" s="2" t="s">
        <v>1007</v>
      </c>
      <c r="AG46" s="2" t="s">
        <v>1026</v>
      </c>
      <c r="AH46" s="2" t="s">
        <v>1004</v>
      </c>
      <c r="AI46" s="2" t="s">
        <v>988</v>
      </c>
      <c r="AJ46" s="12" t="s">
        <v>992</v>
      </c>
      <c r="AK46" s="11" t="s">
        <v>1027</v>
      </c>
      <c r="AL46" s="2" t="s">
        <v>1017</v>
      </c>
      <c r="AM46" s="2" t="s">
        <v>990</v>
      </c>
      <c r="AN46" s="2" t="s">
        <v>985</v>
      </c>
      <c r="AO46" s="2" t="s">
        <v>978</v>
      </c>
      <c r="AP46" s="12" t="s">
        <v>992</v>
      </c>
      <c r="AQ46" s="11" t="s">
        <v>1011</v>
      </c>
      <c r="AR46" s="2" t="s">
        <v>994</v>
      </c>
      <c r="AS46" s="2" t="s">
        <v>987</v>
      </c>
      <c r="AT46" s="2" t="s">
        <v>1002</v>
      </c>
      <c r="AU46" s="2" t="s">
        <v>978</v>
      </c>
      <c r="AV46" s="12" t="s">
        <v>992</v>
      </c>
      <c r="AW46" s="11" t="s">
        <v>993</v>
      </c>
      <c r="AX46" s="2" t="s">
        <v>986</v>
      </c>
      <c r="AY46" s="2" t="s">
        <v>1013</v>
      </c>
      <c r="AZ46" s="2" t="s">
        <v>1015</v>
      </c>
      <c r="BA46" s="2" t="s">
        <v>1034</v>
      </c>
      <c r="BB46" s="12" t="s">
        <v>92</v>
      </c>
      <c r="BC46" s="11" t="s">
        <v>827</v>
      </c>
      <c r="BD46" s="2" t="s">
        <v>996</v>
      </c>
      <c r="BE46" s="2" t="s">
        <v>1027</v>
      </c>
      <c r="BF46" s="2" t="s">
        <v>1004</v>
      </c>
      <c r="BG46" s="2" t="s">
        <v>1034</v>
      </c>
      <c r="BH46" s="12" t="s">
        <v>92</v>
      </c>
      <c r="BI46" s="11" t="s">
        <v>828</v>
      </c>
      <c r="BJ46" s="2" t="s">
        <v>997</v>
      </c>
      <c r="BK46" s="2" t="s">
        <v>1028</v>
      </c>
      <c r="BL46" s="2" t="s">
        <v>994</v>
      </c>
      <c r="BM46" s="2" t="s">
        <v>990</v>
      </c>
      <c r="BN46" s="12" t="s">
        <v>92</v>
      </c>
      <c r="BO46" s="118" t="s">
        <v>1879</v>
      </c>
      <c r="BP46" s="32" t="s">
        <v>1985</v>
      </c>
      <c r="BQ46" s="32" t="s">
        <v>2000</v>
      </c>
      <c r="BR46" s="32" t="s">
        <v>2002</v>
      </c>
      <c r="BS46" s="32" t="s">
        <v>1990</v>
      </c>
      <c r="BT46" s="12" t="s">
        <v>1869</v>
      </c>
      <c r="BU46" s="32" t="s">
        <v>1989</v>
      </c>
      <c r="BV46" s="32" t="s">
        <v>1992</v>
      </c>
      <c r="BW46" s="32" t="s">
        <v>1988</v>
      </c>
      <c r="BX46" s="32" t="s">
        <v>1997</v>
      </c>
      <c r="BY46" s="32" t="s">
        <v>1869</v>
      </c>
      <c r="BZ46" s="139" t="s">
        <v>2094</v>
      </c>
    </row>
    <row r="47" spans="1:78">
      <c r="A47" s="32"/>
      <c r="B47" s="32"/>
      <c r="C47" s="32"/>
      <c r="D47" s="124" t="s">
        <v>1881</v>
      </c>
      <c r="E47" s="8"/>
      <c r="F47" s="26" t="s">
        <v>201</v>
      </c>
      <c r="G47" s="11" t="s">
        <v>1032</v>
      </c>
      <c r="H47" s="2" t="s">
        <v>1032</v>
      </c>
      <c r="I47" s="2" t="s">
        <v>1036</v>
      </c>
      <c r="J47" s="2" t="s">
        <v>1036</v>
      </c>
      <c r="K47" s="2" t="s">
        <v>998</v>
      </c>
      <c r="L47" s="12" t="s">
        <v>969</v>
      </c>
      <c r="M47" s="11" t="s">
        <v>1008</v>
      </c>
      <c r="N47" s="2" t="s">
        <v>988</v>
      </c>
      <c r="O47" s="2" t="s">
        <v>988</v>
      </c>
      <c r="P47" s="2" t="s">
        <v>972</v>
      </c>
      <c r="Q47" s="2" t="s">
        <v>971</v>
      </c>
      <c r="R47" s="12" t="s">
        <v>1009</v>
      </c>
      <c r="S47" s="11" t="s">
        <v>1004</v>
      </c>
      <c r="T47" s="2" t="s">
        <v>1005</v>
      </c>
      <c r="U47" s="2" t="s">
        <v>1000</v>
      </c>
      <c r="V47" s="2" t="s">
        <v>988</v>
      </c>
      <c r="W47" s="2" t="s">
        <v>988</v>
      </c>
      <c r="X47" s="12" t="s">
        <v>982</v>
      </c>
      <c r="Y47" s="11" t="s">
        <v>1006</v>
      </c>
      <c r="Z47" s="2" t="s">
        <v>981</v>
      </c>
      <c r="AA47" s="2" t="s">
        <v>1019</v>
      </c>
      <c r="AB47" s="2" t="s">
        <v>978</v>
      </c>
      <c r="AC47" s="2" t="s">
        <v>1001</v>
      </c>
      <c r="AD47" s="12" t="s">
        <v>982</v>
      </c>
      <c r="AE47" s="11" t="s">
        <v>980</v>
      </c>
      <c r="AF47" s="2" t="s">
        <v>1025</v>
      </c>
      <c r="AG47" s="2" t="s">
        <v>1017</v>
      </c>
      <c r="AH47" s="2" t="s">
        <v>1000</v>
      </c>
      <c r="AI47" s="2" t="s">
        <v>968</v>
      </c>
      <c r="AJ47" s="12" t="s">
        <v>982</v>
      </c>
      <c r="AK47" s="11" t="s">
        <v>1013</v>
      </c>
      <c r="AL47" s="2" t="s">
        <v>986</v>
      </c>
      <c r="AM47" s="2" t="s">
        <v>990</v>
      </c>
      <c r="AN47" s="2" t="s">
        <v>1004</v>
      </c>
      <c r="AO47" s="2" t="s">
        <v>979</v>
      </c>
      <c r="AP47" s="12" t="s">
        <v>982</v>
      </c>
      <c r="AQ47" s="2" t="s">
        <v>133</v>
      </c>
      <c r="AR47" s="2" t="s">
        <v>1027</v>
      </c>
      <c r="AS47" s="2" t="s">
        <v>1006</v>
      </c>
      <c r="AT47" s="2" t="s">
        <v>1004</v>
      </c>
      <c r="AU47" s="2" t="s">
        <v>1000</v>
      </c>
      <c r="AV47" s="12" t="s">
        <v>992</v>
      </c>
      <c r="AW47" s="11" t="s">
        <v>150</v>
      </c>
      <c r="AX47" s="2" t="s">
        <v>1020</v>
      </c>
      <c r="AY47" s="2" t="s">
        <v>986</v>
      </c>
      <c r="AZ47" s="2" t="s">
        <v>1024</v>
      </c>
      <c r="BA47" s="2" t="s">
        <v>978</v>
      </c>
      <c r="BB47" s="12" t="s">
        <v>92</v>
      </c>
      <c r="BC47" s="11" t="s">
        <v>827</v>
      </c>
      <c r="BD47" s="2" t="s">
        <v>1013</v>
      </c>
      <c r="BE47" s="2" t="s">
        <v>994</v>
      </c>
      <c r="BF47" s="2" t="s">
        <v>1034</v>
      </c>
      <c r="BG47" s="2" t="s">
        <v>978</v>
      </c>
      <c r="BH47" s="12" t="s">
        <v>992</v>
      </c>
      <c r="BI47" s="11" t="s">
        <v>1012</v>
      </c>
      <c r="BJ47" s="2" t="s">
        <v>993</v>
      </c>
      <c r="BK47" s="2" t="s">
        <v>997</v>
      </c>
      <c r="BL47" s="2" t="s">
        <v>990</v>
      </c>
      <c r="BM47" s="2" t="s">
        <v>1006</v>
      </c>
      <c r="BN47" s="12" t="s">
        <v>92</v>
      </c>
      <c r="BO47" s="118" t="s">
        <v>1879</v>
      </c>
      <c r="BP47" s="32" t="s">
        <v>1985</v>
      </c>
      <c r="BQ47" s="32" t="s">
        <v>1992</v>
      </c>
      <c r="BR47" s="32" t="s">
        <v>1986</v>
      </c>
      <c r="BS47" s="32" t="s">
        <v>2000</v>
      </c>
      <c r="BT47" s="12" t="s">
        <v>1869</v>
      </c>
      <c r="BU47" s="32" t="s">
        <v>1994</v>
      </c>
      <c r="BV47" s="32" t="s">
        <v>2002</v>
      </c>
      <c r="BW47" s="32" t="s">
        <v>1996</v>
      </c>
      <c r="BX47" s="32" t="s">
        <v>1990</v>
      </c>
      <c r="BY47" s="32" t="s">
        <v>1869</v>
      </c>
      <c r="BZ47" s="139" t="s">
        <v>2094</v>
      </c>
    </row>
    <row r="48" spans="1:78">
      <c r="A48" s="32"/>
      <c r="B48" s="32"/>
      <c r="C48" s="32"/>
      <c r="D48" s="124" t="s">
        <v>1883</v>
      </c>
      <c r="E48" s="8"/>
      <c r="F48" s="26" t="s">
        <v>1306</v>
      </c>
      <c r="G48" s="11" t="s">
        <v>7</v>
      </c>
      <c r="H48" s="32" t="s">
        <v>7</v>
      </c>
      <c r="I48" s="32" t="s">
        <v>7</v>
      </c>
      <c r="J48" s="32" t="s">
        <v>219</v>
      </c>
      <c r="K48" s="32" t="s">
        <v>1310</v>
      </c>
      <c r="L48" s="12" t="s">
        <v>1311</v>
      </c>
      <c r="M48" s="11" t="s">
        <v>1312</v>
      </c>
      <c r="N48" s="32" t="s">
        <v>1313</v>
      </c>
      <c r="O48" s="32" t="s">
        <v>1314</v>
      </c>
      <c r="P48" s="32" t="s">
        <v>1314</v>
      </c>
      <c r="Q48" s="32" t="s">
        <v>1315</v>
      </c>
      <c r="R48" s="12" t="s">
        <v>20</v>
      </c>
      <c r="S48" s="11" t="s">
        <v>1316</v>
      </c>
      <c r="T48" s="32" t="s">
        <v>1317</v>
      </c>
      <c r="U48" s="32" t="s">
        <v>1318</v>
      </c>
      <c r="V48" s="32" t="s">
        <v>1319</v>
      </c>
      <c r="W48" s="32" t="s">
        <v>1312</v>
      </c>
      <c r="X48" s="12" t="s">
        <v>1320</v>
      </c>
      <c r="Y48" s="11" t="s">
        <v>1321</v>
      </c>
      <c r="Z48" s="32" t="s">
        <v>1322</v>
      </c>
      <c r="AA48" s="32" t="s">
        <v>1323</v>
      </c>
      <c r="AB48" s="32" t="s">
        <v>1319</v>
      </c>
      <c r="AC48" s="32" t="s">
        <v>1324</v>
      </c>
      <c r="AD48" s="12" t="s">
        <v>1325</v>
      </c>
      <c r="AE48" s="11" t="s">
        <v>1326</v>
      </c>
      <c r="AF48" s="32" t="s">
        <v>1327</v>
      </c>
      <c r="AG48" s="32" t="s">
        <v>1328</v>
      </c>
      <c r="AH48" s="32" t="s">
        <v>1329</v>
      </c>
      <c r="AI48" s="32" t="s">
        <v>1312</v>
      </c>
      <c r="AJ48" s="12" t="s">
        <v>1325</v>
      </c>
      <c r="AK48" s="11" t="s">
        <v>1330</v>
      </c>
      <c r="AL48" s="32" t="s">
        <v>1331</v>
      </c>
      <c r="AM48" s="32" t="s">
        <v>1332</v>
      </c>
      <c r="AN48" s="32" t="s">
        <v>1333</v>
      </c>
      <c r="AO48" s="32" t="s">
        <v>1334</v>
      </c>
      <c r="AP48" s="12" t="s">
        <v>1325</v>
      </c>
      <c r="AQ48" s="32" t="s">
        <v>128</v>
      </c>
      <c r="AR48" s="32" t="s">
        <v>381</v>
      </c>
      <c r="AS48" s="32" t="s">
        <v>79</v>
      </c>
      <c r="AT48" s="32" t="s">
        <v>69</v>
      </c>
      <c r="AU48" s="32" t="s">
        <v>62</v>
      </c>
      <c r="AV48" s="12" t="s">
        <v>92</v>
      </c>
      <c r="AW48" s="11" t="s">
        <v>145</v>
      </c>
      <c r="AX48" s="32" t="s">
        <v>124</v>
      </c>
      <c r="AY48" s="32" t="s">
        <v>79</v>
      </c>
      <c r="AZ48" s="32" t="s">
        <v>87</v>
      </c>
      <c r="BA48" s="32" t="s">
        <v>22</v>
      </c>
      <c r="BB48" s="12" t="s">
        <v>92</v>
      </c>
      <c r="BC48" s="11" t="s">
        <v>148</v>
      </c>
      <c r="BD48" s="32" t="s">
        <v>123</v>
      </c>
      <c r="BE48" s="32" t="s">
        <v>129</v>
      </c>
      <c r="BF48" s="32" t="s">
        <v>93</v>
      </c>
      <c r="BG48" s="32" t="s">
        <v>69</v>
      </c>
      <c r="BH48" s="12" t="s">
        <v>992</v>
      </c>
      <c r="BI48" s="11" t="s">
        <v>145</v>
      </c>
      <c r="BJ48" s="32" t="s">
        <v>144</v>
      </c>
      <c r="BK48" s="32" t="s">
        <v>125</v>
      </c>
      <c r="BL48" s="32" t="s">
        <v>111</v>
      </c>
      <c r="BM48" s="32" t="s">
        <v>89</v>
      </c>
      <c r="BN48" s="12" t="s">
        <v>92</v>
      </c>
      <c r="BO48" s="118" t="s">
        <v>1863</v>
      </c>
      <c r="BP48" s="116" t="s">
        <v>1871</v>
      </c>
      <c r="BQ48" s="32" t="s">
        <v>2005</v>
      </c>
      <c r="BR48" s="32" t="s">
        <v>2006</v>
      </c>
      <c r="BS48" s="32" t="s">
        <v>2004</v>
      </c>
      <c r="BT48" s="12" t="s">
        <v>1869</v>
      </c>
      <c r="BU48" s="11" t="s">
        <v>1889</v>
      </c>
      <c r="BV48" s="32" t="s">
        <v>2177</v>
      </c>
      <c r="BW48" s="32" t="s">
        <v>1988</v>
      </c>
      <c r="BX48" s="32" t="s">
        <v>2007</v>
      </c>
      <c r="BY48" s="32" t="s">
        <v>1869</v>
      </c>
      <c r="BZ48" s="139" t="s">
        <v>2094</v>
      </c>
    </row>
    <row r="49" spans="1:78">
      <c r="A49" s="32"/>
      <c r="B49" s="32"/>
      <c r="C49" s="32"/>
      <c r="D49" s="124" t="s">
        <v>1884</v>
      </c>
      <c r="E49" s="8"/>
      <c r="F49" s="26" t="s">
        <v>1346</v>
      </c>
      <c r="G49" s="11" t="s">
        <v>7</v>
      </c>
      <c r="H49" s="32" t="s">
        <v>7</v>
      </c>
      <c r="I49" s="104" t="s">
        <v>11</v>
      </c>
      <c r="J49" s="104" t="s">
        <v>11</v>
      </c>
      <c r="K49" s="104" t="s">
        <v>8</v>
      </c>
      <c r="L49" s="12" t="s">
        <v>15</v>
      </c>
      <c r="M49" s="106" t="s">
        <v>1777</v>
      </c>
      <c r="N49" s="104" t="s">
        <v>1778</v>
      </c>
      <c r="O49" s="104" t="s">
        <v>1776</v>
      </c>
      <c r="P49" s="104" t="s">
        <v>1776</v>
      </c>
      <c r="Q49" s="104" t="s">
        <v>1779</v>
      </c>
      <c r="R49" s="12" t="s">
        <v>20</v>
      </c>
      <c r="S49" s="106" t="s">
        <v>1780</v>
      </c>
      <c r="T49" s="104" t="s">
        <v>1783</v>
      </c>
      <c r="U49" s="104" t="s">
        <v>1782</v>
      </c>
      <c r="V49" s="104" t="s">
        <v>1781</v>
      </c>
      <c r="W49" s="104" t="s">
        <v>1784</v>
      </c>
      <c r="X49" s="105" t="s">
        <v>1785</v>
      </c>
      <c r="Y49" s="106" t="s">
        <v>1786</v>
      </c>
      <c r="Z49" s="104" t="s">
        <v>1787</v>
      </c>
      <c r="AA49" s="104" t="s">
        <v>1788</v>
      </c>
      <c r="AB49" s="104" t="s">
        <v>1777</v>
      </c>
      <c r="AC49" s="104" t="s">
        <v>1776</v>
      </c>
      <c r="AD49" s="105" t="s">
        <v>1789</v>
      </c>
      <c r="AE49" s="106" t="s">
        <v>1790</v>
      </c>
      <c r="AF49" s="104" t="s">
        <v>1787</v>
      </c>
      <c r="AG49" s="104" t="s">
        <v>1791</v>
      </c>
      <c r="AH49" s="104" t="s">
        <v>1782</v>
      </c>
      <c r="AI49" s="32" t="s">
        <v>30</v>
      </c>
      <c r="AJ49" s="105" t="s">
        <v>1792</v>
      </c>
      <c r="AK49" s="106" t="s">
        <v>1793</v>
      </c>
      <c r="AL49" s="104" t="s">
        <v>1794</v>
      </c>
      <c r="AM49" s="104" t="s">
        <v>1780</v>
      </c>
      <c r="AN49" s="104" t="s">
        <v>1786</v>
      </c>
      <c r="AO49" s="104" t="s">
        <v>1781</v>
      </c>
      <c r="AP49" s="105" t="s">
        <v>1785</v>
      </c>
      <c r="AQ49" s="32" t="s">
        <v>1352</v>
      </c>
      <c r="AR49" s="32" t="s">
        <v>1353</v>
      </c>
      <c r="AS49" s="32" t="s">
        <v>1354</v>
      </c>
      <c r="AT49" s="32" t="s">
        <v>1355</v>
      </c>
      <c r="AU49" s="32" t="s">
        <v>1356</v>
      </c>
      <c r="AV49" s="12" t="s">
        <v>92</v>
      </c>
      <c r="AW49" s="11" t="s">
        <v>1357</v>
      </c>
      <c r="AX49" s="32" t="s">
        <v>1361</v>
      </c>
      <c r="AY49" s="32" t="s">
        <v>1359</v>
      </c>
      <c r="AZ49" s="32" t="s">
        <v>1360</v>
      </c>
      <c r="BA49" s="32" t="s">
        <v>1358</v>
      </c>
      <c r="BB49" s="12" t="s">
        <v>92</v>
      </c>
      <c r="BC49" s="11" t="s">
        <v>1362</v>
      </c>
      <c r="BD49" s="32" t="s">
        <v>1363</v>
      </c>
      <c r="BE49" s="32" t="s">
        <v>1354</v>
      </c>
      <c r="BF49" s="32" t="s">
        <v>1364</v>
      </c>
      <c r="BG49" s="32" t="s">
        <v>1365</v>
      </c>
      <c r="BH49" s="12" t="s">
        <v>92</v>
      </c>
      <c r="BI49" s="11" t="s">
        <v>147</v>
      </c>
      <c r="BJ49" s="32" t="s">
        <v>146</v>
      </c>
      <c r="BK49" s="32" t="s">
        <v>138</v>
      </c>
      <c r="BL49" s="32" t="s">
        <v>127</v>
      </c>
      <c r="BM49" s="32" t="s">
        <v>87</v>
      </c>
      <c r="BN49" s="12" t="s">
        <v>92</v>
      </c>
      <c r="BO49" s="118" t="s">
        <v>1882</v>
      </c>
      <c r="BP49" s="32" t="s">
        <v>1880</v>
      </c>
      <c r="BQ49" s="32" t="s">
        <v>2003</v>
      </c>
      <c r="BR49" s="32" t="s">
        <v>2008</v>
      </c>
      <c r="BS49" s="32" t="s">
        <v>2007</v>
      </c>
      <c r="BT49" s="12" t="s">
        <v>1869</v>
      </c>
      <c r="BU49" s="11" t="s">
        <v>2009</v>
      </c>
      <c r="BV49" s="32" t="s">
        <v>2010</v>
      </c>
      <c r="BW49" s="32" t="s">
        <v>2005</v>
      </c>
      <c r="BX49" s="32" t="s">
        <v>1997</v>
      </c>
      <c r="BY49" s="32" t="s">
        <v>1869</v>
      </c>
      <c r="BZ49" s="139" t="s">
        <v>2094</v>
      </c>
    </row>
    <row r="50" spans="1:78">
      <c r="A50" s="32"/>
      <c r="B50" s="32"/>
      <c r="C50" s="32"/>
      <c r="D50" s="124" t="s">
        <v>1894</v>
      </c>
      <c r="E50" s="8"/>
      <c r="F50" s="115" t="s">
        <v>1824</v>
      </c>
      <c r="G50" s="11" t="s">
        <v>7</v>
      </c>
      <c r="H50" s="32" t="s">
        <v>7</v>
      </c>
      <c r="I50" s="116" t="s">
        <v>19</v>
      </c>
      <c r="J50" s="116" t="s">
        <v>19</v>
      </c>
      <c r="K50" s="116" t="s">
        <v>219</v>
      </c>
      <c r="L50" s="117" t="s">
        <v>16</v>
      </c>
      <c r="M50" s="118" t="s">
        <v>45</v>
      </c>
      <c r="N50" s="116" t="s">
        <v>50</v>
      </c>
      <c r="O50" s="116" t="s">
        <v>22</v>
      </c>
      <c r="P50" s="116" t="s">
        <v>22</v>
      </c>
      <c r="Q50" s="116" t="s">
        <v>21</v>
      </c>
      <c r="R50" s="12" t="s">
        <v>20</v>
      </c>
      <c r="S50" s="118" t="s">
        <v>1825</v>
      </c>
      <c r="T50" s="116" t="s">
        <v>1826</v>
      </c>
      <c r="U50" s="116" t="s">
        <v>1827</v>
      </c>
      <c r="V50" s="116" t="s">
        <v>1828</v>
      </c>
      <c r="W50" s="116" t="s">
        <v>1829</v>
      </c>
      <c r="X50" s="117" t="s">
        <v>1830</v>
      </c>
      <c r="Y50" s="118" t="s">
        <v>1831</v>
      </c>
      <c r="Z50" s="116" t="s">
        <v>1832</v>
      </c>
      <c r="AA50" s="116" t="s">
        <v>1833</v>
      </c>
      <c r="AB50" s="116" t="s">
        <v>1834</v>
      </c>
      <c r="AC50" s="116" t="s">
        <v>1835</v>
      </c>
      <c r="AD50" s="117" t="s">
        <v>1836</v>
      </c>
      <c r="AE50" s="118" t="s">
        <v>1837</v>
      </c>
      <c r="AF50" s="116" t="s">
        <v>1838</v>
      </c>
      <c r="AG50" s="116" t="s">
        <v>1839</v>
      </c>
      <c r="AH50" s="116" t="s">
        <v>1840</v>
      </c>
      <c r="AI50" s="32" t="s">
        <v>30</v>
      </c>
      <c r="AJ50" s="117" t="s">
        <v>1836</v>
      </c>
      <c r="AK50" s="118" t="s">
        <v>1841</v>
      </c>
      <c r="AL50" s="116" t="s">
        <v>1842</v>
      </c>
      <c r="AM50" s="116" t="s">
        <v>1843</v>
      </c>
      <c r="AN50" s="116" t="s">
        <v>1833</v>
      </c>
      <c r="AO50" s="116" t="s">
        <v>1844</v>
      </c>
      <c r="AP50" s="117" t="s">
        <v>1836</v>
      </c>
      <c r="AQ50" s="116" t="s">
        <v>1845</v>
      </c>
      <c r="AR50" s="116" t="s">
        <v>1846</v>
      </c>
      <c r="AS50" s="116" t="s">
        <v>1847</v>
      </c>
      <c r="AT50" s="116" t="s">
        <v>1848</v>
      </c>
      <c r="AU50" s="116" t="s">
        <v>1827</v>
      </c>
      <c r="AV50" s="117" t="s">
        <v>1836</v>
      </c>
      <c r="AW50" s="118" t="s">
        <v>1850</v>
      </c>
      <c r="AX50" s="116" t="s">
        <v>1851</v>
      </c>
      <c r="AY50" s="116" t="s">
        <v>1831</v>
      </c>
      <c r="AZ50" s="116" t="s">
        <v>1852</v>
      </c>
      <c r="BA50" s="116" t="s">
        <v>1833</v>
      </c>
      <c r="BB50" s="117" t="s">
        <v>1849</v>
      </c>
      <c r="BC50" s="11" t="s">
        <v>148</v>
      </c>
      <c r="BD50" s="116" t="s">
        <v>1853</v>
      </c>
      <c r="BE50" s="116" t="s">
        <v>1854</v>
      </c>
      <c r="BF50" s="116" t="s">
        <v>1842</v>
      </c>
      <c r="BG50" s="116" t="s">
        <v>1855</v>
      </c>
      <c r="BH50" s="12" t="s">
        <v>92</v>
      </c>
      <c r="BI50" s="118" t="s">
        <v>1856</v>
      </c>
      <c r="BJ50" s="116" t="s">
        <v>1857</v>
      </c>
      <c r="BK50" s="116" t="s">
        <v>1846</v>
      </c>
      <c r="BL50" s="116" t="s">
        <v>1837</v>
      </c>
      <c r="BM50" s="116" t="s">
        <v>1833</v>
      </c>
      <c r="BN50" s="12" t="s">
        <v>92</v>
      </c>
      <c r="BO50" s="118" t="s">
        <v>1863</v>
      </c>
      <c r="BP50" s="116" t="s">
        <v>1871</v>
      </c>
      <c r="BQ50" s="116" t="s">
        <v>1998</v>
      </c>
      <c r="BR50" s="116" t="s">
        <v>2005</v>
      </c>
      <c r="BS50" s="116" t="s">
        <v>2011</v>
      </c>
      <c r="BT50" s="12" t="s">
        <v>1869</v>
      </c>
      <c r="BU50" s="11" t="s">
        <v>1889</v>
      </c>
      <c r="BV50" s="116" t="s">
        <v>2006</v>
      </c>
      <c r="BW50" s="116" t="s">
        <v>2010</v>
      </c>
      <c r="BX50" s="116" t="s">
        <v>1999</v>
      </c>
      <c r="BY50" s="32" t="s">
        <v>1869</v>
      </c>
      <c r="BZ50" s="139" t="s">
        <v>2094</v>
      </c>
    </row>
    <row r="51" spans="1:78">
      <c r="B51" s="32"/>
      <c r="C51" s="32"/>
      <c r="D51" s="124" t="s">
        <v>2177</v>
      </c>
      <c r="E51" s="8"/>
      <c r="F51" s="115" t="s">
        <v>2013</v>
      </c>
      <c r="G51" s="11" t="s">
        <v>7</v>
      </c>
      <c r="H51" s="32" t="s">
        <v>7</v>
      </c>
      <c r="I51" s="104" t="s">
        <v>11</v>
      </c>
      <c r="J51" s="104" t="s">
        <v>11</v>
      </c>
      <c r="K51" s="116" t="s">
        <v>2028</v>
      </c>
      <c r="L51" s="117" t="s">
        <v>2029</v>
      </c>
      <c r="M51" s="118" t="s">
        <v>2030</v>
      </c>
      <c r="N51" s="116" t="s">
        <v>2031</v>
      </c>
      <c r="O51" s="104" t="s">
        <v>23</v>
      </c>
      <c r="P51" s="104" t="s">
        <v>23</v>
      </c>
      <c r="Q51" s="32" t="s">
        <v>25</v>
      </c>
      <c r="R51" s="12" t="s">
        <v>20</v>
      </c>
      <c r="S51" s="118" t="s">
        <v>2032</v>
      </c>
      <c r="T51" s="116" t="s">
        <v>2033</v>
      </c>
      <c r="U51" s="116" t="s">
        <v>2034</v>
      </c>
      <c r="V51" s="116" t="s">
        <v>2035</v>
      </c>
      <c r="W51" s="116" t="s">
        <v>2036</v>
      </c>
      <c r="X51" s="117" t="s">
        <v>2037</v>
      </c>
      <c r="Y51" s="118" t="s">
        <v>2038</v>
      </c>
      <c r="Z51" s="116" t="s">
        <v>2039</v>
      </c>
      <c r="AA51" s="116" t="s">
        <v>69</v>
      </c>
      <c r="AB51" s="116" t="s">
        <v>2040</v>
      </c>
      <c r="AC51" s="116" t="s">
        <v>2041</v>
      </c>
      <c r="AD51" s="117" t="s">
        <v>2042</v>
      </c>
      <c r="AE51" s="118" t="s">
        <v>2043</v>
      </c>
      <c r="AF51" s="116" t="s">
        <v>2044</v>
      </c>
      <c r="AG51" s="116" t="s">
        <v>2045</v>
      </c>
      <c r="AH51" s="116" t="s">
        <v>2046</v>
      </c>
      <c r="AI51" s="32" t="s">
        <v>2036</v>
      </c>
      <c r="AJ51" s="117" t="s">
        <v>2042</v>
      </c>
      <c r="AK51" s="118" t="s">
        <v>2047</v>
      </c>
      <c r="AL51" s="116" t="s">
        <v>2048</v>
      </c>
      <c r="AM51" s="116" t="s">
        <v>2049</v>
      </c>
      <c r="AN51" s="116" t="s">
        <v>2050</v>
      </c>
      <c r="AO51" s="116" t="s">
        <v>2051</v>
      </c>
      <c r="AP51" s="117" t="s">
        <v>2052</v>
      </c>
      <c r="AQ51" s="116" t="s">
        <v>2053</v>
      </c>
      <c r="AR51" s="116" t="s">
        <v>2054</v>
      </c>
      <c r="AS51" s="116" t="s">
        <v>2055</v>
      </c>
      <c r="AT51" s="116" t="s">
        <v>2056</v>
      </c>
      <c r="AU51" s="116" t="s">
        <v>2030</v>
      </c>
      <c r="AV51" s="117" t="s">
        <v>2052</v>
      </c>
      <c r="AW51" s="118" t="s">
        <v>2057</v>
      </c>
      <c r="AX51" s="116" t="s">
        <v>2058</v>
      </c>
      <c r="AY51" s="116" t="s">
        <v>2059</v>
      </c>
      <c r="AZ51" s="116" t="s">
        <v>2060</v>
      </c>
      <c r="BA51" s="116" t="s">
        <v>2033</v>
      </c>
      <c r="BB51" s="117" t="s">
        <v>2061</v>
      </c>
      <c r="BC51" s="11" t="s">
        <v>2062</v>
      </c>
      <c r="BD51" s="116" t="s">
        <v>2053</v>
      </c>
      <c r="BE51" s="116" t="s">
        <v>2045</v>
      </c>
      <c r="BF51" s="116" t="s">
        <v>2056</v>
      </c>
      <c r="BG51" s="116" t="s">
        <v>2063</v>
      </c>
      <c r="BH51" s="12" t="s">
        <v>92</v>
      </c>
      <c r="BI51" s="118" t="s">
        <v>2064</v>
      </c>
      <c r="BJ51" s="116" t="s">
        <v>2065</v>
      </c>
      <c r="BK51" s="116" t="s">
        <v>2066</v>
      </c>
      <c r="BL51" s="116" t="s">
        <v>2067</v>
      </c>
      <c r="BM51" s="116" t="s">
        <v>2068</v>
      </c>
      <c r="BN51" s="12" t="s">
        <v>92</v>
      </c>
      <c r="BO51" s="118" t="s">
        <v>2069</v>
      </c>
      <c r="BP51" s="116" t="s">
        <v>2070</v>
      </c>
      <c r="BQ51" s="116" t="s">
        <v>2071</v>
      </c>
      <c r="BR51" s="116" t="s">
        <v>2072</v>
      </c>
      <c r="BS51" s="116" t="s">
        <v>2058</v>
      </c>
      <c r="BT51" s="12" t="s">
        <v>1869</v>
      </c>
      <c r="BU51" s="11" t="s">
        <v>2073</v>
      </c>
      <c r="BV51" s="116" t="s">
        <v>2074</v>
      </c>
      <c r="BW51" s="116" t="s">
        <v>2075</v>
      </c>
      <c r="BX51" s="116" t="s">
        <v>2076</v>
      </c>
      <c r="BY51" s="32" t="s">
        <v>1869</v>
      </c>
      <c r="BZ51" s="139" t="s">
        <v>2094</v>
      </c>
    </row>
    <row r="52" spans="1:78">
      <c r="A52" s="32"/>
      <c r="B52" s="32"/>
      <c r="C52" s="32"/>
      <c r="D52" s="124" t="s">
        <v>1938</v>
      </c>
      <c r="E52" s="8"/>
      <c r="F52" s="26" t="s">
        <v>2130</v>
      </c>
      <c r="G52" s="11" t="s">
        <v>7</v>
      </c>
      <c r="H52" s="32" t="s">
        <v>7</v>
      </c>
      <c r="I52" s="104" t="s">
        <v>11</v>
      </c>
      <c r="J52" s="104" t="s">
        <v>11</v>
      </c>
      <c r="K52" s="188" t="s">
        <v>219</v>
      </c>
      <c r="L52" s="117" t="s">
        <v>16</v>
      </c>
      <c r="M52" s="187" t="s">
        <v>45</v>
      </c>
      <c r="N52" s="188" t="s">
        <v>33</v>
      </c>
      <c r="O52" s="188" t="s">
        <v>22</v>
      </c>
      <c r="P52" s="188" t="s">
        <v>22</v>
      </c>
      <c r="Q52" s="32" t="s">
        <v>11</v>
      </c>
      <c r="R52" s="12" t="s">
        <v>20</v>
      </c>
      <c r="S52" s="187" t="s">
        <v>72</v>
      </c>
      <c r="T52" s="32" t="s">
        <v>49</v>
      </c>
      <c r="U52" s="188" t="s">
        <v>62</v>
      </c>
      <c r="V52" s="188" t="s">
        <v>16</v>
      </c>
      <c r="W52" s="188" t="s">
        <v>22</v>
      </c>
      <c r="X52" s="117" t="s">
        <v>20</v>
      </c>
      <c r="Y52" s="187" t="s">
        <v>2131</v>
      </c>
      <c r="Z52" s="188" t="s">
        <v>2132</v>
      </c>
      <c r="AA52" s="188" t="s">
        <v>2133</v>
      </c>
      <c r="AB52" s="188" t="s">
        <v>2134</v>
      </c>
      <c r="AC52" s="188" t="s">
        <v>2135</v>
      </c>
      <c r="AD52" s="117" t="s">
        <v>2136</v>
      </c>
      <c r="AE52" s="187" t="s">
        <v>2137</v>
      </c>
      <c r="AF52" s="188" t="s">
        <v>2138</v>
      </c>
      <c r="AG52" s="188" t="s">
        <v>2139</v>
      </c>
      <c r="AH52" s="188" t="s">
        <v>2140</v>
      </c>
      <c r="AI52" s="188" t="s">
        <v>2141</v>
      </c>
      <c r="AJ52" s="117" t="s">
        <v>2136</v>
      </c>
      <c r="AK52" s="187" t="s">
        <v>2142</v>
      </c>
      <c r="AL52" s="188" t="s">
        <v>2143</v>
      </c>
      <c r="AM52" s="188" t="s">
        <v>2131</v>
      </c>
      <c r="AN52" s="188" t="s">
        <v>2144</v>
      </c>
      <c r="AO52" s="188" t="s">
        <v>2133</v>
      </c>
      <c r="AP52" s="117" t="s">
        <v>2136</v>
      </c>
      <c r="AQ52" s="188" t="s">
        <v>2145</v>
      </c>
      <c r="AR52" s="188" t="s">
        <v>2146</v>
      </c>
      <c r="AS52" s="188" t="s">
        <v>2147</v>
      </c>
      <c r="AT52" s="188" t="s">
        <v>2137</v>
      </c>
      <c r="AU52" s="188" t="s">
        <v>2148</v>
      </c>
      <c r="AV52" s="117" t="s">
        <v>2136</v>
      </c>
      <c r="AW52" s="187" t="s">
        <v>134</v>
      </c>
      <c r="AX52" s="188" t="s">
        <v>2149</v>
      </c>
      <c r="AY52" s="188" t="s">
        <v>124</v>
      </c>
      <c r="AZ52" s="188" t="s">
        <v>2143</v>
      </c>
      <c r="BA52" s="188" t="s">
        <v>2150</v>
      </c>
      <c r="BB52" s="117" t="s">
        <v>2151</v>
      </c>
      <c r="BC52" s="187" t="s">
        <v>2153</v>
      </c>
      <c r="BD52" s="188" t="s">
        <v>2152</v>
      </c>
      <c r="BE52" s="188" t="s">
        <v>2154</v>
      </c>
      <c r="BF52" s="188" t="s">
        <v>2139</v>
      </c>
      <c r="BG52" s="188" t="s">
        <v>2141</v>
      </c>
      <c r="BH52" s="12" t="s">
        <v>92</v>
      </c>
      <c r="BI52" s="187" t="s">
        <v>2149</v>
      </c>
      <c r="BJ52" s="188" t="s">
        <v>2155</v>
      </c>
      <c r="BK52" s="188" t="s">
        <v>2146</v>
      </c>
      <c r="BL52" s="188" t="s">
        <v>2156</v>
      </c>
      <c r="BM52" s="188" t="s">
        <v>2150</v>
      </c>
      <c r="BN52" s="12" t="s">
        <v>92</v>
      </c>
      <c r="BO52" s="187" t="s">
        <v>2157</v>
      </c>
      <c r="BP52" s="188" t="s">
        <v>2158</v>
      </c>
      <c r="BQ52" s="188" t="s">
        <v>2159</v>
      </c>
      <c r="BR52" s="188" t="s">
        <v>2160</v>
      </c>
      <c r="BS52" s="188" t="s">
        <v>2161</v>
      </c>
      <c r="BT52" s="12" t="s">
        <v>1869</v>
      </c>
      <c r="BU52" s="187" t="s">
        <v>2162</v>
      </c>
      <c r="BV52" s="188" t="s">
        <v>2163</v>
      </c>
      <c r="BW52" s="188" t="s">
        <v>2164</v>
      </c>
      <c r="BX52" s="188" t="s">
        <v>2145</v>
      </c>
      <c r="BY52" s="32" t="s">
        <v>1869</v>
      </c>
      <c r="BZ52" s="139" t="s">
        <v>2094</v>
      </c>
    </row>
    <row r="53" spans="1:78">
      <c r="B53" s="32"/>
      <c r="C53" s="32"/>
      <c r="D53" s="124" t="s">
        <v>1959</v>
      </c>
      <c r="E53" s="8"/>
      <c r="F53" s="12"/>
    </row>
    <row r="54" spans="1:78">
      <c r="B54" s="32"/>
      <c r="C54" s="32"/>
      <c r="D54" s="124" t="s">
        <v>1964</v>
      </c>
      <c r="E54" s="8"/>
      <c r="F54" s="12"/>
    </row>
    <row r="55" spans="1:78">
      <c r="B55" s="32"/>
      <c r="C55" s="32"/>
      <c r="D55" s="124" t="s">
        <v>1929</v>
      </c>
      <c r="E55" s="8"/>
      <c r="F55" s="12"/>
    </row>
    <row r="56" spans="1:78">
      <c r="B56" s="32"/>
      <c r="C56" s="32"/>
      <c r="D56" s="32"/>
      <c r="E56" s="8"/>
      <c r="F56" s="12"/>
    </row>
    <row r="57" spans="1:78">
      <c r="B57" s="32"/>
      <c r="C57" s="32"/>
      <c r="D57" s="32"/>
      <c r="E57" s="8"/>
      <c r="F57" s="12"/>
    </row>
    <row r="58" spans="1:78">
      <c r="B58" s="32"/>
      <c r="C58" s="32"/>
      <c r="D58" s="32"/>
      <c r="E58" s="8"/>
      <c r="F58" s="12"/>
    </row>
    <row r="59" spans="1:78">
      <c r="B59" s="32"/>
      <c r="C59" s="32"/>
      <c r="D59" s="32"/>
      <c r="E59" s="8"/>
      <c r="F59" s="12"/>
    </row>
    <row r="60" spans="1:78">
      <c r="B60" s="32"/>
      <c r="C60" s="32"/>
      <c r="D60" s="32"/>
      <c r="E60" s="8"/>
      <c r="F60" s="12"/>
    </row>
    <row r="61" spans="1:78">
      <c r="B61" s="32"/>
      <c r="C61" s="32"/>
      <c r="D61" s="32"/>
      <c r="E61" s="8"/>
      <c r="F61" s="12"/>
    </row>
    <row r="62" spans="1:78">
      <c r="B62" s="32"/>
      <c r="C62" s="32"/>
      <c r="D62" s="32"/>
      <c r="E62" s="8"/>
      <c r="F62" s="12"/>
    </row>
    <row r="63" spans="1:78">
      <c r="B63" s="32"/>
      <c r="C63" s="32"/>
      <c r="D63" s="32"/>
      <c r="E63" s="8"/>
      <c r="F63" s="12"/>
    </row>
    <row r="64" spans="1:78">
      <c r="B64" s="32"/>
      <c r="C64" s="32"/>
      <c r="D64" s="32"/>
      <c r="E64" s="8"/>
      <c r="F64" s="12"/>
    </row>
    <row r="65" spans="2:6">
      <c r="B65" s="32"/>
      <c r="C65" s="32"/>
      <c r="D65" s="32"/>
      <c r="E65" s="8"/>
      <c r="F65" s="12"/>
    </row>
    <row r="66" spans="2:6">
      <c r="B66" s="32"/>
      <c r="C66" s="32"/>
      <c r="D66" s="32"/>
      <c r="E66" s="8"/>
      <c r="F66" s="12"/>
    </row>
    <row r="67" spans="2:6">
      <c r="B67" s="32"/>
      <c r="C67" s="32"/>
      <c r="D67" s="32"/>
      <c r="E67" s="8"/>
      <c r="F67" s="12"/>
    </row>
    <row r="68" spans="2:6">
      <c r="B68" s="32"/>
      <c r="C68" s="32"/>
      <c r="D68" s="32"/>
      <c r="E68" s="8"/>
      <c r="F68" s="12"/>
    </row>
    <row r="69" spans="2:6">
      <c r="B69" s="32"/>
      <c r="C69" s="32"/>
      <c r="D69" s="32"/>
      <c r="E69" s="8"/>
      <c r="F69" s="12"/>
    </row>
    <row r="70" spans="2:6">
      <c r="B70" s="32"/>
      <c r="C70" s="32"/>
      <c r="D70" s="32"/>
      <c r="E70" s="8"/>
      <c r="F70" s="12"/>
    </row>
    <row r="71" spans="2:6">
      <c r="B71" s="32"/>
      <c r="C71" s="32"/>
      <c r="D71" s="32"/>
      <c r="E71" s="8"/>
      <c r="F71" s="12"/>
    </row>
    <row r="72" spans="2:6">
      <c r="B72" s="32"/>
      <c r="C72" s="32"/>
      <c r="D72" s="32"/>
      <c r="E72" s="8"/>
      <c r="F72" s="12"/>
    </row>
    <row r="73" spans="2:6">
      <c r="B73" s="32"/>
      <c r="C73" s="32"/>
      <c r="D73" s="32"/>
      <c r="E73" s="8"/>
      <c r="F73" s="12"/>
    </row>
    <row r="74" spans="2:6">
      <c r="B74" s="32"/>
      <c r="C74" s="32"/>
      <c r="D74" s="32"/>
      <c r="E74" s="8"/>
      <c r="F74" s="12"/>
    </row>
    <row r="75" spans="2:6">
      <c r="B75" s="32"/>
      <c r="C75" s="32"/>
      <c r="D75" s="32"/>
      <c r="E75" s="8"/>
      <c r="F75" s="12"/>
    </row>
    <row r="76" spans="2:6">
      <c r="B76" s="32"/>
      <c r="C76" s="32"/>
      <c r="D76" s="32"/>
      <c r="E76" s="8"/>
      <c r="F76" s="12"/>
    </row>
    <row r="77" spans="2:6">
      <c r="B77" s="32"/>
      <c r="C77" s="32"/>
      <c r="D77" s="32"/>
      <c r="E77" s="8"/>
      <c r="F77" s="12"/>
    </row>
    <row r="78" spans="2:6">
      <c r="B78" s="32"/>
      <c r="C78" s="32"/>
      <c r="D78" s="32"/>
      <c r="E78" s="8"/>
      <c r="F78" s="12"/>
    </row>
    <row r="79" spans="2:6">
      <c r="B79" s="32"/>
      <c r="C79" s="32"/>
      <c r="D79" s="32"/>
      <c r="E79" s="8"/>
      <c r="F79" s="12"/>
    </row>
    <row r="80" spans="2:6">
      <c r="B80" s="32"/>
      <c r="C80" s="32"/>
      <c r="D80" s="32"/>
      <c r="E80" s="8"/>
      <c r="F80" s="12"/>
    </row>
    <row r="81" spans="2:6">
      <c r="B81" s="32"/>
      <c r="C81" s="32"/>
      <c r="D81" s="32"/>
      <c r="E81" s="8"/>
      <c r="F81" s="12"/>
    </row>
    <row r="82" spans="2:6">
      <c r="B82" s="32"/>
      <c r="C82" s="32"/>
      <c r="D82" s="32"/>
      <c r="E82" s="8"/>
      <c r="F82" s="12"/>
    </row>
    <row r="83" spans="2:6">
      <c r="B83" s="32"/>
      <c r="C83" s="32"/>
      <c r="D83" s="32"/>
      <c r="E83" s="8"/>
      <c r="F83" s="12"/>
    </row>
    <row r="84" spans="2:6">
      <c r="B84" s="32"/>
      <c r="C84" s="32"/>
      <c r="D84" s="32"/>
      <c r="E84" s="8"/>
      <c r="F84" s="12"/>
    </row>
    <row r="85" spans="2:6">
      <c r="B85" s="32"/>
      <c r="C85" s="32"/>
      <c r="D85" s="32"/>
      <c r="E85" s="8"/>
      <c r="F85" s="12"/>
    </row>
    <row r="86" spans="2:6">
      <c r="B86" s="32"/>
      <c r="C86" s="32"/>
      <c r="D86" s="32"/>
      <c r="E86" s="8"/>
      <c r="F86" s="12"/>
    </row>
    <row r="87" spans="2:6">
      <c r="B87" s="32"/>
      <c r="C87" s="32"/>
      <c r="D87" s="32"/>
      <c r="E87" s="8"/>
      <c r="F87" s="12"/>
    </row>
    <row r="88" spans="2:6">
      <c r="B88" s="32"/>
      <c r="C88" s="32"/>
      <c r="D88" s="32"/>
      <c r="E88" s="8"/>
      <c r="F88" s="12"/>
    </row>
    <row r="89" spans="2:6">
      <c r="B89" s="32"/>
      <c r="C89" s="32"/>
      <c r="D89" s="32"/>
      <c r="E89" s="8"/>
      <c r="F89" s="12"/>
    </row>
    <row r="90" spans="2:6">
      <c r="B90" s="32"/>
      <c r="C90" s="32"/>
      <c r="D90" s="32"/>
      <c r="E90" s="8"/>
      <c r="F90" s="12"/>
    </row>
    <row r="91" spans="2:6">
      <c r="B91" s="32"/>
      <c r="C91" s="32"/>
      <c r="D91" s="32"/>
      <c r="E91" s="8"/>
      <c r="F91" s="12"/>
    </row>
    <row r="92" spans="2:6">
      <c r="B92" s="32"/>
      <c r="C92" s="32"/>
      <c r="D92" s="32"/>
      <c r="E92" s="8"/>
      <c r="F92" s="12"/>
    </row>
    <row r="93" spans="2:6">
      <c r="B93" s="32"/>
      <c r="C93" s="32"/>
      <c r="D93" s="32"/>
      <c r="E93" s="8"/>
      <c r="F93" s="12"/>
    </row>
    <row r="94" spans="2:6">
      <c r="B94" s="32"/>
      <c r="C94" s="32"/>
      <c r="D94" s="32"/>
      <c r="E94" s="8"/>
      <c r="F94" s="12"/>
    </row>
    <row r="95" spans="2:6">
      <c r="B95" s="32"/>
      <c r="C95" s="32"/>
      <c r="D95" s="32"/>
      <c r="E95" s="8"/>
      <c r="F95" s="12"/>
    </row>
    <row r="96" spans="2:6">
      <c r="B96" s="32"/>
      <c r="C96" s="32"/>
      <c r="D96" s="32"/>
      <c r="E96" s="8"/>
      <c r="F96" s="12"/>
    </row>
    <row r="97" spans="2:6">
      <c r="B97" s="32"/>
      <c r="C97" s="32"/>
      <c r="D97" s="32"/>
      <c r="E97" s="8"/>
      <c r="F97" s="12"/>
    </row>
    <row r="98" spans="2:6">
      <c r="B98" s="32"/>
      <c r="C98" s="32"/>
      <c r="D98" s="32"/>
      <c r="E98" s="8"/>
      <c r="F98" s="12"/>
    </row>
    <row r="99" spans="2:6">
      <c r="B99" s="32"/>
      <c r="C99" s="32"/>
      <c r="D99" s="32"/>
      <c r="E99" s="8"/>
      <c r="F99" s="12"/>
    </row>
    <row r="100" spans="2:6">
      <c r="B100" s="32"/>
      <c r="C100" s="32"/>
      <c r="D100" s="32"/>
      <c r="E100" s="8"/>
      <c r="F100" s="12"/>
    </row>
    <row r="101" spans="2:6">
      <c r="B101" s="32"/>
      <c r="C101" s="32"/>
      <c r="D101" s="32"/>
      <c r="E101" s="8"/>
      <c r="F101" s="12"/>
    </row>
    <row r="102" spans="2:6">
      <c r="B102" s="32"/>
      <c r="C102" s="32"/>
      <c r="D102" s="32"/>
      <c r="E102" s="8"/>
      <c r="F102" s="12"/>
    </row>
    <row r="103" spans="2:6">
      <c r="B103" s="32"/>
      <c r="C103" s="32"/>
      <c r="D103" s="32"/>
      <c r="E103" s="8"/>
      <c r="F103" s="12"/>
    </row>
    <row r="104" spans="2:6">
      <c r="B104" s="32"/>
      <c r="C104" s="32"/>
      <c r="D104" s="32"/>
      <c r="E104" s="8"/>
      <c r="F104" s="12"/>
    </row>
    <row r="105" spans="2:6">
      <c r="B105" s="32"/>
      <c r="C105" s="32"/>
      <c r="D105" s="32"/>
      <c r="E105" s="8"/>
      <c r="F105" s="12"/>
    </row>
    <row r="106" spans="2:6">
      <c r="B106" s="32"/>
      <c r="C106" s="32"/>
      <c r="D106" s="32"/>
      <c r="E106" s="8"/>
      <c r="F106" s="12"/>
    </row>
    <row r="107" spans="2:6">
      <c r="B107" s="32"/>
      <c r="C107" s="32"/>
      <c r="D107" s="32"/>
      <c r="E107" s="8"/>
      <c r="F107" s="12"/>
    </row>
    <row r="108" spans="2:6">
      <c r="B108" s="32"/>
      <c r="C108" s="32"/>
      <c r="D108" s="32"/>
      <c r="E108" s="8"/>
      <c r="F108" s="12"/>
    </row>
    <row r="109" spans="2:6">
      <c r="B109" s="32"/>
      <c r="C109" s="32"/>
      <c r="D109" s="32"/>
      <c r="E109" s="8"/>
      <c r="F109" s="12"/>
    </row>
    <row r="110" spans="2:6">
      <c r="B110" s="32"/>
      <c r="C110" s="32"/>
      <c r="D110" s="32"/>
      <c r="E110" s="8"/>
      <c r="F110" s="12"/>
    </row>
    <row r="111" spans="2:6">
      <c r="B111" s="32"/>
      <c r="C111" s="32"/>
      <c r="D111" s="32"/>
      <c r="E111" s="8"/>
      <c r="F111" s="12"/>
    </row>
    <row r="112" spans="2:6">
      <c r="B112" s="32"/>
      <c r="C112" s="32"/>
      <c r="D112" s="32"/>
      <c r="E112" s="8"/>
      <c r="F112" s="12"/>
    </row>
    <row r="113" spans="2:6">
      <c r="B113" s="32"/>
      <c r="C113" s="32"/>
      <c r="D113" s="32"/>
      <c r="E113" s="8"/>
      <c r="F113" s="12"/>
    </row>
    <row r="114" spans="2:6">
      <c r="B114" s="32"/>
      <c r="C114" s="32"/>
      <c r="D114" s="32"/>
      <c r="E114" s="8"/>
      <c r="F114" s="12"/>
    </row>
    <row r="115" spans="2:6">
      <c r="B115" s="32"/>
      <c r="C115" s="32"/>
      <c r="D115" s="32"/>
      <c r="E115" s="8"/>
      <c r="F115" s="12"/>
    </row>
    <row r="116" spans="2:6">
      <c r="B116" s="32"/>
      <c r="C116" s="32"/>
      <c r="D116" s="32"/>
      <c r="E116" s="8"/>
      <c r="F116" s="12"/>
    </row>
    <row r="117" spans="2:6">
      <c r="B117" s="32"/>
      <c r="C117" s="32"/>
      <c r="D117" s="32"/>
      <c r="E117" s="8"/>
      <c r="F117" s="12"/>
    </row>
    <row r="118" spans="2:6">
      <c r="B118" s="32"/>
      <c r="C118" s="32"/>
      <c r="D118" s="32"/>
      <c r="E118" s="8"/>
      <c r="F118" s="12"/>
    </row>
    <row r="119" spans="2:6">
      <c r="B119" s="32"/>
      <c r="C119" s="32"/>
      <c r="D119" s="32"/>
      <c r="E119" s="8"/>
      <c r="F119" s="12"/>
    </row>
    <row r="120" spans="2:6">
      <c r="B120" s="32"/>
      <c r="C120" s="32"/>
      <c r="D120" s="32"/>
      <c r="E120" s="8"/>
      <c r="F120" s="12"/>
    </row>
    <row r="121" spans="2:6">
      <c r="B121" s="32"/>
      <c r="C121" s="32"/>
      <c r="D121" s="32"/>
      <c r="E121" s="8"/>
      <c r="F121" s="12"/>
    </row>
    <row r="122" spans="2:6">
      <c r="B122" s="32"/>
      <c r="C122" s="32"/>
      <c r="D122" s="32"/>
      <c r="E122" s="8"/>
      <c r="F122" s="12"/>
    </row>
    <row r="123" spans="2:6">
      <c r="B123" s="32"/>
      <c r="C123" s="32"/>
      <c r="D123" s="32"/>
      <c r="E123" s="8"/>
      <c r="F123" s="12"/>
    </row>
    <row r="124" spans="2:6">
      <c r="B124" s="32"/>
      <c r="C124" s="32"/>
      <c r="D124" s="32"/>
      <c r="E124" s="8"/>
      <c r="F124" s="12"/>
    </row>
    <row r="125" spans="2:6">
      <c r="B125" s="32"/>
      <c r="C125" s="32"/>
      <c r="D125" s="32"/>
      <c r="E125" s="8"/>
      <c r="F125" s="12"/>
    </row>
    <row r="126" spans="2:6">
      <c r="B126" s="32"/>
      <c r="C126" s="32"/>
      <c r="D126" s="32"/>
      <c r="E126" s="8"/>
      <c r="F126" s="12"/>
    </row>
    <row r="127" spans="2:6">
      <c r="B127" s="32"/>
      <c r="C127" s="32"/>
      <c r="D127" s="32"/>
      <c r="E127" s="8"/>
      <c r="F127" s="12"/>
    </row>
    <row r="128" spans="2:6">
      <c r="B128" s="32"/>
      <c r="C128" s="32"/>
      <c r="D128" s="32"/>
      <c r="E128" s="8"/>
      <c r="F128" s="12"/>
    </row>
    <row r="129" spans="1:6">
      <c r="B129" s="32"/>
      <c r="C129" s="32"/>
      <c r="D129" s="32"/>
      <c r="E129" s="8"/>
      <c r="F129" s="12"/>
    </row>
    <row r="130" spans="1:6">
      <c r="A130" s="8"/>
      <c r="B130" s="32"/>
      <c r="C130" s="32"/>
      <c r="D130" s="32"/>
      <c r="E130" s="8"/>
      <c r="F130" s="12"/>
    </row>
    <row r="131" spans="1:6">
      <c r="A131" s="8"/>
      <c r="B131" s="32"/>
      <c r="C131" s="32"/>
      <c r="D131" s="32"/>
      <c r="E131" s="8"/>
      <c r="F131" s="12"/>
    </row>
    <row r="132" spans="1:6">
      <c r="A132" s="8"/>
      <c r="B132" s="32"/>
      <c r="C132" s="32"/>
      <c r="D132" s="32"/>
      <c r="E132" s="8"/>
      <c r="F132" s="12"/>
    </row>
    <row r="133" spans="1:6">
      <c r="A133" s="8"/>
      <c r="B133" s="32"/>
      <c r="C133" s="32"/>
      <c r="D133" s="32"/>
      <c r="E133" s="8"/>
      <c r="F133" s="12"/>
    </row>
    <row r="134" spans="1:6">
      <c r="A134" s="8"/>
      <c r="B134" s="32"/>
      <c r="C134" s="32"/>
      <c r="D134" s="32"/>
      <c r="E134" s="8"/>
      <c r="F134" s="12"/>
    </row>
    <row r="135" spans="1:6">
      <c r="A135" s="8"/>
      <c r="B135" s="32"/>
      <c r="C135" s="32"/>
      <c r="D135" s="32"/>
      <c r="E135" s="8"/>
      <c r="F135" s="12"/>
    </row>
    <row r="136" spans="1:6">
      <c r="A136" s="8"/>
      <c r="B136" s="32"/>
      <c r="C136" s="32"/>
      <c r="D136" s="32"/>
      <c r="E136" s="8"/>
      <c r="F136" s="12"/>
    </row>
    <row r="137" spans="1:6">
      <c r="A137" s="8"/>
      <c r="B137" s="32"/>
      <c r="C137" s="32"/>
      <c r="D137" s="32"/>
      <c r="E137" s="8"/>
      <c r="F137" s="12"/>
    </row>
    <row r="138" spans="1:6">
      <c r="A138" s="8"/>
      <c r="B138" s="32"/>
      <c r="C138" s="32"/>
      <c r="D138" s="32"/>
      <c r="E138" s="8"/>
      <c r="F138" s="12"/>
    </row>
    <row r="139" spans="1:6">
      <c r="A139" s="8"/>
      <c r="B139" s="32"/>
      <c r="C139" s="32"/>
      <c r="D139" s="32"/>
      <c r="E139" s="8"/>
      <c r="F139" s="12"/>
    </row>
    <row r="140" spans="1:6">
      <c r="A140" s="8"/>
      <c r="B140" s="32"/>
      <c r="C140" s="32"/>
      <c r="D140" s="32"/>
      <c r="E140" s="8"/>
      <c r="F140" s="12"/>
    </row>
    <row r="141" spans="1:6">
      <c r="A141" s="8"/>
      <c r="B141" s="32"/>
      <c r="C141" s="32"/>
      <c r="D141" s="32"/>
      <c r="E141" s="8"/>
      <c r="F141" s="12"/>
    </row>
    <row r="142" spans="1:6">
      <c r="A142" s="8"/>
      <c r="B142" s="32"/>
      <c r="C142" s="32"/>
      <c r="D142" s="32"/>
      <c r="E142" s="8"/>
      <c r="F142" s="12"/>
    </row>
    <row r="143" spans="1:6">
      <c r="A143" s="8"/>
      <c r="B143" s="32"/>
      <c r="C143" s="32"/>
      <c r="D143" s="32"/>
      <c r="E143" s="8"/>
      <c r="F143" s="12"/>
    </row>
    <row r="144" spans="1:6">
      <c r="A144" s="8"/>
      <c r="B144" s="32"/>
      <c r="C144" s="32"/>
      <c r="D144" s="32"/>
      <c r="E144" s="8"/>
      <c r="F144" s="12"/>
    </row>
    <row r="145" spans="1:6">
      <c r="A145" s="8"/>
      <c r="B145" s="32"/>
      <c r="C145" s="32"/>
      <c r="D145" s="32"/>
      <c r="E145" s="8"/>
      <c r="F145" s="12"/>
    </row>
    <row r="146" spans="1:6">
      <c r="A146" s="8"/>
      <c r="B146" s="32"/>
      <c r="C146" s="32"/>
      <c r="D146" s="32"/>
      <c r="E146" s="8"/>
      <c r="F146" s="12"/>
    </row>
    <row r="147" spans="1:6">
      <c r="A147" s="8"/>
      <c r="B147" s="32"/>
      <c r="C147" s="8"/>
      <c r="D147" s="32"/>
      <c r="E147" s="8"/>
      <c r="F147" s="12"/>
    </row>
    <row r="148" spans="1:6">
      <c r="A148" s="8"/>
      <c r="B148" s="32"/>
      <c r="C148" s="8"/>
      <c r="D148" s="32"/>
      <c r="E148" s="8"/>
      <c r="F148" s="12"/>
    </row>
    <row r="149" spans="1:6">
      <c r="A149" s="8"/>
      <c r="B149" s="32"/>
      <c r="C149" s="8"/>
      <c r="D149" s="32"/>
      <c r="E149" s="8"/>
      <c r="F149" s="12"/>
    </row>
    <row r="150" spans="1:6">
      <c r="A150" s="8"/>
      <c r="B150" s="32"/>
      <c r="C150" s="8"/>
      <c r="D150" s="32"/>
      <c r="E150" s="32"/>
      <c r="F150" s="12"/>
    </row>
    <row r="151" spans="1:6">
      <c r="A151" s="8"/>
      <c r="B151" s="32"/>
      <c r="C151" s="8"/>
      <c r="D151" s="32"/>
      <c r="E151" s="32"/>
      <c r="F151" s="12"/>
    </row>
    <row r="152" spans="1:6">
      <c r="A152" s="8"/>
      <c r="B152" s="32"/>
      <c r="C152" s="8"/>
      <c r="D152" s="32"/>
      <c r="E152" s="32"/>
      <c r="F152" s="12"/>
    </row>
    <row r="153" spans="1:6">
      <c r="A153" s="8"/>
      <c r="B153" s="32"/>
      <c r="C153" s="8"/>
      <c r="D153" s="32"/>
      <c r="E153" s="32"/>
      <c r="F153" s="12"/>
    </row>
    <row r="154" spans="1:6">
      <c r="A154" s="8"/>
      <c r="B154" s="32"/>
      <c r="C154" s="8"/>
      <c r="D154" s="32"/>
      <c r="E154" s="32"/>
      <c r="F154" s="12"/>
    </row>
    <row r="155" spans="1:6">
      <c r="A155" s="8"/>
      <c r="B155" s="32"/>
      <c r="C155" s="8"/>
      <c r="D155" s="32"/>
      <c r="E155" s="32"/>
      <c r="F155" s="12"/>
    </row>
    <row r="156" spans="1:6">
      <c r="A156" s="8"/>
      <c r="B156" s="32"/>
      <c r="C156" s="8"/>
      <c r="D156" s="32"/>
      <c r="E156" s="32"/>
      <c r="F156" s="12"/>
    </row>
    <row r="157" spans="1:6">
      <c r="A157" s="8"/>
      <c r="B157" s="32"/>
      <c r="C157" s="8"/>
      <c r="D157" s="32"/>
      <c r="E157" s="32"/>
      <c r="F157" s="12"/>
    </row>
    <row r="158" spans="1:6">
      <c r="A158" s="8"/>
      <c r="B158" s="32"/>
      <c r="C158" s="8"/>
      <c r="D158" s="32"/>
      <c r="E158" s="32"/>
    </row>
    <row r="159" spans="1:6">
      <c r="A159" s="8"/>
      <c r="B159" s="32"/>
      <c r="C159" s="8"/>
      <c r="D159" s="8"/>
      <c r="E159" s="32"/>
    </row>
    <row r="160" spans="1:6">
      <c r="A160" s="8"/>
      <c r="B160" s="32"/>
      <c r="C160" s="8"/>
      <c r="D160" s="8"/>
      <c r="E160" s="32"/>
    </row>
    <row r="161" spans="1:5">
      <c r="A161" s="8"/>
      <c r="B161" s="32"/>
      <c r="C161" s="8"/>
      <c r="D161" s="8"/>
      <c r="E161" s="32"/>
    </row>
    <row r="162" spans="1:5">
      <c r="A162" s="8"/>
      <c r="B162" s="32"/>
      <c r="C162" s="8"/>
      <c r="D162" s="8"/>
      <c r="E162" s="32"/>
    </row>
    <row r="163" spans="1:5">
      <c r="A163" s="8"/>
      <c r="B163" s="32"/>
      <c r="C163" s="8"/>
      <c r="D163" s="8"/>
      <c r="E163" s="32"/>
    </row>
    <row r="164" spans="1:5">
      <c r="A164" s="8"/>
      <c r="B164" s="8"/>
      <c r="C164" s="8"/>
      <c r="D164" s="8"/>
      <c r="E164" s="8"/>
    </row>
    <row r="165" spans="1:5">
      <c r="A165" s="8"/>
      <c r="B165" s="8"/>
      <c r="C165" s="8"/>
      <c r="D165" s="8"/>
      <c r="E165" s="8"/>
    </row>
    <row r="166" spans="1:5">
      <c r="A166" s="8"/>
      <c r="B166" s="8"/>
      <c r="C166" s="8"/>
      <c r="D166" s="8"/>
      <c r="E166" s="8"/>
    </row>
    <row r="167" spans="1:5">
      <c r="A167" s="8"/>
      <c r="B167" s="8"/>
      <c r="C167" s="8"/>
      <c r="D167" s="8"/>
      <c r="E167" s="8"/>
    </row>
    <row r="168" spans="1:5">
      <c r="A168" s="8"/>
      <c r="B168" s="8"/>
      <c r="C168" s="8"/>
      <c r="D168" s="8"/>
      <c r="E168" s="8"/>
    </row>
    <row r="169" spans="1:5">
      <c r="A169" s="8"/>
      <c r="B169" s="8"/>
      <c r="C169" s="8"/>
      <c r="D169" s="8"/>
      <c r="E169" s="8"/>
    </row>
    <row r="170" spans="1:5">
      <c r="A170" s="8"/>
      <c r="B170" s="8"/>
      <c r="C170" s="8"/>
      <c r="D170" s="8"/>
      <c r="E170" s="8"/>
    </row>
    <row r="171" spans="1:5">
      <c r="A171" s="8"/>
      <c r="B171" s="8"/>
      <c r="C171" s="8"/>
      <c r="E171" s="8"/>
    </row>
  </sheetData>
  <sheetProtection password="8926" sheet="1" objects="1" scenarios="1" selectLockedCells="1" selectUnlockedCells="1"/>
  <mergeCells count="13">
    <mergeCell ref="BU1:BZ1"/>
    <mergeCell ref="BO1:BT1"/>
    <mergeCell ref="A1:E1"/>
    <mergeCell ref="AK1:AP1"/>
    <mergeCell ref="AQ1:AV1"/>
    <mergeCell ref="AW1:BB1"/>
    <mergeCell ref="BC1:BH1"/>
    <mergeCell ref="BI1:BN1"/>
    <mergeCell ref="G1:L1"/>
    <mergeCell ref="M1:R1"/>
    <mergeCell ref="S1:X1"/>
    <mergeCell ref="Y1:AD1"/>
    <mergeCell ref="AE1:AJ1"/>
  </mergeCells>
  <phoneticPr fontId="1" type="noConversion"/>
  <conditionalFormatting sqref="G2:BZ52">
    <cfRule type="expression" dxfId="24" priority="31" stopIfTrue="1">
      <formula>AND(G2&lt;&gt;"",COUNTIF($A:$A,G2)&gt;0)</formula>
    </cfRule>
    <cfRule type="expression" dxfId="23" priority="60" stopIfTrue="1">
      <formula>AND(G2&lt;&gt;"",COUNTIF($B:$B,G2)&gt;0)</formula>
    </cfRule>
    <cfRule type="expression" dxfId="22" priority="61" stopIfTrue="1">
      <formula>AND(G2&lt;&gt;"",COUNTIF($C:$C,G2)&gt;0)</formula>
    </cfRule>
    <cfRule type="expression" dxfId="21" priority="62" stopIfTrue="1">
      <formula>AND(G2&lt;&gt;"",COUNTIF($D:$D,G2)&gt;0)</formula>
    </cfRule>
    <cfRule type="expression" dxfId="20" priority="63" stopIfTrue="1">
      <formula>AND(G2&lt;&gt;"",COUNTIF($E:$E,G2)&gt;0)</formula>
    </cfRule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AK52"/>
  <sheetViews>
    <sheetView workbookViewId="0">
      <pane xSplit="1" ySplit="1" topLeftCell="B32" activePane="bottomRight" state="frozen"/>
      <selection activeCell="S56" sqref="S56"/>
      <selection pane="topRight" activeCell="S56" sqref="S56"/>
      <selection pane="bottomLeft" activeCell="S56" sqref="S56"/>
      <selection pane="bottomRight" activeCell="S56" sqref="S56"/>
    </sheetView>
  </sheetViews>
  <sheetFormatPr defaultRowHeight="13.5" outlineLevelCol="1"/>
  <cols>
    <col min="1" max="1" width="9" style="1" hidden="1" customWidth="1" outlineLevel="1"/>
    <col min="2" max="2" width="9" style="29" hidden="1" customWidth="1" outlineLevel="1"/>
    <col min="3" max="11" width="9" style="1" hidden="1" customWidth="1" outlineLevel="1"/>
    <col min="12" max="15" width="10.25" style="1" hidden="1" customWidth="1" outlineLevel="1"/>
    <col min="16" max="19" width="79.875" style="29" hidden="1" customWidth="1" outlineLevel="1"/>
    <col min="20" max="23" width="11.625" style="1" hidden="1" customWidth="1" outlineLevel="1"/>
    <col min="24" max="31" width="11.625" style="29" hidden="1" customWidth="1" outlineLevel="1"/>
    <col min="32" max="32" width="9" style="1" collapsed="1"/>
    <col min="33" max="36" width="9" style="91"/>
    <col min="37" max="37" width="9" style="87"/>
    <col min="38" max="16384" width="9" style="1"/>
  </cols>
  <sheetData>
    <row r="1" spans="1:31">
      <c r="A1" s="3" t="s">
        <v>208</v>
      </c>
      <c r="B1" s="78" t="s">
        <v>1257</v>
      </c>
      <c r="C1" s="3" t="s">
        <v>3</v>
      </c>
      <c r="D1" s="3" t="s">
        <v>4</v>
      </c>
      <c r="E1" s="3" t="s">
        <v>5</v>
      </c>
      <c r="F1" s="3" t="s">
        <v>103</v>
      </c>
      <c r="G1" s="3" t="s">
        <v>14</v>
      </c>
      <c r="H1" s="3" t="s">
        <v>47</v>
      </c>
      <c r="I1" s="3" t="s">
        <v>35</v>
      </c>
      <c r="J1" s="3" t="s">
        <v>38</v>
      </c>
      <c r="K1" s="3" t="s">
        <v>34</v>
      </c>
      <c r="L1" s="78" t="s">
        <v>1263</v>
      </c>
      <c r="M1" s="78" t="s">
        <v>1264</v>
      </c>
      <c r="N1" s="78" t="s">
        <v>1265</v>
      </c>
      <c r="O1" s="78" t="s">
        <v>1266</v>
      </c>
      <c r="P1" s="78" t="s">
        <v>1263</v>
      </c>
      <c r="Q1" s="78" t="s">
        <v>1264</v>
      </c>
      <c r="R1" s="78" t="s">
        <v>1265</v>
      </c>
      <c r="S1" s="78" t="s">
        <v>1266</v>
      </c>
      <c r="T1" s="86" t="s">
        <v>1666</v>
      </c>
      <c r="U1" s="86" t="s">
        <v>1667</v>
      </c>
      <c r="V1" s="86" t="s">
        <v>1668</v>
      </c>
      <c r="W1" s="86" t="s">
        <v>1669</v>
      </c>
      <c r="X1" s="86" t="s">
        <v>1670</v>
      </c>
      <c r="Y1" s="86" t="s">
        <v>1671</v>
      </c>
      <c r="Z1" s="86" t="s">
        <v>1672</v>
      </c>
      <c r="AA1" s="86" t="s">
        <v>1677</v>
      </c>
      <c r="AB1" s="86" t="s">
        <v>1674</v>
      </c>
      <c r="AC1" s="86" t="s">
        <v>1671</v>
      </c>
      <c r="AD1" s="86" t="s">
        <v>1672</v>
      </c>
      <c r="AE1" s="86" t="s">
        <v>1673</v>
      </c>
    </row>
    <row r="2" spans="1:31">
      <c r="A2" s="19" t="s">
        <v>157</v>
      </c>
      <c r="B2" s="78" t="s">
        <v>1258</v>
      </c>
      <c r="C2" s="10">
        <v>22</v>
      </c>
      <c r="D2" s="10">
        <v>15</v>
      </c>
      <c r="E2" s="10">
        <v>16</v>
      </c>
      <c r="F2" s="10">
        <v>568</v>
      </c>
      <c r="G2" s="10">
        <v>50</v>
      </c>
      <c r="H2" s="10">
        <v>38</v>
      </c>
      <c r="I2" s="10">
        <v>4</v>
      </c>
      <c r="J2" s="10">
        <v>2</v>
      </c>
      <c r="K2" s="10">
        <v>6</v>
      </c>
      <c r="L2" s="78" t="s">
        <v>157</v>
      </c>
      <c r="M2" s="78" t="s">
        <v>1367</v>
      </c>
      <c r="N2" s="78" t="s">
        <v>1369</v>
      </c>
      <c r="O2" s="78" t="s">
        <v>1371</v>
      </c>
      <c r="P2" s="86" t="s">
        <v>1366</v>
      </c>
      <c r="Q2" s="78" t="s">
        <v>1368</v>
      </c>
      <c r="R2" s="78" t="s">
        <v>1370</v>
      </c>
      <c r="S2" s="78" t="s">
        <v>1693</v>
      </c>
      <c r="T2" s="89"/>
      <c r="U2" s="89"/>
      <c r="V2" s="89"/>
      <c r="W2" s="89" t="s">
        <v>1675</v>
      </c>
      <c r="X2" s="90"/>
      <c r="Y2" s="90"/>
      <c r="Z2" s="90"/>
      <c r="AA2" s="90">
        <v>80</v>
      </c>
      <c r="AB2" s="90"/>
      <c r="AC2" s="90"/>
      <c r="AD2" s="90"/>
      <c r="AE2" s="90">
        <v>2</v>
      </c>
    </row>
    <row r="3" spans="1:31">
      <c r="A3" s="19" t="s">
        <v>158</v>
      </c>
      <c r="B3" s="78" t="s">
        <v>1258</v>
      </c>
      <c r="C3" s="10">
        <v>24</v>
      </c>
      <c r="D3" s="10">
        <v>14</v>
      </c>
      <c r="E3" s="10">
        <v>18</v>
      </c>
      <c r="F3" s="10">
        <v>611</v>
      </c>
      <c r="G3" s="10">
        <v>52</v>
      </c>
      <c r="H3" s="10">
        <v>44</v>
      </c>
      <c r="I3" s="10">
        <v>3</v>
      </c>
      <c r="J3" s="10">
        <v>2</v>
      </c>
      <c r="K3" s="10">
        <v>6</v>
      </c>
      <c r="L3" s="86" t="s">
        <v>1267</v>
      </c>
      <c r="M3" s="86" t="s">
        <v>1268</v>
      </c>
      <c r="N3" s="86" t="s">
        <v>1269</v>
      </c>
      <c r="O3" s="86" t="s">
        <v>1270</v>
      </c>
      <c r="P3" s="86" t="s">
        <v>1349</v>
      </c>
      <c r="Q3" s="86" t="s">
        <v>1350</v>
      </c>
      <c r="R3" s="86" t="s">
        <v>1351</v>
      </c>
      <c r="S3" s="86" t="s">
        <v>1694</v>
      </c>
      <c r="T3" s="90"/>
      <c r="U3" s="90"/>
      <c r="V3" s="90"/>
      <c r="W3" s="90" t="s">
        <v>1676</v>
      </c>
      <c r="X3" s="90"/>
      <c r="Y3" s="90"/>
      <c r="Z3" s="90"/>
      <c r="AA3" s="90">
        <v>120</v>
      </c>
      <c r="AB3" s="90"/>
      <c r="AC3" s="90"/>
      <c r="AD3" s="90"/>
      <c r="AE3" s="90">
        <v>3</v>
      </c>
    </row>
    <row r="4" spans="1:31">
      <c r="A4" s="19" t="s">
        <v>159</v>
      </c>
      <c r="B4" s="78" t="s">
        <v>1258</v>
      </c>
      <c r="C4" s="10">
        <v>22</v>
      </c>
      <c r="D4" s="10">
        <v>17</v>
      </c>
      <c r="E4" s="10">
        <v>16</v>
      </c>
      <c r="F4" s="10">
        <v>574</v>
      </c>
      <c r="G4" s="10">
        <v>57</v>
      </c>
      <c r="H4" s="10">
        <v>38</v>
      </c>
      <c r="I4" s="10">
        <v>6</v>
      </c>
      <c r="J4" s="10">
        <v>2</v>
      </c>
      <c r="K4" s="10">
        <v>7</v>
      </c>
      <c r="L4" s="78" t="s">
        <v>1372</v>
      </c>
      <c r="M4" s="78" t="s">
        <v>1374</v>
      </c>
      <c r="N4" s="78" t="s">
        <v>1376</v>
      </c>
      <c r="O4" s="78" t="s">
        <v>1270</v>
      </c>
      <c r="P4" s="78" t="s">
        <v>1373</v>
      </c>
      <c r="Q4" s="78" t="s">
        <v>1375</v>
      </c>
      <c r="R4" s="78" t="s">
        <v>1377</v>
      </c>
      <c r="S4" s="78" t="s">
        <v>1695</v>
      </c>
      <c r="T4" s="90"/>
      <c r="U4" s="90"/>
      <c r="V4" s="90"/>
      <c r="W4" s="90" t="s">
        <v>1676</v>
      </c>
      <c r="X4" s="90"/>
      <c r="Y4" s="90"/>
      <c r="Z4" s="90"/>
      <c r="AA4" s="90">
        <v>80</v>
      </c>
      <c r="AB4" s="90"/>
      <c r="AC4" s="90"/>
      <c r="AD4" s="90"/>
      <c r="AE4" s="90">
        <v>2</v>
      </c>
    </row>
    <row r="5" spans="1:31">
      <c r="A5" s="19" t="s">
        <v>160</v>
      </c>
      <c r="B5" s="78" t="s">
        <v>1258</v>
      </c>
      <c r="C5" s="10">
        <v>29</v>
      </c>
      <c r="D5" s="10">
        <v>22</v>
      </c>
      <c r="E5" s="10">
        <v>19</v>
      </c>
      <c r="F5" s="10">
        <v>695</v>
      </c>
      <c r="G5" s="10">
        <v>56</v>
      </c>
      <c r="H5" s="10">
        <v>46</v>
      </c>
      <c r="I5" s="10">
        <v>4</v>
      </c>
      <c r="J5" s="10">
        <v>2</v>
      </c>
      <c r="K5" s="10">
        <v>9</v>
      </c>
      <c r="L5" s="78" t="s">
        <v>1378</v>
      </c>
      <c r="M5" s="78" t="s">
        <v>1380</v>
      </c>
      <c r="N5" s="78" t="s">
        <v>1382</v>
      </c>
      <c r="O5" s="78" t="s">
        <v>1384</v>
      </c>
      <c r="P5" s="78" t="s">
        <v>1379</v>
      </c>
      <c r="Q5" s="78" t="s">
        <v>1381</v>
      </c>
      <c r="R5" s="78" t="s">
        <v>1383</v>
      </c>
      <c r="S5" s="78" t="s">
        <v>1715</v>
      </c>
      <c r="T5" s="90"/>
      <c r="U5" s="90"/>
      <c r="V5" s="90"/>
      <c r="W5" s="90" t="s">
        <v>1714</v>
      </c>
      <c r="X5" s="90"/>
      <c r="Y5" s="90"/>
      <c r="Z5" s="90"/>
      <c r="AA5" s="90">
        <v>80</v>
      </c>
      <c r="AB5" s="90"/>
      <c r="AC5" s="90"/>
      <c r="AD5" s="90"/>
      <c r="AE5" s="90">
        <v>2</v>
      </c>
    </row>
    <row r="6" spans="1:31">
      <c r="A6" s="19" t="s">
        <v>161</v>
      </c>
      <c r="B6" s="78" t="s">
        <v>1258</v>
      </c>
      <c r="C6" s="10">
        <v>23</v>
      </c>
      <c r="D6" s="10">
        <v>19</v>
      </c>
      <c r="E6" s="10">
        <v>14</v>
      </c>
      <c r="F6" s="10">
        <v>594</v>
      </c>
      <c r="G6" s="10">
        <v>57</v>
      </c>
      <c r="H6" s="10">
        <v>33</v>
      </c>
      <c r="I6" s="10">
        <v>5</v>
      </c>
      <c r="J6" s="10">
        <v>1</v>
      </c>
      <c r="K6" s="10">
        <v>8</v>
      </c>
      <c r="L6" s="78" t="s">
        <v>1385</v>
      </c>
      <c r="M6" s="78" t="s">
        <v>1387</v>
      </c>
      <c r="N6" s="78" t="s">
        <v>1389</v>
      </c>
      <c r="O6" s="78" t="s">
        <v>1390</v>
      </c>
      <c r="P6" s="78" t="s">
        <v>1386</v>
      </c>
      <c r="Q6" s="78" t="s">
        <v>1388</v>
      </c>
      <c r="R6" s="86" t="s">
        <v>1688</v>
      </c>
      <c r="S6" s="78" t="s">
        <v>1391</v>
      </c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</row>
    <row r="7" spans="1:31">
      <c r="A7" s="19" t="s">
        <v>162</v>
      </c>
      <c r="B7" s="78" t="s">
        <v>1258</v>
      </c>
      <c r="C7" s="10">
        <v>20</v>
      </c>
      <c r="D7" s="10">
        <v>15</v>
      </c>
      <c r="E7" s="10">
        <v>17</v>
      </c>
      <c r="F7" s="10">
        <v>531</v>
      </c>
      <c r="G7" s="10">
        <v>56</v>
      </c>
      <c r="H7" s="10">
        <v>41</v>
      </c>
      <c r="I7" s="10">
        <v>5</v>
      </c>
      <c r="J7" s="10">
        <v>2</v>
      </c>
      <c r="K7" s="10">
        <v>6</v>
      </c>
      <c r="L7" s="78" t="s">
        <v>1392</v>
      </c>
      <c r="M7" s="78" t="s">
        <v>1394</v>
      </c>
      <c r="N7" s="78" t="s">
        <v>1396</v>
      </c>
      <c r="O7" s="78" t="s">
        <v>1398</v>
      </c>
      <c r="P7" s="78" t="s">
        <v>1393</v>
      </c>
      <c r="Q7" s="78" t="s">
        <v>1395</v>
      </c>
      <c r="R7" s="78" t="s">
        <v>1397</v>
      </c>
      <c r="S7" s="86" t="s">
        <v>1685</v>
      </c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</row>
    <row r="8" spans="1:31">
      <c r="A8" s="19" t="s">
        <v>1260</v>
      </c>
      <c r="B8" s="78" t="s">
        <v>1259</v>
      </c>
      <c r="C8" s="10">
        <v>25</v>
      </c>
      <c r="D8" s="10">
        <v>16</v>
      </c>
      <c r="E8" s="10">
        <v>20</v>
      </c>
      <c r="F8" s="10">
        <v>617</v>
      </c>
      <c r="G8" s="10">
        <v>51</v>
      </c>
      <c r="H8" s="10">
        <v>47</v>
      </c>
      <c r="I8" s="10">
        <v>4</v>
      </c>
      <c r="J8" s="10">
        <v>2</v>
      </c>
      <c r="K8" s="10">
        <v>7</v>
      </c>
      <c r="L8" s="78" t="s">
        <v>1399</v>
      </c>
      <c r="M8" s="78" t="s">
        <v>1401</v>
      </c>
      <c r="N8" s="78" t="s">
        <v>1403</v>
      </c>
      <c r="O8" s="78" t="s">
        <v>1405</v>
      </c>
      <c r="P8" s="78" t="s">
        <v>1400</v>
      </c>
      <c r="Q8" s="78" t="s">
        <v>1402</v>
      </c>
      <c r="R8" s="78" t="s">
        <v>1404</v>
      </c>
      <c r="S8" s="78" t="s">
        <v>1719</v>
      </c>
      <c r="T8" s="90"/>
      <c r="U8" s="90"/>
      <c r="V8" s="90"/>
      <c r="W8" s="90" t="s">
        <v>1720</v>
      </c>
      <c r="X8" s="90"/>
      <c r="Y8" s="90"/>
      <c r="Z8" s="90"/>
      <c r="AA8" s="90">
        <v>120</v>
      </c>
      <c r="AB8" s="90"/>
      <c r="AC8" s="90"/>
      <c r="AD8" s="90"/>
      <c r="AE8" s="90">
        <v>3</v>
      </c>
    </row>
    <row r="9" spans="1:31">
      <c r="A9" s="19" t="s">
        <v>163</v>
      </c>
      <c r="B9" s="78" t="s">
        <v>1258</v>
      </c>
      <c r="C9" s="10">
        <v>26</v>
      </c>
      <c r="D9" s="10">
        <v>13</v>
      </c>
      <c r="E9" s="10">
        <v>18</v>
      </c>
      <c r="F9" s="10">
        <v>635</v>
      </c>
      <c r="G9" s="10">
        <v>55</v>
      </c>
      <c r="H9" s="10">
        <v>43</v>
      </c>
      <c r="I9" s="10">
        <v>4</v>
      </c>
      <c r="J9" s="10">
        <v>2</v>
      </c>
      <c r="K9" s="10">
        <v>5</v>
      </c>
      <c r="L9" s="78" t="s">
        <v>1406</v>
      </c>
      <c r="M9" s="78" t="s">
        <v>1408</v>
      </c>
      <c r="N9" s="78" t="s">
        <v>1410</v>
      </c>
      <c r="O9" s="78" t="s">
        <v>1270</v>
      </c>
      <c r="P9" s="78" t="s">
        <v>1407</v>
      </c>
      <c r="Q9" s="78" t="s">
        <v>1409</v>
      </c>
      <c r="R9" s="78" t="s">
        <v>1411</v>
      </c>
      <c r="S9" s="92" t="s">
        <v>1722</v>
      </c>
      <c r="T9" s="90"/>
      <c r="U9" s="90"/>
      <c r="V9" s="90"/>
      <c r="W9" s="90" t="s">
        <v>1676</v>
      </c>
      <c r="X9" s="90"/>
      <c r="Y9" s="90"/>
      <c r="Z9" s="90"/>
      <c r="AA9" s="90">
        <v>120</v>
      </c>
      <c r="AB9" s="90"/>
      <c r="AC9" s="90"/>
      <c r="AD9" s="90"/>
      <c r="AE9" s="90">
        <v>3</v>
      </c>
    </row>
    <row r="10" spans="1:31">
      <c r="A10" s="19" t="s">
        <v>164</v>
      </c>
      <c r="B10" s="78" t="s">
        <v>1258</v>
      </c>
      <c r="C10" s="10">
        <v>26</v>
      </c>
      <c r="D10" s="10">
        <v>19</v>
      </c>
      <c r="E10" s="10">
        <v>23</v>
      </c>
      <c r="F10" s="10">
        <v>639</v>
      </c>
      <c r="G10" s="10">
        <v>52</v>
      </c>
      <c r="H10" s="10">
        <v>55</v>
      </c>
      <c r="I10" s="10">
        <v>4</v>
      </c>
      <c r="J10" s="10">
        <v>2</v>
      </c>
      <c r="K10" s="10">
        <v>7</v>
      </c>
      <c r="L10" s="78" t="s">
        <v>1412</v>
      </c>
      <c r="M10" s="78" t="s">
        <v>1414</v>
      </c>
      <c r="N10" s="78" t="s">
        <v>1416</v>
      </c>
      <c r="O10" s="78" t="s">
        <v>1418</v>
      </c>
      <c r="P10" s="78" t="s">
        <v>1413</v>
      </c>
      <c r="Q10" s="78" t="s">
        <v>1415</v>
      </c>
      <c r="R10" s="78" t="s">
        <v>1417</v>
      </c>
      <c r="S10" s="78" t="s">
        <v>1721</v>
      </c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</row>
    <row r="11" spans="1:31">
      <c r="A11" s="19" t="s">
        <v>165</v>
      </c>
      <c r="B11" s="78" t="s">
        <v>1258</v>
      </c>
      <c r="C11" s="10">
        <v>26</v>
      </c>
      <c r="D11" s="10">
        <v>9</v>
      </c>
      <c r="E11" s="10">
        <v>16</v>
      </c>
      <c r="F11" s="10">
        <v>641</v>
      </c>
      <c r="G11" s="10">
        <v>66</v>
      </c>
      <c r="H11" s="10">
        <v>38</v>
      </c>
      <c r="I11" s="10">
        <v>2</v>
      </c>
      <c r="J11" s="10">
        <v>2</v>
      </c>
      <c r="K11" s="10">
        <v>4</v>
      </c>
      <c r="L11" s="78" t="s">
        <v>1419</v>
      </c>
      <c r="M11" s="78" t="s">
        <v>1421</v>
      </c>
      <c r="N11" s="78" t="s">
        <v>1423</v>
      </c>
      <c r="O11" s="78" t="s">
        <v>1425</v>
      </c>
      <c r="P11" s="78" t="s">
        <v>1420</v>
      </c>
      <c r="Q11" s="78" t="s">
        <v>1422</v>
      </c>
      <c r="R11" s="78" t="s">
        <v>1424</v>
      </c>
      <c r="S11" s="78" t="s">
        <v>1698</v>
      </c>
      <c r="T11" s="90"/>
      <c r="U11" s="90"/>
      <c r="V11" s="90"/>
      <c r="W11" s="90" t="s">
        <v>1675</v>
      </c>
      <c r="X11" s="90"/>
      <c r="Y11" s="90"/>
      <c r="Z11" s="90"/>
      <c r="AA11" s="90">
        <v>120</v>
      </c>
      <c r="AB11" s="90"/>
      <c r="AC11" s="90"/>
      <c r="AD11" s="90"/>
      <c r="AE11" s="90">
        <v>3</v>
      </c>
    </row>
    <row r="12" spans="1:31">
      <c r="A12" s="19" t="s">
        <v>166</v>
      </c>
      <c r="B12" s="78" t="s">
        <v>1258</v>
      </c>
      <c r="C12" s="10">
        <v>27</v>
      </c>
      <c r="D12" s="10">
        <v>20</v>
      </c>
      <c r="E12" s="10">
        <v>15</v>
      </c>
      <c r="F12" s="10">
        <v>654</v>
      </c>
      <c r="G12" s="10">
        <v>61</v>
      </c>
      <c r="H12" s="10">
        <v>36</v>
      </c>
      <c r="I12" s="10">
        <v>5</v>
      </c>
      <c r="J12" s="10">
        <v>1</v>
      </c>
      <c r="K12" s="10">
        <v>8</v>
      </c>
      <c r="L12" s="78" t="s">
        <v>1426</v>
      </c>
      <c r="M12" s="78" t="s">
        <v>1428</v>
      </c>
      <c r="N12" s="78" t="s">
        <v>1430</v>
      </c>
      <c r="O12" s="78" t="s">
        <v>1432</v>
      </c>
      <c r="P12" s="78" t="s">
        <v>1427</v>
      </c>
      <c r="Q12" s="78" t="s">
        <v>1429</v>
      </c>
      <c r="R12" s="78" t="s">
        <v>1431</v>
      </c>
      <c r="S12" s="78" t="s">
        <v>1699</v>
      </c>
      <c r="T12" s="90"/>
      <c r="U12" s="90"/>
      <c r="V12" s="90"/>
      <c r="W12" s="90" t="s">
        <v>1676</v>
      </c>
      <c r="X12" s="90"/>
      <c r="Y12" s="90"/>
      <c r="Z12" s="90"/>
      <c r="AA12" s="90">
        <v>120</v>
      </c>
      <c r="AB12" s="90"/>
      <c r="AC12" s="90"/>
      <c r="AD12" s="90"/>
      <c r="AE12" s="90">
        <v>3</v>
      </c>
    </row>
    <row r="13" spans="1:31">
      <c r="A13" s="19" t="s">
        <v>167</v>
      </c>
      <c r="B13" s="78" t="s">
        <v>1261</v>
      </c>
      <c r="C13" s="10">
        <v>17</v>
      </c>
      <c r="D13" s="10">
        <v>20</v>
      </c>
      <c r="E13" s="10">
        <v>17</v>
      </c>
      <c r="F13" s="10">
        <v>473</v>
      </c>
      <c r="G13" s="10">
        <v>34</v>
      </c>
      <c r="H13" s="10">
        <v>41</v>
      </c>
      <c r="I13" s="10">
        <v>3</v>
      </c>
      <c r="J13" s="10">
        <v>2</v>
      </c>
      <c r="K13" s="10">
        <v>8</v>
      </c>
      <c r="L13" s="78" t="s">
        <v>1433</v>
      </c>
      <c r="M13" s="78" t="s">
        <v>1435</v>
      </c>
      <c r="N13" s="78" t="s">
        <v>1437</v>
      </c>
      <c r="O13" s="78" t="s">
        <v>1439</v>
      </c>
      <c r="P13" s="78" t="s">
        <v>1434</v>
      </c>
      <c r="Q13" s="78" t="s">
        <v>1436</v>
      </c>
      <c r="R13" s="78" t="s">
        <v>1438</v>
      </c>
      <c r="S13" s="86" t="s">
        <v>1678</v>
      </c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</row>
    <row r="14" spans="1:31">
      <c r="A14" s="19" t="s">
        <v>168</v>
      </c>
      <c r="B14" s="78" t="s">
        <v>1258</v>
      </c>
      <c r="C14" s="10">
        <v>24</v>
      </c>
      <c r="D14" s="10">
        <v>25</v>
      </c>
      <c r="E14" s="10">
        <v>21</v>
      </c>
      <c r="F14" s="10">
        <v>605</v>
      </c>
      <c r="G14" s="10">
        <v>50</v>
      </c>
      <c r="H14" s="10">
        <v>50</v>
      </c>
      <c r="I14" s="10">
        <v>4</v>
      </c>
      <c r="J14" s="10">
        <v>2</v>
      </c>
      <c r="K14" s="10">
        <v>10</v>
      </c>
      <c r="L14" s="78" t="s">
        <v>1440</v>
      </c>
      <c r="M14" s="78" t="s">
        <v>1442</v>
      </c>
      <c r="N14" s="78" t="s">
        <v>1444</v>
      </c>
      <c r="O14" s="78" t="s">
        <v>1445</v>
      </c>
      <c r="P14" s="78" t="s">
        <v>1441</v>
      </c>
      <c r="Q14" s="78" t="s">
        <v>1443</v>
      </c>
      <c r="R14" s="78" t="s">
        <v>1700</v>
      </c>
      <c r="S14" s="78" t="s">
        <v>1701</v>
      </c>
      <c r="T14" s="90"/>
      <c r="U14" s="90"/>
      <c r="V14" s="90"/>
      <c r="W14" s="90" t="s">
        <v>1686</v>
      </c>
      <c r="X14" s="90"/>
      <c r="Y14" s="90"/>
      <c r="Z14" s="90"/>
      <c r="AA14" s="90">
        <v>80</v>
      </c>
      <c r="AB14" s="90"/>
      <c r="AC14" s="90"/>
      <c r="AD14" s="90"/>
      <c r="AE14" s="90">
        <v>2</v>
      </c>
    </row>
    <row r="15" spans="1:31">
      <c r="A15" s="19" t="s">
        <v>169</v>
      </c>
      <c r="B15" s="78" t="s">
        <v>1258</v>
      </c>
      <c r="C15" s="10">
        <v>17</v>
      </c>
      <c r="D15" s="10">
        <v>21</v>
      </c>
      <c r="E15" s="10">
        <v>16</v>
      </c>
      <c r="F15" s="10">
        <v>468</v>
      </c>
      <c r="G15" s="10">
        <v>58</v>
      </c>
      <c r="H15" s="10">
        <v>38</v>
      </c>
      <c r="I15" s="10">
        <v>4</v>
      </c>
      <c r="J15" s="10">
        <v>2</v>
      </c>
      <c r="K15" s="10">
        <v>9</v>
      </c>
      <c r="L15" s="78" t="s">
        <v>1446</v>
      </c>
      <c r="M15" s="78" t="s">
        <v>1448</v>
      </c>
      <c r="N15" s="78" t="s">
        <v>1450</v>
      </c>
      <c r="O15" s="78" t="s">
        <v>1451</v>
      </c>
      <c r="P15" s="78" t="s">
        <v>1447</v>
      </c>
      <c r="Q15" s="78" t="s">
        <v>1449</v>
      </c>
      <c r="R15" s="78" t="s">
        <v>1702</v>
      </c>
      <c r="S15" s="92" t="s">
        <v>1725</v>
      </c>
      <c r="T15" s="90"/>
      <c r="U15" s="90"/>
      <c r="V15" s="90" t="s">
        <v>1690</v>
      </c>
      <c r="W15" s="90" t="s">
        <v>1686</v>
      </c>
      <c r="X15" s="90"/>
      <c r="Y15" s="90"/>
      <c r="Z15" s="90">
        <v>60</v>
      </c>
      <c r="AA15" s="90">
        <v>40</v>
      </c>
      <c r="AB15" s="90"/>
      <c r="AC15" s="90"/>
      <c r="AD15" s="90">
        <v>3</v>
      </c>
      <c r="AE15" s="90">
        <v>1</v>
      </c>
    </row>
    <row r="16" spans="1:31">
      <c r="A16" s="19" t="s">
        <v>170</v>
      </c>
      <c r="B16" s="78" t="s">
        <v>1261</v>
      </c>
      <c r="C16" s="10">
        <v>22</v>
      </c>
      <c r="D16" s="10">
        <v>24</v>
      </c>
      <c r="E16" s="10">
        <v>17</v>
      </c>
      <c r="F16" s="10">
        <v>564</v>
      </c>
      <c r="G16" s="10">
        <v>49</v>
      </c>
      <c r="H16" s="10">
        <v>40</v>
      </c>
      <c r="I16" s="10">
        <v>3</v>
      </c>
      <c r="J16" s="10">
        <v>2</v>
      </c>
      <c r="K16" s="10">
        <v>10</v>
      </c>
      <c r="L16" s="78" t="s">
        <v>1452</v>
      </c>
      <c r="M16" s="78" t="s">
        <v>1454</v>
      </c>
      <c r="N16" s="78" t="s">
        <v>1456</v>
      </c>
      <c r="O16" s="78" t="s">
        <v>1457</v>
      </c>
      <c r="P16" s="78" t="s">
        <v>1453</v>
      </c>
      <c r="Q16" s="78" t="s">
        <v>1455</v>
      </c>
      <c r="R16" s="78" t="s">
        <v>1703</v>
      </c>
      <c r="S16" s="78" t="s">
        <v>1704</v>
      </c>
      <c r="T16" s="90"/>
      <c r="U16" s="90"/>
      <c r="V16" s="90" t="s">
        <v>1686</v>
      </c>
      <c r="W16" s="90" t="s">
        <v>1683</v>
      </c>
      <c r="X16" s="90"/>
      <c r="Y16" s="90"/>
      <c r="Z16" s="90">
        <v>40</v>
      </c>
      <c r="AA16" s="90">
        <v>320</v>
      </c>
      <c r="AB16" s="90"/>
      <c r="AC16" s="90"/>
      <c r="AD16" s="90">
        <v>2</v>
      </c>
      <c r="AE16" s="90">
        <v>8</v>
      </c>
    </row>
    <row r="17" spans="1:31">
      <c r="A17" s="19" t="s">
        <v>171</v>
      </c>
      <c r="B17" s="78" t="s">
        <v>1261</v>
      </c>
      <c r="C17" s="10">
        <v>19</v>
      </c>
      <c r="D17" s="10">
        <v>25</v>
      </c>
      <c r="E17" s="10">
        <v>24</v>
      </c>
      <c r="F17" s="10">
        <v>508</v>
      </c>
      <c r="G17" s="10">
        <v>48</v>
      </c>
      <c r="H17" s="10">
        <v>58</v>
      </c>
      <c r="I17" s="10">
        <v>3</v>
      </c>
      <c r="J17" s="10">
        <v>2</v>
      </c>
      <c r="K17" s="10">
        <v>10</v>
      </c>
      <c r="L17" s="78" t="s">
        <v>1458</v>
      </c>
      <c r="M17" s="78" t="s">
        <v>1460</v>
      </c>
      <c r="N17" s="78" t="s">
        <v>1462</v>
      </c>
      <c r="O17" s="78" t="s">
        <v>1464</v>
      </c>
      <c r="P17" s="78" t="s">
        <v>1459</v>
      </c>
      <c r="Q17" s="78" t="s">
        <v>1461</v>
      </c>
      <c r="R17" s="78" t="s">
        <v>1463</v>
      </c>
      <c r="S17" s="95" t="s">
        <v>1733</v>
      </c>
      <c r="T17" s="90"/>
      <c r="U17" s="90"/>
      <c r="V17" s="90"/>
      <c r="W17" s="90" t="s">
        <v>1732</v>
      </c>
      <c r="X17" s="90"/>
      <c r="Y17" s="90"/>
      <c r="Z17" s="90"/>
      <c r="AA17" s="90">
        <v>40</v>
      </c>
      <c r="AB17" s="90"/>
      <c r="AC17" s="90"/>
      <c r="AD17" s="90"/>
      <c r="AE17" s="90">
        <v>1</v>
      </c>
    </row>
    <row r="18" spans="1:31">
      <c r="A18" s="19" t="s">
        <v>172</v>
      </c>
      <c r="B18" s="78" t="s">
        <v>1261</v>
      </c>
      <c r="C18" s="10">
        <v>19</v>
      </c>
      <c r="D18" s="10">
        <v>28</v>
      </c>
      <c r="E18" s="10">
        <v>16</v>
      </c>
      <c r="F18" s="10">
        <v>515</v>
      </c>
      <c r="G18" s="10">
        <v>48</v>
      </c>
      <c r="H18" s="10">
        <v>38</v>
      </c>
      <c r="I18" s="10">
        <v>4</v>
      </c>
      <c r="J18" s="10">
        <v>2</v>
      </c>
      <c r="K18" s="10">
        <v>11</v>
      </c>
      <c r="L18" s="78" t="s">
        <v>1465</v>
      </c>
      <c r="M18" s="78" t="s">
        <v>1467</v>
      </c>
      <c r="N18" s="78" t="s">
        <v>1469</v>
      </c>
      <c r="O18" s="78" t="s">
        <v>1471</v>
      </c>
      <c r="P18" s="78" t="s">
        <v>1466</v>
      </c>
      <c r="Q18" s="78" t="s">
        <v>1468</v>
      </c>
      <c r="R18" s="78" t="s">
        <v>1470</v>
      </c>
      <c r="S18" s="78" t="s">
        <v>1718</v>
      </c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</row>
    <row r="19" spans="1:31">
      <c r="A19" s="19" t="s">
        <v>173</v>
      </c>
      <c r="B19" s="78" t="s">
        <v>1261</v>
      </c>
      <c r="C19" s="10">
        <v>17</v>
      </c>
      <c r="D19" s="10">
        <v>25</v>
      </c>
      <c r="E19" s="10">
        <v>18</v>
      </c>
      <c r="F19" s="10">
        <v>464</v>
      </c>
      <c r="G19" s="10">
        <v>44</v>
      </c>
      <c r="H19" s="10">
        <v>42</v>
      </c>
      <c r="I19" s="10">
        <v>3</v>
      </c>
      <c r="J19" s="10">
        <v>2</v>
      </c>
      <c r="K19" s="10">
        <v>10</v>
      </c>
      <c r="L19" s="78" t="s">
        <v>1472</v>
      </c>
      <c r="M19" s="78" t="s">
        <v>1474</v>
      </c>
      <c r="N19" s="78" t="s">
        <v>1476</v>
      </c>
      <c r="O19" s="78" t="s">
        <v>1478</v>
      </c>
      <c r="P19" s="78" t="s">
        <v>1473</v>
      </c>
      <c r="Q19" s="78" t="s">
        <v>1475</v>
      </c>
      <c r="R19" s="78" t="s">
        <v>1477</v>
      </c>
      <c r="S19" s="78" t="s">
        <v>1705</v>
      </c>
      <c r="T19" s="90"/>
      <c r="U19" s="90"/>
      <c r="V19" s="90"/>
      <c r="W19" s="90" t="s">
        <v>1682</v>
      </c>
      <c r="X19" s="90"/>
      <c r="Y19" s="90"/>
      <c r="Z19" s="90"/>
      <c r="AA19" s="90">
        <v>80</v>
      </c>
      <c r="AB19" s="90"/>
      <c r="AC19" s="90"/>
      <c r="AD19" s="90"/>
      <c r="AE19" s="90">
        <v>2</v>
      </c>
    </row>
    <row r="20" spans="1:31">
      <c r="A20" s="19" t="s">
        <v>174</v>
      </c>
      <c r="B20" s="78" t="s">
        <v>1261</v>
      </c>
      <c r="C20" s="10">
        <v>16</v>
      </c>
      <c r="D20" s="10">
        <v>21</v>
      </c>
      <c r="E20" s="10">
        <v>15</v>
      </c>
      <c r="F20" s="10">
        <v>454</v>
      </c>
      <c r="G20" s="10">
        <v>39</v>
      </c>
      <c r="H20" s="10">
        <v>35</v>
      </c>
      <c r="I20" s="10">
        <v>3</v>
      </c>
      <c r="J20" s="10">
        <v>1</v>
      </c>
      <c r="K20" s="10">
        <v>8</v>
      </c>
      <c r="L20" s="78" t="s">
        <v>1479</v>
      </c>
      <c r="M20" s="78" t="s">
        <v>1481</v>
      </c>
      <c r="N20" s="78" t="s">
        <v>1483</v>
      </c>
      <c r="O20" s="78" t="s">
        <v>1485</v>
      </c>
      <c r="P20" s="78" t="s">
        <v>1480</v>
      </c>
      <c r="Q20" s="78" t="s">
        <v>1482</v>
      </c>
      <c r="R20" s="78" t="s">
        <v>1484</v>
      </c>
      <c r="S20" s="78" t="s">
        <v>1706</v>
      </c>
      <c r="T20" s="90"/>
      <c r="U20" s="90"/>
      <c r="V20" s="90"/>
      <c r="W20" s="90" t="s">
        <v>1690</v>
      </c>
      <c r="X20" s="90"/>
      <c r="Y20" s="90"/>
      <c r="Z20" s="90"/>
      <c r="AA20" s="90">
        <v>120</v>
      </c>
      <c r="AB20" s="90"/>
      <c r="AC20" s="90"/>
      <c r="AD20" s="90"/>
      <c r="AE20" s="90">
        <v>3</v>
      </c>
    </row>
    <row r="21" spans="1:31">
      <c r="A21" s="19" t="s">
        <v>175</v>
      </c>
      <c r="B21" s="78" t="s">
        <v>1258</v>
      </c>
      <c r="C21" s="10">
        <v>22</v>
      </c>
      <c r="D21" s="10">
        <v>24</v>
      </c>
      <c r="E21" s="10">
        <v>15</v>
      </c>
      <c r="F21" s="10">
        <v>570</v>
      </c>
      <c r="G21" s="10">
        <v>51</v>
      </c>
      <c r="H21" s="10">
        <v>37</v>
      </c>
      <c r="I21" s="10">
        <v>5</v>
      </c>
      <c r="J21" s="10">
        <v>2</v>
      </c>
      <c r="K21" s="10">
        <v>9</v>
      </c>
      <c r="L21" s="78" t="s">
        <v>1486</v>
      </c>
      <c r="M21" s="78" t="s">
        <v>1488</v>
      </c>
      <c r="N21" s="78" t="s">
        <v>1490</v>
      </c>
      <c r="O21" s="78" t="s">
        <v>1492</v>
      </c>
      <c r="P21" s="78" t="s">
        <v>1487</v>
      </c>
      <c r="Q21" s="78" t="s">
        <v>1489</v>
      </c>
      <c r="R21" s="78" t="s">
        <v>1491</v>
      </c>
      <c r="S21" s="96" t="s">
        <v>1738</v>
      </c>
      <c r="T21" s="90"/>
      <c r="U21" s="90"/>
      <c r="V21" s="90"/>
      <c r="W21" s="90" t="s">
        <v>4</v>
      </c>
      <c r="X21" s="90"/>
      <c r="Y21" s="90"/>
      <c r="Z21" s="90"/>
      <c r="AA21" s="90">
        <v>120</v>
      </c>
      <c r="AB21" s="90"/>
      <c r="AC21" s="90"/>
      <c r="AD21" s="90"/>
      <c r="AE21" s="90">
        <v>3</v>
      </c>
    </row>
    <row r="22" spans="1:31">
      <c r="A22" s="19" t="s">
        <v>176</v>
      </c>
      <c r="B22" s="78" t="s">
        <v>1259</v>
      </c>
      <c r="C22" s="10">
        <v>17</v>
      </c>
      <c r="D22" s="10">
        <v>21</v>
      </c>
      <c r="E22" s="10">
        <v>13</v>
      </c>
      <c r="F22" s="10">
        <v>473</v>
      </c>
      <c r="G22" s="10">
        <v>47</v>
      </c>
      <c r="H22" s="10">
        <v>31</v>
      </c>
      <c r="I22" s="10">
        <v>3</v>
      </c>
      <c r="J22" s="10">
        <v>1</v>
      </c>
      <c r="K22" s="10">
        <v>8</v>
      </c>
      <c r="L22" s="78" t="s">
        <v>1493</v>
      </c>
      <c r="M22" s="78" t="s">
        <v>1495</v>
      </c>
      <c r="N22" s="78" t="s">
        <v>1497</v>
      </c>
      <c r="O22" s="78" t="s">
        <v>1499</v>
      </c>
      <c r="P22" s="78" t="s">
        <v>1494</v>
      </c>
      <c r="Q22" s="78" t="s">
        <v>1496</v>
      </c>
      <c r="R22" s="78" t="s">
        <v>1498</v>
      </c>
      <c r="S22" s="78" t="s">
        <v>1697</v>
      </c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</row>
    <row r="23" spans="1:31">
      <c r="A23" s="19" t="s">
        <v>177</v>
      </c>
      <c r="B23" s="78" t="s">
        <v>1258</v>
      </c>
      <c r="C23" s="10">
        <v>26</v>
      </c>
      <c r="D23" s="10">
        <v>21</v>
      </c>
      <c r="E23" s="10">
        <v>17</v>
      </c>
      <c r="F23" s="10">
        <v>648</v>
      </c>
      <c r="G23" s="10">
        <v>46</v>
      </c>
      <c r="H23" s="10">
        <v>40</v>
      </c>
      <c r="I23" s="10">
        <v>8</v>
      </c>
      <c r="J23" s="10">
        <v>2</v>
      </c>
      <c r="K23" s="10">
        <v>8</v>
      </c>
      <c r="L23" s="78" t="s">
        <v>1500</v>
      </c>
      <c r="M23" s="78" t="s">
        <v>1501</v>
      </c>
      <c r="N23" s="78" t="s">
        <v>1502</v>
      </c>
      <c r="O23" s="78" t="s">
        <v>1503</v>
      </c>
      <c r="P23" s="110" t="s">
        <v>1806</v>
      </c>
      <c r="Q23" s="110" t="s">
        <v>1807</v>
      </c>
      <c r="R23" s="78" t="s">
        <v>1708</v>
      </c>
      <c r="S23" s="78" t="s">
        <v>1707</v>
      </c>
      <c r="T23" s="90"/>
      <c r="U23" s="90"/>
      <c r="V23" s="90" t="s">
        <v>1682</v>
      </c>
      <c r="W23" s="90" t="s">
        <v>1683</v>
      </c>
      <c r="X23" s="90"/>
      <c r="Y23" s="90"/>
      <c r="Z23" s="90">
        <v>60</v>
      </c>
      <c r="AA23" s="90">
        <v>320</v>
      </c>
      <c r="AB23" s="90"/>
      <c r="AC23" s="90"/>
      <c r="AD23" s="90">
        <v>3</v>
      </c>
      <c r="AE23" s="90">
        <v>8</v>
      </c>
    </row>
    <row r="24" spans="1:31">
      <c r="A24" s="19" t="s">
        <v>178</v>
      </c>
      <c r="B24" s="78" t="s">
        <v>1259</v>
      </c>
      <c r="C24" s="10">
        <v>16</v>
      </c>
      <c r="D24" s="10">
        <v>24</v>
      </c>
      <c r="E24" s="10">
        <v>21</v>
      </c>
      <c r="F24" s="10">
        <v>451</v>
      </c>
      <c r="G24" s="10">
        <v>58</v>
      </c>
      <c r="H24" s="10">
        <v>50</v>
      </c>
      <c r="I24" s="10">
        <v>3</v>
      </c>
      <c r="J24" s="10">
        <v>2</v>
      </c>
      <c r="K24" s="10">
        <v>9</v>
      </c>
      <c r="L24" s="78" t="s">
        <v>1504</v>
      </c>
      <c r="M24" s="78" t="s">
        <v>1506</v>
      </c>
      <c r="N24" s="78" t="s">
        <v>1508</v>
      </c>
      <c r="O24" s="78" t="s">
        <v>1451</v>
      </c>
      <c r="P24" s="78" t="s">
        <v>1505</v>
      </c>
      <c r="Q24" s="78" t="s">
        <v>1507</v>
      </c>
      <c r="R24" s="78" t="s">
        <v>1509</v>
      </c>
      <c r="S24" s="94" t="s">
        <v>1728</v>
      </c>
      <c r="T24" s="90"/>
      <c r="U24" s="90"/>
      <c r="V24" s="90"/>
      <c r="W24" s="90" t="s">
        <v>1729</v>
      </c>
      <c r="X24" s="90"/>
      <c r="Y24" s="90"/>
      <c r="Z24" s="90"/>
      <c r="AA24" s="90">
        <v>3400</v>
      </c>
      <c r="AB24" s="90"/>
      <c r="AC24" s="90"/>
      <c r="AD24" s="90"/>
      <c r="AE24" s="90">
        <v>85</v>
      </c>
    </row>
    <row r="25" spans="1:31">
      <c r="A25" s="19" t="s">
        <v>179</v>
      </c>
      <c r="B25" s="78" t="s">
        <v>1261</v>
      </c>
      <c r="C25" s="10">
        <v>17</v>
      </c>
      <c r="D25" s="10">
        <v>27</v>
      </c>
      <c r="E25" s="10">
        <v>16</v>
      </c>
      <c r="F25" s="10">
        <v>475</v>
      </c>
      <c r="G25" s="10">
        <v>54</v>
      </c>
      <c r="H25" s="10">
        <v>37</v>
      </c>
      <c r="I25" s="10">
        <v>3</v>
      </c>
      <c r="J25" s="10">
        <v>2</v>
      </c>
      <c r="K25" s="10">
        <v>11</v>
      </c>
      <c r="L25" s="78" t="s">
        <v>1510</v>
      </c>
      <c r="M25" s="78" t="s">
        <v>1512</v>
      </c>
      <c r="N25" s="78" t="s">
        <v>185</v>
      </c>
      <c r="O25" s="78" t="s">
        <v>1515</v>
      </c>
      <c r="P25" s="78" t="s">
        <v>1511</v>
      </c>
      <c r="Q25" s="78" t="s">
        <v>1513</v>
      </c>
      <c r="R25" s="78" t="s">
        <v>1514</v>
      </c>
      <c r="S25" s="86" t="s">
        <v>1681</v>
      </c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</row>
    <row r="26" spans="1:31">
      <c r="A26" s="19" t="s">
        <v>180</v>
      </c>
      <c r="B26" s="78" t="s">
        <v>1258</v>
      </c>
      <c r="C26" s="10">
        <v>22</v>
      </c>
      <c r="D26" s="10">
        <v>22</v>
      </c>
      <c r="E26" s="10">
        <v>19</v>
      </c>
      <c r="F26" s="10">
        <v>575</v>
      </c>
      <c r="G26" s="10">
        <v>47</v>
      </c>
      <c r="H26" s="10">
        <v>45</v>
      </c>
      <c r="I26" s="10">
        <v>7</v>
      </c>
      <c r="J26" s="10">
        <v>2</v>
      </c>
      <c r="K26" s="10">
        <v>9</v>
      </c>
      <c r="L26" s="78" t="s">
        <v>1516</v>
      </c>
      <c r="M26" s="78" t="s">
        <v>1518</v>
      </c>
      <c r="N26" s="78" t="s">
        <v>1520</v>
      </c>
      <c r="O26" s="78" t="s">
        <v>1522</v>
      </c>
      <c r="P26" s="78" t="s">
        <v>1517</v>
      </c>
      <c r="Q26" s="78" t="s">
        <v>1519</v>
      </c>
      <c r="R26" s="78" t="s">
        <v>1521</v>
      </c>
      <c r="S26" s="96" t="s">
        <v>1740</v>
      </c>
      <c r="T26" s="90"/>
      <c r="U26" s="90"/>
      <c r="V26" s="90"/>
      <c r="W26" s="90" t="s">
        <v>1739</v>
      </c>
      <c r="X26" s="90"/>
      <c r="Y26" s="90"/>
      <c r="Z26" s="90"/>
      <c r="AA26" s="90">
        <v>20</v>
      </c>
      <c r="AB26" s="90"/>
      <c r="AC26" s="90"/>
      <c r="AD26" s="90"/>
      <c r="AE26" s="90">
        <v>0.5</v>
      </c>
    </row>
    <row r="27" spans="1:31">
      <c r="A27" s="19" t="s">
        <v>181</v>
      </c>
      <c r="B27" s="78" t="s">
        <v>1259</v>
      </c>
      <c r="C27" s="10">
        <v>16</v>
      </c>
      <c r="D27" s="10">
        <v>21</v>
      </c>
      <c r="E27" s="10">
        <v>19</v>
      </c>
      <c r="F27" s="10">
        <v>453</v>
      </c>
      <c r="G27" s="10">
        <v>40</v>
      </c>
      <c r="H27" s="10">
        <v>45</v>
      </c>
      <c r="I27" s="10">
        <v>3</v>
      </c>
      <c r="J27" s="10">
        <v>2</v>
      </c>
      <c r="K27" s="10">
        <v>9</v>
      </c>
      <c r="L27" s="78" t="s">
        <v>1523</v>
      </c>
      <c r="M27" s="110" t="s">
        <v>1798</v>
      </c>
      <c r="N27" s="110" t="s">
        <v>1799</v>
      </c>
      <c r="O27" s="110" t="s">
        <v>1800</v>
      </c>
      <c r="P27" s="78" t="s">
        <v>1524</v>
      </c>
      <c r="Q27" s="110" t="s">
        <v>1801</v>
      </c>
      <c r="R27" s="110" t="s">
        <v>1803</v>
      </c>
      <c r="S27" s="110" t="s">
        <v>1802</v>
      </c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</row>
    <row r="28" spans="1:31">
      <c r="A28" s="19" t="s">
        <v>182</v>
      </c>
      <c r="B28" s="78" t="s">
        <v>1259</v>
      </c>
      <c r="C28" s="10">
        <v>17</v>
      </c>
      <c r="D28" s="10">
        <v>26</v>
      </c>
      <c r="E28" s="10">
        <v>18</v>
      </c>
      <c r="F28" s="10">
        <v>469</v>
      </c>
      <c r="G28" s="10">
        <v>56</v>
      </c>
      <c r="H28" s="10">
        <v>43</v>
      </c>
      <c r="I28" s="10">
        <v>4</v>
      </c>
      <c r="J28" s="10">
        <v>2</v>
      </c>
      <c r="K28" s="10">
        <v>10</v>
      </c>
      <c r="L28" s="78" t="s">
        <v>1525</v>
      </c>
      <c r="M28" s="78" t="s">
        <v>1526</v>
      </c>
      <c r="N28" s="78" t="s">
        <v>1527</v>
      </c>
      <c r="O28" s="78" t="s">
        <v>1529</v>
      </c>
      <c r="P28" s="110" t="s">
        <v>1804</v>
      </c>
      <c r="Q28" s="110" t="s">
        <v>1805</v>
      </c>
      <c r="R28" s="78" t="s">
        <v>1528</v>
      </c>
      <c r="S28" s="86" t="s">
        <v>1679</v>
      </c>
      <c r="T28" s="90"/>
      <c r="U28" s="90"/>
      <c r="V28" s="90"/>
      <c r="W28" s="90"/>
      <c r="X28" s="90"/>
      <c r="Y28" s="90"/>
      <c r="Z28" s="90"/>
      <c r="AA28" s="90"/>
      <c r="AB28" s="90"/>
      <c r="AC28" s="90"/>
      <c r="AD28" s="90"/>
      <c r="AE28" s="90"/>
    </row>
    <row r="29" spans="1:31">
      <c r="A29" s="19" t="s">
        <v>183</v>
      </c>
      <c r="B29" s="78" t="s">
        <v>1261</v>
      </c>
      <c r="C29" s="10">
        <v>17</v>
      </c>
      <c r="D29" s="10">
        <v>22</v>
      </c>
      <c r="E29" s="10">
        <v>28</v>
      </c>
      <c r="F29" s="10">
        <v>466</v>
      </c>
      <c r="G29" s="10">
        <v>51</v>
      </c>
      <c r="H29" s="10">
        <v>67</v>
      </c>
      <c r="I29" s="10">
        <v>3</v>
      </c>
      <c r="J29" s="10">
        <v>3</v>
      </c>
      <c r="K29" s="10">
        <v>9</v>
      </c>
      <c r="L29" s="78" t="s">
        <v>1530</v>
      </c>
      <c r="M29" s="78" t="s">
        <v>1532</v>
      </c>
      <c r="N29" s="78" t="s">
        <v>1534</v>
      </c>
      <c r="O29" s="78" t="s">
        <v>1536</v>
      </c>
      <c r="P29" s="78" t="s">
        <v>1531</v>
      </c>
      <c r="Q29" s="78" t="s">
        <v>1533</v>
      </c>
      <c r="R29" s="78" t="s">
        <v>1535</v>
      </c>
      <c r="S29" s="95" t="s">
        <v>1731</v>
      </c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</row>
    <row r="30" spans="1:31">
      <c r="A30" s="19" t="s">
        <v>184</v>
      </c>
      <c r="B30" s="78" t="s">
        <v>1259</v>
      </c>
      <c r="C30" s="10">
        <v>17</v>
      </c>
      <c r="D30" s="10">
        <v>17</v>
      </c>
      <c r="E30" s="10">
        <v>22</v>
      </c>
      <c r="F30" s="10">
        <v>469</v>
      </c>
      <c r="G30" s="10">
        <v>43</v>
      </c>
      <c r="H30" s="10">
        <v>54</v>
      </c>
      <c r="I30" s="10">
        <v>2</v>
      </c>
      <c r="J30" s="10">
        <v>2</v>
      </c>
      <c r="K30" s="10">
        <v>7</v>
      </c>
      <c r="L30" s="78" t="s">
        <v>1537</v>
      </c>
      <c r="M30" s="78" t="s">
        <v>1539</v>
      </c>
      <c r="N30" s="78" t="s">
        <v>1541</v>
      </c>
      <c r="O30" s="78" t="s">
        <v>1543</v>
      </c>
      <c r="P30" s="78" t="s">
        <v>1538</v>
      </c>
      <c r="Q30" s="78" t="s">
        <v>1540</v>
      </c>
      <c r="R30" s="78" t="s">
        <v>1542</v>
      </c>
      <c r="S30" s="86" t="s">
        <v>1689</v>
      </c>
      <c r="T30" s="90"/>
      <c r="U30" s="90"/>
      <c r="V30" s="90"/>
      <c r="W30" s="90"/>
      <c r="X30" s="90"/>
      <c r="Y30" s="90"/>
      <c r="Z30" s="90"/>
      <c r="AA30" s="90"/>
      <c r="AB30" s="90"/>
      <c r="AC30" s="90"/>
      <c r="AD30" s="90"/>
      <c r="AE30" s="90"/>
    </row>
    <row r="31" spans="1:31">
      <c r="A31" s="19" t="s">
        <v>185</v>
      </c>
      <c r="B31" s="78" t="s">
        <v>1259</v>
      </c>
      <c r="C31" s="10">
        <v>19</v>
      </c>
      <c r="D31" s="10">
        <v>17</v>
      </c>
      <c r="E31" s="10">
        <v>28</v>
      </c>
      <c r="F31" s="10">
        <v>504</v>
      </c>
      <c r="G31" s="10">
        <v>51</v>
      </c>
      <c r="H31" s="10">
        <v>67</v>
      </c>
      <c r="I31" s="10">
        <v>2</v>
      </c>
      <c r="J31" s="10">
        <v>3</v>
      </c>
      <c r="K31" s="10">
        <v>7</v>
      </c>
      <c r="L31" s="78" t="s">
        <v>1544</v>
      </c>
      <c r="M31" s="78" t="s">
        <v>1546</v>
      </c>
      <c r="N31" s="78" t="s">
        <v>1548</v>
      </c>
      <c r="O31" s="78" t="s">
        <v>1550</v>
      </c>
      <c r="P31" s="78" t="s">
        <v>1545</v>
      </c>
      <c r="Q31" s="78" t="s">
        <v>1547</v>
      </c>
      <c r="R31" s="78" t="s">
        <v>1549</v>
      </c>
      <c r="S31" s="78" t="s">
        <v>1551</v>
      </c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</row>
    <row r="32" spans="1:31">
      <c r="A32" s="19" t="s">
        <v>186</v>
      </c>
      <c r="B32" s="78" t="s">
        <v>1259</v>
      </c>
      <c r="C32" s="10">
        <v>17</v>
      </c>
      <c r="D32" s="10">
        <v>16</v>
      </c>
      <c r="E32" s="10">
        <v>24</v>
      </c>
      <c r="F32" s="10">
        <v>473</v>
      </c>
      <c r="G32" s="10">
        <v>47</v>
      </c>
      <c r="H32" s="10">
        <v>57</v>
      </c>
      <c r="I32" s="10">
        <v>2</v>
      </c>
      <c r="J32" s="10">
        <v>2</v>
      </c>
      <c r="K32" s="10">
        <v>6</v>
      </c>
      <c r="L32" s="78" t="s">
        <v>1552</v>
      </c>
      <c r="M32" s="78" t="s">
        <v>1554</v>
      </c>
      <c r="N32" s="78" t="s">
        <v>1556</v>
      </c>
      <c r="O32" s="78" t="s">
        <v>1558</v>
      </c>
      <c r="P32" s="78" t="s">
        <v>1553</v>
      </c>
      <c r="Q32" s="78" t="s">
        <v>1555</v>
      </c>
      <c r="R32" s="78" t="s">
        <v>1557</v>
      </c>
      <c r="S32" s="96" t="s">
        <v>1737</v>
      </c>
      <c r="T32" s="90"/>
      <c r="U32" s="90"/>
      <c r="V32" s="90"/>
      <c r="W32" s="90" t="s">
        <v>1730</v>
      </c>
      <c r="X32" s="90"/>
      <c r="Y32" s="90"/>
      <c r="Z32" s="90"/>
      <c r="AA32" s="90">
        <v>120</v>
      </c>
      <c r="AB32" s="90"/>
      <c r="AC32" s="90"/>
      <c r="AD32" s="90"/>
      <c r="AE32" s="90">
        <v>3</v>
      </c>
    </row>
    <row r="33" spans="1:31">
      <c r="A33" s="5" t="s">
        <v>187</v>
      </c>
      <c r="B33" s="78" t="s">
        <v>1261</v>
      </c>
      <c r="C33" s="10">
        <v>18</v>
      </c>
      <c r="D33" s="10">
        <v>19</v>
      </c>
      <c r="E33" s="10">
        <v>25</v>
      </c>
      <c r="F33" s="10">
        <v>480</v>
      </c>
      <c r="G33" s="10">
        <v>54</v>
      </c>
      <c r="H33" s="10">
        <v>60</v>
      </c>
      <c r="I33" s="10">
        <v>2</v>
      </c>
      <c r="J33" s="10">
        <v>3</v>
      </c>
      <c r="K33" s="10">
        <v>8</v>
      </c>
      <c r="L33" s="78" t="s">
        <v>1559</v>
      </c>
      <c r="M33" s="78" t="s">
        <v>1561</v>
      </c>
      <c r="N33" s="78" t="s">
        <v>1563</v>
      </c>
      <c r="O33" s="78" t="s">
        <v>1565</v>
      </c>
      <c r="P33" s="78" t="s">
        <v>1560</v>
      </c>
      <c r="Q33" s="78" t="s">
        <v>1562</v>
      </c>
      <c r="R33" s="78" t="s">
        <v>1564</v>
      </c>
      <c r="S33" s="78" t="s">
        <v>1709</v>
      </c>
      <c r="T33" s="90"/>
      <c r="U33" s="90"/>
      <c r="V33" s="90"/>
      <c r="W33" s="90" t="s">
        <v>1692</v>
      </c>
      <c r="X33" s="90"/>
      <c r="Y33" s="90"/>
      <c r="Z33" s="90"/>
      <c r="AA33" s="90">
        <v>20</v>
      </c>
      <c r="AB33" s="90"/>
      <c r="AC33" s="90"/>
      <c r="AD33" s="90"/>
      <c r="AE33" s="90">
        <v>0.5</v>
      </c>
    </row>
    <row r="34" spans="1:31">
      <c r="A34" s="19" t="s">
        <v>188</v>
      </c>
      <c r="B34" s="78" t="s">
        <v>1259</v>
      </c>
      <c r="C34" s="10">
        <v>18</v>
      </c>
      <c r="D34" s="10">
        <v>17</v>
      </c>
      <c r="E34" s="10">
        <v>27</v>
      </c>
      <c r="F34" s="10">
        <v>484</v>
      </c>
      <c r="G34" s="10">
        <v>51</v>
      </c>
      <c r="H34" s="10">
        <v>66</v>
      </c>
      <c r="I34" s="10">
        <v>2</v>
      </c>
      <c r="J34" s="10">
        <v>3</v>
      </c>
      <c r="K34" s="10">
        <v>7</v>
      </c>
      <c r="L34" s="78" t="s">
        <v>1566</v>
      </c>
      <c r="M34" s="78" t="s">
        <v>1568</v>
      </c>
      <c r="N34" s="78" t="s">
        <v>1570</v>
      </c>
      <c r="O34" s="78" t="s">
        <v>1572</v>
      </c>
      <c r="P34" s="78" t="s">
        <v>1567</v>
      </c>
      <c r="Q34" s="78" t="s">
        <v>1569</v>
      </c>
      <c r="R34" s="78" t="s">
        <v>1571</v>
      </c>
      <c r="S34" s="98" t="s">
        <v>1749</v>
      </c>
      <c r="T34" s="90"/>
      <c r="U34" s="90"/>
      <c r="V34" s="90"/>
      <c r="W34" s="90"/>
      <c r="X34" s="90"/>
      <c r="Y34" s="90"/>
      <c r="Z34" s="90"/>
      <c r="AA34" s="90"/>
      <c r="AB34" s="90"/>
      <c r="AC34" s="90"/>
      <c r="AD34" s="90"/>
      <c r="AE34" s="90"/>
    </row>
    <row r="35" spans="1:31">
      <c r="A35" s="19" t="s">
        <v>189</v>
      </c>
      <c r="B35" s="78" t="s">
        <v>1261</v>
      </c>
      <c r="C35" s="10">
        <v>14</v>
      </c>
      <c r="D35" s="10">
        <v>15</v>
      </c>
      <c r="E35" s="10">
        <v>22</v>
      </c>
      <c r="F35" s="10">
        <v>416</v>
      </c>
      <c r="G35" s="10">
        <v>46</v>
      </c>
      <c r="H35" s="10">
        <v>53</v>
      </c>
      <c r="I35" s="10">
        <v>3</v>
      </c>
      <c r="J35" s="10">
        <v>2</v>
      </c>
      <c r="K35" s="10">
        <v>6</v>
      </c>
      <c r="L35" s="78" t="s">
        <v>1573</v>
      </c>
      <c r="M35" s="78" t="s">
        <v>1575</v>
      </c>
      <c r="N35" s="78" t="s">
        <v>1577</v>
      </c>
      <c r="O35" s="78" t="s">
        <v>1579</v>
      </c>
      <c r="P35" s="78" t="s">
        <v>1574</v>
      </c>
      <c r="Q35" s="78" t="s">
        <v>1576</v>
      </c>
      <c r="R35" s="78" t="s">
        <v>1578</v>
      </c>
      <c r="S35" s="86" t="s">
        <v>1691</v>
      </c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</row>
    <row r="36" spans="1:31">
      <c r="A36" s="19" t="s">
        <v>190</v>
      </c>
      <c r="B36" s="78" t="s">
        <v>1259</v>
      </c>
      <c r="C36" s="10">
        <v>20</v>
      </c>
      <c r="D36" s="10">
        <v>25</v>
      </c>
      <c r="E36" s="10">
        <v>29</v>
      </c>
      <c r="F36" s="10">
        <v>534</v>
      </c>
      <c r="G36" s="10">
        <v>59</v>
      </c>
      <c r="H36" s="10">
        <v>69</v>
      </c>
      <c r="I36" s="10">
        <v>6</v>
      </c>
      <c r="J36" s="10">
        <v>3</v>
      </c>
      <c r="K36" s="10">
        <v>10</v>
      </c>
      <c r="L36" s="78" t="s">
        <v>1580</v>
      </c>
      <c r="M36" s="78" t="s">
        <v>1582</v>
      </c>
      <c r="N36" s="78" t="s">
        <v>1584</v>
      </c>
      <c r="O36" s="78" t="s">
        <v>1586</v>
      </c>
      <c r="P36" s="78" t="s">
        <v>1581</v>
      </c>
      <c r="Q36" s="78" t="s">
        <v>1583</v>
      </c>
      <c r="R36" s="78" t="s">
        <v>1585</v>
      </c>
      <c r="S36" s="95" t="s">
        <v>1734</v>
      </c>
      <c r="T36" s="90"/>
      <c r="U36" s="90"/>
      <c r="V36" s="90"/>
      <c r="W36" s="90" t="s">
        <v>1735</v>
      </c>
      <c r="X36" s="90"/>
      <c r="Y36" s="90"/>
      <c r="Z36" s="90"/>
      <c r="AA36" s="90">
        <v>120</v>
      </c>
      <c r="AB36" s="90"/>
      <c r="AC36" s="90"/>
      <c r="AD36" s="90"/>
      <c r="AE36" s="90">
        <v>3</v>
      </c>
    </row>
    <row r="37" spans="1:31">
      <c r="A37" s="19" t="s">
        <v>191</v>
      </c>
      <c r="B37" s="78" t="s">
        <v>1259</v>
      </c>
      <c r="C37" s="10">
        <v>18</v>
      </c>
      <c r="D37" s="10">
        <v>16</v>
      </c>
      <c r="E37" s="10">
        <v>24</v>
      </c>
      <c r="F37" s="10">
        <v>492</v>
      </c>
      <c r="G37" s="10">
        <v>46</v>
      </c>
      <c r="H37" s="10">
        <v>58</v>
      </c>
      <c r="I37" s="10">
        <v>2</v>
      </c>
      <c r="J37" s="10">
        <v>2</v>
      </c>
      <c r="K37" s="10">
        <v>6</v>
      </c>
      <c r="L37" s="78" t="s">
        <v>1587</v>
      </c>
      <c r="M37" s="78" t="s">
        <v>1589</v>
      </c>
      <c r="N37" s="78" t="s">
        <v>1591</v>
      </c>
      <c r="O37" s="78" t="s">
        <v>1593</v>
      </c>
      <c r="P37" s="78" t="s">
        <v>1588</v>
      </c>
      <c r="Q37" s="78" t="s">
        <v>1590</v>
      </c>
      <c r="R37" s="78" t="s">
        <v>1592</v>
      </c>
      <c r="S37" s="96" t="s">
        <v>1736</v>
      </c>
      <c r="T37" s="90"/>
      <c r="U37" s="90"/>
      <c r="V37" s="90"/>
      <c r="W37" s="90" t="s">
        <v>1727</v>
      </c>
      <c r="X37" s="90"/>
      <c r="Y37" s="90"/>
      <c r="Z37" s="90"/>
      <c r="AA37" s="90">
        <v>120</v>
      </c>
      <c r="AB37" s="90"/>
      <c r="AC37" s="90"/>
      <c r="AD37" s="90"/>
      <c r="AE37" s="90">
        <v>3</v>
      </c>
    </row>
    <row r="38" spans="1:31">
      <c r="A38" s="19" t="s">
        <v>192</v>
      </c>
      <c r="B38" s="78" t="s">
        <v>1258</v>
      </c>
      <c r="C38" s="10">
        <v>23</v>
      </c>
      <c r="D38" s="10">
        <v>14</v>
      </c>
      <c r="E38" s="10">
        <v>17</v>
      </c>
      <c r="F38" s="10">
        <v>587</v>
      </c>
      <c r="G38" s="10">
        <v>61</v>
      </c>
      <c r="H38" s="10">
        <v>41</v>
      </c>
      <c r="I38" s="10">
        <v>7</v>
      </c>
      <c r="J38" s="10">
        <v>2</v>
      </c>
      <c r="K38" s="10">
        <v>6</v>
      </c>
      <c r="L38" s="78" t="s">
        <v>1568</v>
      </c>
      <c r="M38" s="78" t="s">
        <v>1595</v>
      </c>
      <c r="N38" s="78" t="s">
        <v>1597</v>
      </c>
      <c r="O38" s="78" t="s">
        <v>1270</v>
      </c>
      <c r="P38" s="78" t="s">
        <v>1594</v>
      </c>
      <c r="Q38" s="78" t="s">
        <v>1596</v>
      </c>
      <c r="R38" s="78" t="s">
        <v>1598</v>
      </c>
      <c r="S38" s="92" t="s">
        <v>1724</v>
      </c>
      <c r="T38" s="90"/>
      <c r="U38" s="90"/>
      <c r="V38" s="90"/>
      <c r="W38" s="90" t="s">
        <v>1723</v>
      </c>
      <c r="X38" s="90"/>
      <c r="Y38" s="90"/>
      <c r="Z38" s="90"/>
      <c r="AA38" s="90">
        <v>120</v>
      </c>
      <c r="AB38" s="90"/>
      <c r="AC38" s="90"/>
      <c r="AD38" s="90"/>
      <c r="AE38" s="90">
        <v>3</v>
      </c>
    </row>
    <row r="39" spans="1:31">
      <c r="A39" s="19" t="s">
        <v>193</v>
      </c>
      <c r="B39" s="78" t="s">
        <v>1259</v>
      </c>
      <c r="C39" s="10">
        <v>25</v>
      </c>
      <c r="D39" s="10">
        <v>11</v>
      </c>
      <c r="E39" s="10">
        <v>29</v>
      </c>
      <c r="F39" s="10">
        <v>627</v>
      </c>
      <c r="G39" s="10">
        <v>52</v>
      </c>
      <c r="H39" s="10">
        <v>71</v>
      </c>
      <c r="I39" s="10">
        <v>3</v>
      </c>
      <c r="J39" s="10">
        <v>3</v>
      </c>
      <c r="K39" s="10">
        <v>4</v>
      </c>
      <c r="L39" s="78" t="s">
        <v>1599</v>
      </c>
      <c r="M39" s="78" t="s">
        <v>1601</v>
      </c>
      <c r="N39" s="78" t="s">
        <v>1603</v>
      </c>
      <c r="O39" s="78" t="s">
        <v>1605</v>
      </c>
      <c r="P39" s="78" t="s">
        <v>1600</v>
      </c>
      <c r="Q39" s="78" t="s">
        <v>1602</v>
      </c>
      <c r="R39" s="78" t="s">
        <v>1604</v>
      </c>
      <c r="S39" s="78" t="s">
        <v>1606</v>
      </c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</row>
    <row r="40" spans="1:31">
      <c r="A40" s="19" t="s">
        <v>194</v>
      </c>
      <c r="B40" s="78" t="s">
        <v>1258</v>
      </c>
      <c r="C40" s="10">
        <v>18</v>
      </c>
      <c r="D40" s="10">
        <v>17</v>
      </c>
      <c r="E40" s="10">
        <v>25</v>
      </c>
      <c r="F40" s="10">
        <v>490</v>
      </c>
      <c r="G40" s="10">
        <v>49</v>
      </c>
      <c r="H40" s="10">
        <v>59</v>
      </c>
      <c r="I40" s="10">
        <v>2</v>
      </c>
      <c r="J40" s="10">
        <v>2</v>
      </c>
      <c r="K40" s="10">
        <v>7</v>
      </c>
      <c r="L40" s="78" t="s">
        <v>1607</v>
      </c>
      <c r="M40" s="78" t="s">
        <v>1609</v>
      </c>
      <c r="N40" s="78" t="s">
        <v>1611</v>
      </c>
      <c r="O40" s="78" t="s">
        <v>1612</v>
      </c>
      <c r="P40" s="78" t="s">
        <v>1608</v>
      </c>
      <c r="Q40" s="78" t="s">
        <v>1610</v>
      </c>
      <c r="R40" s="78" t="s">
        <v>1711</v>
      </c>
      <c r="S40" s="78" t="s">
        <v>1710</v>
      </c>
      <c r="T40" s="90"/>
      <c r="U40" s="90"/>
      <c r="V40" s="90" t="s">
        <v>1687</v>
      </c>
      <c r="W40" s="90" t="s">
        <v>1686</v>
      </c>
      <c r="X40" s="90"/>
      <c r="Y40" s="90"/>
      <c r="Z40" s="90">
        <v>1700</v>
      </c>
      <c r="AA40" s="90">
        <v>80</v>
      </c>
      <c r="AB40" s="90"/>
      <c r="AC40" s="90"/>
      <c r="AD40" s="90">
        <v>85</v>
      </c>
      <c r="AE40" s="90">
        <v>2</v>
      </c>
    </row>
    <row r="41" spans="1:31">
      <c r="A41" s="5" t="s">
        <v>195</v>
      </c>
      <c r="B41" s="78" t="s">
        <v>1259</v>
      </c>
      <c r="C41" s="10">
        <v>24</v>
      </c>
      <c r="D41" s="10">
        <v>14</v>
      </c>
      <c r="E41" s="10">
        <v>18</v>
      </c>
      <c r="F41" s="10">
        <v>606</v>
      </c>
      <c r="G41" s="10">
        <v>52</v>
      </c>
      <c r="H41" s="10">
        <v>45</v>
      </c>
      <c r="I41" s="10">
        <v>2</v>
      </c>
      <c r="J41" s="10">
        <v>1</v>
      </c>
      <c r="K41" s="10">
        <v>6</v>
      </c>
      <c r="L41" s="78" t="s">
        <v>1613</v>
      </c>
      <c r="M41" s="78" t="s">
        <v>1615</v>
      </c>
      <c r="N41" s="78" t="s">
        <v>1617</v>
      </c>
      <c r="O41" s="78" t="s">
        <v>1619</v>
      </c>
      <c r="P41" s="78" t="s">
        <v>1614</v>
      </c>
      <c r="Q41" s="78" t="s">
        <v>1616</v>
      </c>
      <c r="R41" s="78" t="s">
        <v>1618</v>
      </c>
      <c r="S41" s="78" t="s">
        <v>1620</v>
      </c>
      <c r="T41" s="90"/>
      <c r="U41" s="90"/>
      <c r="V41" s="90"/>
      <c r="W41" s="90"/>
      <c r="X41" s="90"/>
      <c r="Y41" s="90"/>
      <c r="Z41" s="90"/>
      <c r="AA41" s="90"/>
      <c r="AB41" s="90"/>
      <c r="AC41" s="90"/>
      <c r="AD41" s="90"/>
      <c r="AE41" s="90"/>
    </row>
    <row r="42" spans="1:31">
      <c r="A42" s="19" t="s">
        <v>196</v>
      </c>
      <c r="B42" s="78" t="s">
        <v>1259</v>
      </c>
      <c r="C42" s="10">
        <v>20</v>
      </c>
      <c r="D42" s="10">
        <v>15</v>
      </c>
      <c r="E42" s="10">
        <v>22</v>
      </c>
      <c r="F42" s="10">
        <v>531</v>
      </c>
      <c r="G42" s="10">
        <v>52</v>
      </c>
      <c r="H42" s="10">
        <v>52</v>
      </c>
      <c r="I42" s="10">
        <v>3</v>
      </c>
      <c r="J42" s="10">
        <v>2</v>
      </c>
      <c r="K42" s="10">
        <v>6</v>
      </c>
      <c r="L42" s="78" t="s">
        <v>1621</v>
      </c>
      <c r="M42" s="78" t="s">
        <v>1623</v>
      </c>
      <c r="N42" s="78" t="s">
        <v>185</v>
      </c>
      <c r="O42" s="78" t="s">
        <v>1626</v>
      </c>
      <c r="P42" s="78" t="s">
        <v>1622</v>
      </c>
      <c r="Q42" s="78" t="s">
        <v>1624</v>
      </c>
      <c r="R42" s="78" t="s">
        <v>1625</v>
      </c>
      <c r="S42" s="78" t="s">
        <v>1712</v>
      </c>
      <c r="T42" s="90"/>
      <c r="U42" s="90"/>
      <c r="V42" s="90"/>
      <c r="W42" s="90" t="s">
        <v>1680</v>
      </c>
      <c r="X42" s="90"/>
      <c r="Y42" s="90"/>
      <c r="Z42" s="90"/>
      <c r="AA42" s="90">
        <v>480</v>
      </c>
      <c r="AB42" s="90"/>
      <c r="AC42" s="90"/>
      <c r="AD42" s="90"/>
      <c r="AE42" s="90">
        <v>12</v>
      </c>
    </row>
    <row r="43" spans="1:31">
      <c r="A43" s="19" t="s">
        <v>197</v>
      </c>
      <c r="B43" s="78" t="s">
        <v>1259</v>
      </c>
      <c r="C43" s="10">
        <v>18</v>
      </c>
      <c r="D43" s="10">
        <v>20</v>
      </c>
      <c r="E43" s="10">
        <v>27</v>
      </c>
      <c r="F43" s="10">
        <v>485</v>
      </c>
      <c r="G43" s="10">
        <v>52</v>
      </c>
      <c r="H43" s="10">
        <v>64</v>
      </c>
      <c r="I43" s="10">
        <v>3</v>
      </c>
      <c r="J43" s="10">
        <v>3</v>
      </c>
      <c r="K43" s="10">
        <v>8</v>
      </c>
      <c r="L43" s="78" t="s">
        <v>1627</v>
      </c>
      <c r="M43" s="78" t="s">
        <v>1629</v>
      </c>
      <c r="N43" s="78" t="s">
        <v>1631</v>
      </c>
      <c r="O43" s="78" t="s">
        <v>1633</v>
      </c>
      <c r="P43" s="78" t="s">
        <v>1628</v>
      </c>
      <c r="Q43" s="78" t="s">
        <v>1630</v>
      </c>
      <c r="R43" s="78" t="s">
        <v>1632</v>
      </c>
      <c r="S43" s="93" t="s">
        <v>1726</v>
      </c>
      <c r="T43" s="90"/>
      <c r="U43" s="90"/>
      <c r="V43" s="90"/>
      <c r="W43" s="90" t="s">
        <v>91</v>
      </c>
      <c r="X43" s="90"/>
      <c r="Y43" s="90"/>
      <c r="Z43" s="90"/>
      <c r="AA43" s="90">
        <v>20</v>
      </c>
      <c r="AB43" s="90"/>
      <c r="AC43" s="90"/>
      <c r="AD43" s="90"/>
      <c r="AE43" s="90">
        <v>0.5</v>
      </c>
    </row>
    <row r="44" spans="1:31">
      <c r="A44" s="5" t="s">
        <v>198</v>
      </c>
      <c r="B44" s="78" t="s">
        <v>1259</v>
      </c>
      <c r="C44" s="10">
        <v>19</v>
      </c>
      <c r="D44" s="10">
        <v>16</v>
      </c>
      <c r="E44" s="10">
        <v>20</v>
      </c>
      <c r="F44" s="10">
        <v>506</v>
      </c>
      <c r="G44" s="10">
        <v>49</v>
      </c>
      <c r="H44" s="10">
        <v>47</v>
      </c>
      <c r="I44" s="10">
        <v>3</v>
      </c>
      <c r="J44" s="10">
        <v>2</v>
      </c>
      <c r="K44" s="10">
        <v>6</v>
      </c>
      <c r="L44" s="78" t="s">
        <v>1634</v>
      </c>
      <c r="M44" s="78" t="s">
        <v>1636</v>
      </c>
      <c r="N44" s="78" t="s">
        <v>1638</v>
      </c>
      <c r="O44" s="78" t="s">
        <v>1640</v>
      </c>
      <c r="P44" s="78" t="s">
        <v>1635</v>
      </c>
      <c r="Q44" s="78" t="s">
        <v>1637</v>
      </c>
      <c r="R44" s="78" t="s">
        <v>1639</v>
      </c>
      <c r="S44" s="86" t="s">
        <v>1684</v>
      </c>
      <c r="T44" s="90"/>
      <c r="U44" s="90"/>
      <c r="V44" s="90"/>
      <c r="W44" s="90"/>
      <c r="X44" s="90"/>
      <c r="Y44" s="90"/>
      <c r="Z44" s="90"/>
      <c r="AA44" s="90"/>
      <c r="AB44" s="90"/>
      <c r="AC44" s="90"/>
      <c r="AD44" s="90"/>
      <c r="AE44" s="90"/>
    </row>
    <row r="45" spans="1:31">
      <c r="A45" s="19" t="s">
        <v>199</v>
      </c>
      <c r="B45" s="78" t="s">
        <v>1261</v>
      </c>
      <c r="C45" s="10">
        <v>16</v>
      </c>
      <c r="D45" s="10">
        <v>19</v>
      </c>
      <c r="E45" s="10">
        <v>16</v>
      </c>
      <c r="F45" s="10">
        <v>458</v>
      </c>
      <c r="G45" s="10">
        <v>52</v>
      </c>
      <c r="H45" s="10">
        <v>39</v>
      </c>
      <c r="I45" s="10">
        <v>4</v>
      </c>
      <c r="J45" s="10">
        <v>2</v>
      </c>
      <c r="K45" s="10">
        <v>8</v>
      </c>
      <c r="L45" s="78" t="s">
        <v>1641</v>
      </c>
      <c r="M45" s="78" t="s">
        <v>1643</v>
      </c>
      <c r="N45" s="78" t="s">
        <v>1645</v>
      </c>
      <c r="O45" s="78" t="s">
        <v>1647</v>
      </c>
      <c r="P45" s="78" t="s">
        <v>1642</v>
      </c>
      <c r="Q45" s="78" t="s">
        <v>1644</v>
      </c>
      <c r="R45" s="78" t="s">
        <v>1646</v>
      </c>
      <c r="S45" s="78" t="s">
        <v>1696</v>
      </c>
      <c r="T45" s="90"/>
      <c r="U45" s="90"/>
      <c r="V45" s="90"/>
      <c r="W45" s="90"/>
      <c r="X45" s="90"/>
      <c r="Y45" s="90"/>
      <c r="Z45" s="90"/>
      <c r="AA45" s="90"/>
      <c r="AB45" s="90"/>
      <c r="AC45" s="90"/>
      <c r="AD45" s="90"/>
      <c r="AE45" s="90"/>
    </row>
    <row r="46" spans="1:31">
      <c r="A46" s="19" t="s">
        <v>200</v>
      </c>
      <c r="B46" s="78" t="s">
        <v>1259</v>
      </c>
      <c r="C46" s="10">
        <v>18</v>
      </c>
      <c r="D46" s="10">
        <v>14</v>
      </c>
      <c r="E46" s="10">
        <v>29</v>
      </c>
      <c r="F46" s="10">
        <v>491</v>
      </c>
      <c r="G46" s="10">
        <v>55</v>
      </c>
      <c r="H46" s="10">
        <v>71</v>
      </c>
      <c r="I46" s="10">
        <v>5</v>
      </c>
      <c r="J46" s="10">
        <v>3</v>
      </c>
      <c r="K46" s="10">
        <v>5</v>
      </c>
      <c r="L46" s="78" t="s">
        <v>1648</v>
      </c>
      <c r="M46" s="78" t="s">
        <v>1650</v>
      </c>
      <c r="N46" s="78" t="s">
        <v>1652</v>
      </c>
      <c r="O46" s="78" t="s">
        <v>1654</v>
      </c>
      <c r="P46" s="78" t="s">
        <v>1649</v>
      </c>
      <c r="Q46" s="78" t="s">
        <v>1651</v>
      </c>
      <c r="R46" s="78" t="s">
        <v>1653</v>
      </c>
      <c r="S46" s="114" t="s">
        <v>2081</v>
      </c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</row>
    <row r="47" spans="1:31">
      <c r="A47" s="19" t="s">
        <v>201</v>
      </c>
      <c r="B47" s="78" t="s">
        <v>1259</v>
      </c>
      <c r="C47" s="10">
        <v>19</v>
      </c>
      <c r="D47" s="10">
        <v>11</v>
      </c>
      <c r="E47" s="10">
        <v>20</v>
      </c>
      <c r="F47" s="10">
        <v>511</v>
      </c>
      <c r="G47" s="10">
        <v>45</v>
      </c>
      <c r="H47" s="10">
        <v>48</v>
      </c>
      <c r="I47" s="10">
        <v>3</v>
      </c>
      <c r="J47" s="10">
        <v>2</v>
      </c>
      <c r="K47" s="10">
        <v>4</v>
      </c>
      <c r="L47" s="78" t="s">
        <v>1655</v>
      </c>
      <c r="M47" s="78" t="s">
        <v>1657</v>
      </c>
      <c r="N47" s="78" t="s">
        <v>1659</v>
      </c>
      <c r="O47" s="78" t="s">
        <v>1661</v>
      </c>
      <c r="P47" s="78" t="s">
        <v>1656</v>
      </c>
      <c r="Q47" s="78" t="s">
        <v>1658</v>
      </c>
      <c r="R47" s="78" t="s">
        <v>1660</v>
      </c>
      <c r="S47" s="78" t="s">
        <v>1713</v>
      </c>
      <c r="T47" s="90"/>
      <c r="U47" s="90"/>
      <c r="V47" s="90"/>
      <c r="W47" s="90" t="s">
        <v>47</v>
      </c>
      <c r="X47" s="90"/>
      <c r="Y47" s="90"/>
      <c r="Z47" s="90"/>
      <c r="AA47" s="90">
        <v>480</v>
      </c>
      <c r="AB47" s="90"/>
      <c r="AC47" s="90"/>
      <c r="AD47" s="90"/>
      <c r="AE47" s="90">
        <v>12</v>
      </c>
    </row>
    <row r="48" spans="1:31">
      <c r="A48" s="19" t="s">
        <v>1306</v>
      </c>
      <c r="B48" s="81" t="s">
        <v>1307</v>
      </c>
      <c r="C48" s="81">
        <v>22</v>
      </c>
      <c r="D48" s="81">
        <v>17</v>
      </c>
      <c r="E48" s="81">
        <v>13</v>
      </c>
      <c r="F48" s="81">
        <v>580</v>
      </c>
      <c r="G48" s="81">
        <v>51</v>
      </c>
      <c r="H48" s="81">
        <v>32</v>
      </c>
      <c r="I48" s="81">
        <v>4</v>
      </c>
      <c r="J48" s="81">
        <v>1</v>
      </c>
      <c r="K48" s="81">
        <v>7</v>
      </c>
      <c r="L48" s="81" t="s">
        <v>1750</v>
      </c>
      <c r="M48" s="81" t="s">
        <v>1752</v>
      </c>
      <c r="N48" s="81" t="s">
        <v>1754</v>
      </c>
      <c r="O48" s="81" t="s">
        <v>1756</v>
      </c>
      <c r="P48" s="81" t="s">
        <v>1751</v>
      </c>
      <c r="Q48" s="81" t="s">
        <v>1753</v>
      </c>
      <c r="R48" s="81" t="s">
        <v>1755</v>
      </c>
      <c r="S48" s="98" t="s">
        <v>1757</v>
      </c>
      <c r="T48" s="90"/>
      <c r="U48" s="90"/>
      <c r="V48" s="90"/>
      <c r="W48" s="90" t="s">
        <v>1683</v>
      </c>
      <c r="X48" s="90"/>
      <c r="Y48" s="90"/>
      <c r="Z48" s="90"/>
      <c r="AA48" s="90">
        <v>320</v>
      </c>
      <c r="AB48" s="90"/>
      <c r="AC48" s="90"/>
      <c r="AD48" s="90"/>
      <c r="AE48" s="90">
        <v>8</v>
      </c>
    </row>
    <row r="49" spans="1:37" s="29" customFormat="1">
      <c r="A49" s="19" t="s">
        <v>1747</v>
      </c>
      <c r="B49" s="113" t="s">
        <v>1261</v>
      </c>
      <c r="C49" s="98">
        <v>18</v>
      </c>
      <c r="D49" s="98">
        <v>24</v>
      </c>
      <c r="E49" s="98">
        <v>17</v>
      </c>
      <c r="F49" s="98">
        <v>485</v>
      </c>
      <c r="G49" s="98">
        <v>43</v>
      </c>
      <c r="H49" s="98">
        <v>40</v>
      </c>
      <c r="I49" s="98">
        <v>3</v>
      </c>
      <c r="J49" s="98">
        <v>2</v>
      </c>
      <c r="K49" s="98">
        <v>10</v>
      </c>
      <c r="L49" s="98" t="s">
        <v>1662</v>
      </c>
      <c r="M49" s="98" t="s">
        <v>1663</v>
      </c>
      <c r="N49" s="98" t="s">
        <v>1664</v>
      </c>
      <c r="O49" s="98" t="s">
        <v>1665</v>
      </c>
      <c r="P49" s="98" t="s">
        <v>2082</v>
      </c>
      <c r="Q49" s="98" t="s">
        <v>2083</v>
      </c>
      <c r="R49" s="114" t="s">
        <v>2085</v>
      </c>
      <c r="S49" s="114" t="s">
        <v>2084</v>
      </c>
      <c r="T49" s="88"/>
      <c r="U49" s="88"/>
      <c r="V49" s="137" t="s">
        <v>2086</v>
      </c>
      <c r="W49" s="137" t="s">
        <v>2087</v>
      </c>
      <c r="X49" s="88"/>
      <c r="Y49" s="88"/>
      <c r="Z49" s="88">
        <v>60</v>
      </c>
      <c r="AA49" s="88">
        <v>40</v>
      </c>
      <c r="AB49" s="88"/>
      <c r="AC49" s="88"/>
      <c r="AD49" s="88">
        <v>3</v>
      </c>
      <c r="AE49" s="88">
        <v>1</v>
      </c>
      <c r="AG49" s="91"/>
      <c r="AH49" s="91"/>
      <c r="AI49" s="91"/>
      <c r="AJ49" s="91"/>
      <c r="AK49" s="87"/>
    </row>
    <row r="50" spans="1:37">
      <c r="A50" s="113" t="s">
        <v>1815</v>
      </c>
      <c r="B50" s="113" t="s">
        <v>1258</v>
      </c>
      <c r="C50" s="113">
        <v>25</v>
      </c>
      <c r="D50" s="113">
        <v>13</v>
      </c>
      <c r="E50" s="113">
        <v>22</v>
      </c>
      <c r="F50" s="113">
        <v>649</v>
      </c>
      <c r="G50" s="113">
        <v>52</v>
      </c>
      <c r="H50" s="113">
        <v>52</v>
      </c>
      <c r="I50" s="113">
        <v>5</v>
      </c>
      <c r="J50" s="113">
        <v>2</v>
      </c>
      <c r="K50" s="113">
        <v>5</v>
      </c>
      <c r="L50" s="113" t="s">
        <v>1817</v>
      </c>
      <c r="M50" s="113" t="s">
        <v>1818</v>
      </c>
      <c r="N50" s="113" t="s">
        <v>1819</v>
      </c>
      <c r="O50" s="113" t="s">
        <v>1820</v>
      </c>
      <c r="P50" s="113" t="s">
        <v>1821</v>
      </c>
      <c r="Q50" s="114" t="s">
        <v>1822</v>
      </c>
      <c r="R50" s="113" t="s">
        <v>1823</v>
      </c>
      <c r="S50" s="114" t="s">
        <v>1858</v>
      </c>
      <c r="T50" s="113"/>
      <c r="U50" s="113"/>
      <c r="V50" s="113"/>
      <c r="W50" s="114" t="s">
        <v>1816</v>
      </c>
      <c r="X50" s="113"/>
      <c r="Y50" s="113"/>
      <c r="Z50" s="113"/>
      <c r="AA50" s="113">
        <v>120</v>
      </c>
      <c r="AB50" s="113"/>
      <c r="AC50" s="113"/>
      <c r="AD50" s="113"/>
      <c r="AE50" s="113">
        <v>3</v>
      </c>
    </row>
    <row r="51" spans="1:37">
      <c r="A51" s="136" t="s">
        <v>2013</v>
      </c>
      <c r="B51" s="136" t="s">
        <v>1259</v>
      </c>
      <c r="C51" s="136">
        <v>24</v>
      </c>
      <c r="D51" s="136">
        <v>21</v>
      </c>
      <c r="E51" s="136">
        <v>15</v>
      </c>
      <c r="F51" s="136">
        <v>612</v>
      </c>
      <c r="G51" s="136">
        <v>51</v>
      </c>
      <c r="H51" s="136">
        <v>36</v>
      </c>
      <c r="I51" s="136">
        <v>5</v>
      </c>
      <c r="J51" s="136">
        <v>2</v>
      </c>
      <c r="K51" s="136">
        <v>8</v>
      </c>
      <c r="L51" s="136" t="s">
        <v>2014</v>
      </c>
      <c r="M51" s="136" t="s">
        <v>2015</v>
      </c>
      <c r="N51" s="136" t="s">
        <v>2016</v>
      </c>
      <c r="O51" s="136" t="s">
        <v>2017</v>
      </c>
      <c r="P51" s="136" t="s">
        <v>2077</v>
      </c>
      <c r="Q51" s="114" t="s">
        <v>2078</v>
      </c>
      <c r="R51" s="136" t="s">
        <v>2079</v>
      </c>
      <c r="S51" s="114" t="s">
        <v>2080</v>
      </c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</row>
    <row r="52" spans="1:37">
      <c r="A52" s="114" t="s">
        <v>2130</v>
      </c>
      <c r="B52" s="189" t="s">
        <v>1259</v>
      </c>
      <c r="C52" s="189">
        <v>24</v>
      </c>
      <c r="D52" s="189">
        <v>17</v>
      </c>
      <c r="E52" s="189">
        <v>15</v>
      </c>
      <c r="F52" s="189">
        <v>604</v>
      </c>
      <c r="G52" s="189">
        <v>53</v>
      </c>
      <c r="H52" s="189">
        <v>35</v>
      </c>
      <c r="I52" s="189">
        <v>5</v>
      </c>
      <c r="J52" s="189">
        <v>1</v>
      </c>
      <c r="K52" s="189">
        <v>7</v>
      </c>
      <c r="L52" s="189" t="s">
        <v>2165</v>
      </c>
      <c r="M52" s="189" t="s">
        <v>2166</v>
      </c>
      <c r="N52" s="189" t="s">
        <v>2167</v>
      </c>
      <c r="O52" s="189" t="s">
        <v>2168</v>
      </c>
      <c r="P52" s="189" t="s">
        <v>2169</v>
      </c>
      <c r="Q52" s="114" t="s">
        <v>2170</v>
      </c>
      <c r="R52" s="189" t="s">
        <v>2171</v>
      </c>
      <c r="S52" s="114" t="s">
        <v>2172</v>
      </c>
      <c r="T52" s="90"/>
      <c r="U52" s="90"/>
      <c r="V52" s="90"/>
      <c r="W52" s="90"/>
      <c r="X52" s="90"/>
      <c r="Y52" s="90"/>
      <c r="Z52" s="90"/>
      <c r="AA52" s="90"/>
      <c r="AB52" s="90"/>
      <c r="AC52" s="90"/>
      <c r="AD52" s="90"/>
      <c r="AE52" s="90"/>
    </row>
  </sheetData>
  <sheetProtection password="8926" sheet="1" objects="1" scenarios="1" selectLockedCells="1" selectUnlockedCells="1"/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R52"/>
  <sheetViews>
    <sheetView zoomScale="85" zoomScaleNormal="85" workbookViewId="0">
      <pane xSplit="1" ySplit="1" topLeftCell="B32" activePane="bottomRight" state="frozen"/>
      <selection activeCell="S56" sqref="S56"/>
      <selection pane="topRight" activeCell="S56" sqref="S56"/>
      <selection pane="bottomLeft" activeCell="S56" sqref="S56"/>
      <selection pane="bottomRight" activeCell="S56" sqref="S56"/>
    </sheetView>
  </sheetViews>
  <sheetFormatPr defaultRowHeight="13.5" outlineLevelCol="1"/>
  <cols>
    <col min="1" max="2" width="9" style="1" hidden="1" customWidth="1" outlineLevel="1"/>
    <col min="3" max="17" width="9.75" style="1" hidden="1" customWidth="1" outlineLevel="1"/>
    <col min="18" max="18" width="12.75" style="1" customWidth="1" collapsed="1"/>
    <col min="19" max="16384" width="9" style="1"/>
  </cols>
  <sheetData>
    <row r="1" spans="1:17" s="29" customFormat="1">
      <c r="A1" s="22" t="s">
        <v>202</v>
      </c>
      <c r="B1" s="22" t="s">
        <v>203</v>
      </c>
      <c r="C1" s="30" t="s">
        <v>247</v>
      </c>
      <c r="D1" s="29" t="s">
        <v>248</v>
      </c>
      <c r="E1" s="31"/>
      <c r="F1" s="30" t="s">
        <v>249</v>
      </c>
      <c r="G1" s="29" t="s">
        <v>248</v>
      </c>
      <c r="H1" s="31"/>
      <c r="I1" s="30" t="s">
        <v>250</v>
      </c>
      <c r="J1" s="29" t="s">
        <v>248</v>
      </c>
      <c r="K1" s="31"/>
      <c r="L1" s="30" t="s">
        <v>251</v>
      </c>
      <c r="M1" s="29" t="s">
        <v>248</v>
      </c>
      <c r="N1" s="31"/>
      <c r="O1" s="30" t="s">
        <v>252</v>
      </c>
      <c r="P1" s="29" t="s">
        <v>248</v>
      </c>
      <c r="Q1" s="31"/>
    </row>
    <row r="2" spans="1:17" s="84" customFormat="1">
      <c r="A2" s="19" t="s">
        <v>157</v>
      </c>
      <c r="B2" s="19" t="s">
        <v>204</v>
      </c>
      <c r="C2" s="82">
        <v>3</v>
      </c>
      <c r="D2" s="82">
        <v>1.5</v>
      </c>
      <c r="E2" s="82">
        <v>1.7</v>
      </c>
      <c r="F2" s="82">
        <v>4.7</v>
      </c>
      <c r="G2" s="82">
        <v>2.4</v>
      </c>
      <c r="H2" s="82">
        <v>2.7</v>
      </c>
      <c r="I2" s="82">
        <v>6.4</v>
      </c>
      <c r="J2" s="82">
        <v>3.3</v>
      </c>
      <c r="K2" s="82">
        <v>3.7</v>
      </c>
      <c r="L2" s="82">
        <v>8.1</v>
      </c>
      <c r="M2" s="82">
        <v>4.2</v>
      </c>
      <c r="N2" s="82">
        <v>4.7</v>
      </c>
      <c r="O2" s="82">
        <v>9.8000000000000007</v>
      </c>
      <c r="P2" s="82">
        <v>5.0999999999999996</v>
      </c>
      <c r="Q2" s="82">
        <v>5.7</v>
      </c>
    </row>
    <row r="3" spans="1:17" s="84" customFormat="1">
      <c r="A3" s="19" t="s">
        <v>158</v>
      </c>
      <c r="B3" s="19" t="s">
        <v>204</v>
      </c>
      <c r="C3" s="82">
        <v>3.3</v>
      </c>
      <c r="D3" s="82">
        <v>1.3</v>
      </c>
      <c r="E3" s="82">
        <v>2.2000000000000002</v>
      </c>
      <c r="F3" s="82">
        <v>4.95</v>
      </c>
      <c r="G3" s="82">
        <v>1.95</v>
      </c>
      <c r="H3" s="82">
        <v>3.3</v>
      </c>
      <c r="I3" s="82">
        <v>6.6</v>
      </c>
      <c r="J3" s="82">
        <v>2.6</v>
      </c>
      <c r="K3" s="82">
        <v>4.5</v>
      </c>
      <c r="L3" s="82">
        <v>8.25</v>
      </c>
      <c r="M3" s="82">
        <v>3.25</v>
      </c>
      <c r="N3" s="82">
        <v>5.5</v>
      </c>
      <c r="O3" s="82">
        <v>9.9</v>
      </c>
      <c r="P3" s="82">
        <v>3.9</v>
      </c>
      <c r="Q3" s="82">
        <v>6.6</v>
      </c>
    </row>
    <row r="4" spans="1:17" s="84" customFormat="1">
      <c r="A4" s="19" t="s">
        <v>159</v>
      </c>
      <c r="B4" s="19" t="s">
        <v>204</v>
      </c>
      <c r="C4" s="82">
        <v>2.8</v>
      </c>
      <c r="D4" s="82">
        <v>1.9</v>
      </c>
      <c r="E4" s="82">
        <v>1.5</v>
      </c>
      <c r="F4" s="82">
        <v>4.2</v>
      </c>
      <c r="G4" s="82">
        <v>2.85</v>
      </c>
      <c r="H4" s="82">
        <v>2.25</v>
      </c>
      <c r="I4" s="82">
        <v>5.6</v>
      </c>
      <c r="J4" s="82">
        <v>3.8</v>
      </c>
      <c r="K4" s="82">
        <v>3</v>
      </c>
      <c r="L4" s="82">
        <v>7</v>
      </c>
      <c r="M4" s="82">
        <v>4.75</v>
      </c>
      <c r="N4" s="82">
        <v>3.75</v>
      </c>
      <c r="O4" s="82">
        <v>8.4</v>
      </c>
      <c r="P4" s="82">
        <v>5.7</v>
      </c>
      <c r="Q4" s="82">
        <v>4.5</v>
      </c>
    </row>
    <row r="5" spans="1:17" s="84" customFormat="1">
      <c r="A5" s="19" t="s">
        <v>160</v>
      </c>
      <c r="B5" s="19" t="s">
        <v>204</v>
      </c>
      <c r="C5" s="82">
        <v>3.2</v>
      </c>
      <c r="D5" s="82">
        <v>2</v>
      </c>
      <c r="E5" s="82">
        <v>1.4</v>
      </c>
      <c r="F5" s="82">
        <v>4.8</v>
      </c>
      <c r="G5" s="82">
        <v>3</v>
      </c>
      <c r="H5" s="82">
        <v>2.1</v>
      </c>
      <c r="I5" s="82">
        <v>6.4</v>
      </c>
      <c r="J5" s="82">
        <v>4</v>
      </c>
      <c r="K5" s="82">
        <v>2.8</v>
      </c>
      <c r="L5" s="82">
        <v>8</v>
      </c>
      <c r="M5" s="82">
        <v>5</v>
      </c>
      <c r="N5" s="82">
        <v>3.5</v>
      </c>
      <c r="O5" s="82">
        <v>9.6</v>
      </c>
      <c r="P5" s="82">
        <v>6</v>
      </c>
      <c r="Q5" s="82">
        <v>4.2</v>
      </c>
    </row>
    <row r="6" spans="1:17" s="84" customFormat="1">
      <c r="A6" s="19" t="s">
        <v>161</v>
      </c>
      <c r="B6" s="19" t="s">
        <v>204</v>
      </c>
      <c r="C6" s="82">
        <v>2.9</v>
      </c>
      <c r="D6" s="82">
        <v>1.7</v>
      </c>
      <c r="E6" s="82">
        <v>1.6</v>
      </c>
      <c r="F6" s="82">
        <v>4.3499999999999996</v>
      </c>
      <c r="G6" s="82">
        <v>2.5499999999999998</v>
      </c>
      <c r="H6" s="82">
        <v>2.4</v>
      </c>
      <c r="I6" s="82">
        <v>5.8</v>
      </c>
      <c r="J6" s="82">
        <v>3.4</v>
      </c>
      <c r="K6" s="82">
        <v>3.2</v>
      </c>
      <c r="L6" s="82">
        <v>7.25</v>
      </c>
      <c r="M6" s="82">
        <v>4.25</v>
      </c>
      <c r="N6" s="82">
        <v>4</v>
      </c>
      <c r="O6" s="82">
        <v>8.6999999999999993</v>
      </c>
      <c r="P6" s="82">
        <v>5.0999999999999996</v>
      </c>
      <c r="Q6" s="82">
        <v>4.8</v>
      </c>
    </row>
    <row r="7" spans="1:17" s="84" customFormat="1">
      <c r="A7" s="19" t="s">
        <v>162</v>
      </c>
      <c r="B7" s="19" t="s">
        <v>3</v>
      </c>
      <c r="C7" s="82">
        <v>2.7</v>
      </c>
      <c r="D7" s="82">
        <v>1.7</v>
      </c>
      <c r="E7" s="82">
        <v>1.8</v>
      </c>
      <c r="F7" s="82">
        <v>4.05</v>
      </c>
      <c r="G7" s="82">
        <v>2.5499999999999998</v>
      </c>
      <c r="H7" s="82">
        <v>2.7</v>
      </c>
      <c r="I7" s="82">
        <v>5.4</v>
      </c>
      <c r="J7" s="82">
        <v>3.4</v>
      </c>
      <c r="K7" s="82">
        <v>3.6</v>
      </c>
      <c r="L7" s="82">
        <v>6.75</v>
      </c>
      <c r="M7" s="82">
        <v>4.25</v>
      </c>
      <c r="N7" s="82">
        <v>4.5</v>
      </c>
      <c r="O7" s="82">
        <v>8.1</v>
      </c>
      <c r="P7" s="82">
        <v>5.0999999999999996</v>
      </c>
      <c r="Q7" s="82">
        <v>5.4</v>
      </c>
    </row>
    <row r="8" spans="1:17" s="84" customFormat="1">
      <c r="A8" s="19" t="s">
        <v>1260</v>
      </c>
      <c r="B8" s="19" t="s">
        <v>204</v>
      </c>
      <c r="C8" s="82">
        <v>2.8</v>
      </c>
      <c r="D8" s="82">
        <v>1.4</v>
      </c>
      <c r="E8" s="82">
        <v>1.5</v>
      </c>
      <c r="F8" s="82">
        <v>4.5</v>
      </c>
      <c r="G8" s="82">
        <v>2.1</v>
      </c>
      <c r="H8" s="82">
        <v>2.25</v>
      </c>
      <c r="I8" s="82">
        <v>6.2</v>
      </c>
      <c r="J8" s="82">
        <v>2.8</v>
      </c>
      <c r="K8" s="82">
        <v>3</v>
      </c>
      <c r="L8" s="82">
        <v>7.9</v>
      </c>
      <c r="M8" s="82">
        <v>3.5</v>
      </c>
      <c r="N8" s="82">
        <v>3.75</v>
      </c>
      <c r="O8" s="82">
        <v>9.6</v>
      </c>
      <c r="P8" s="82">
        <v>4.2</v>
      </c>
      <c r="Q8" s="82">
        <v>4.5</v>
      </c>
    </row>
    <row r="9" spans="1:17" s="84" customFormat="1">
      <c r="A9" s="19" t="s">
        <v>163</v>
      </c>
      <c r="B9" s="19" t="s">
        <v>204</v>
      </c>
      <c r="C9" s="82">
        <v>3</v>
      </c>
      <c r="D9" s="82">
        <v>1.4</v>
      </c>
      <c r="E9" s="82">
        <v>1.8</v>
      </c>
      <c r="F9" s="82">
        <v>4.5999999999999996</v>
      </c>
      <c r="G9" s="82">
        <v>2.1</v>
      </c>
      <c r="H9" s="82">
        <v>2.7</v>
      </c>
      <c r="I9" s="82">
        <v>6.2</v>
      </c>
      <c r="J9" s="82">
        <v>2.8</v>
      </c>
      <c r="K9" s="82">
        <v>3.6</v>
      </c>
      <c r="L9" s="82">
        <v>7.8</v>
      </c>
      <c r="M9" s="82">
        <v>3.5</v>
      </c>
      <c r="N9" s="82">
        <v>4.5</v>
      </c>
      <c r="O9" s="82">
        <v>9.4</v>
      </c>
      <c r="P9" s="82">
        <v>4.2</v>
      </c>
      <c r="Q9" s="82">
        <v>5.4</v>
      </c>
    </row>
    <row r="10" spans="1:17" s="84" customFormat="1">
      <c r="A10" s="19" t="s">
        <v>164</v>
      </c>
      <c r="B10" s="19" t="s">
        <v>204</v>
      </c>
      <c r="C10" s="82">
        <v>2.8</v>
      </c>
      <c r="D10" s="82">
        <v>1.5</v>
      </c>
      <c r="E10" s="82">
        <v>2</v>
      </c>
      <c r="F10" s="82">
        <v>4.2</v>
      </c>
      <c r="G10" s="82">
        <v>2.25</v>
      </c>
      <c r="H10" s="82">
        <v>3</v>
      </c>
      <c r="I10" s="82">
        <v>5.6</v>
      </c>
      <c r="J10" s="82">
        <v>3</v>
      </c>
      <c r="K10" s="82">
        <v>4</v>
      </c>
      <c r="L10" s="82">
        <v>7</v>
      </c>
      <c r="M10" s="82">
        <v>3.75</v>
      </c>
      <c r="N10" s="82">
        <v>5</v>
      </c>
      <c r="O10" s="82">
        <v>8.4</v>
      </c>
      <c r="P10" s="82">
        <v>4.5</v>
      </c>
      <c r="Q10" s="82">
        <v>6</v>
      </c>
    </row>
    <row r="11" spans="1:17" s="84" customFormat="1">
      <c r="A11" s="19" t="s">
        <v>165</v>
      </c>
      <c r="B11" s="19" t="s">
        <v>204</v>
      </c>
      <c r="C11" s="82">
        <v>3.3</v>
      </c>
      <c r="D11" s="82">
        <v>0.9</v>
      </c>
      <c r="E11" s="82">
        <v>2.2000000000000002</v>
      </c>
      <c r="F11" s="82">
        <v>4.95</v>
      </c>
      <c r="G11" s="82">
        <v>1.35</v>
      </c>
      <c r="H11" s="82">
        <v>3.3</v>
      </c>
      <c r="I11" s="82">
        <v>6.6</v>
      </c>
      <c r="J11" s="82">
        <v>1.8</v>
      </c>
      <c r="K11" s="82">
        <v>4.4000000000000004</v>
      </c>
      <c r="L11" s="82">
        <v>8.25</v>
      </c>
      <c r="M11" s="82">
        <v>2.25</v>
      </c>
      <c r="N11" s="82">
        <v>5.5</v>
      </c>
      <c r="O11" s="82">
        <v>9.9</v>
      </c>
      <c r="P11" s="82">
        <v>2.7</v>
      </c>
      <c r="Q11" s="82">
        <v>6.6</v>
      </c>
    </row>
    <row r="12" spans="1:17" s="84" customFormat="1">
      <c r="A12" s="19" t="s">
        <v>166</v>
      </c>
      <c r="B12" s="19" t="s">
        <v>204</v>
      </c>
      <c r="C12" s="82">
        <v>3.3</v>
      </c>
      <c r="D12" s="82">
        <v>2.8</v>
      </c>
      <c r="E12" s="82">
        <v>1</v>
      </c>
      <c r="F12" s="82">
        <v>4.95</v>
      </c>
      <c r="G12" s="82">
        <v>4.2</v>
      </c>
      <c r="H12" s="82">
        <v>1.5</v>
      </c>
      <c r="I12" s="82">
        <v>6.6</v>
      </c>
      <c r="J12" s="82">
        <v>5.6</v>
      </c>
      <c r="K12" s="82">
        <v>2</v>
      </c>
      <c r="L12" s="82">
        <v>8.25</v>
      </c>
      <c r="M12" s="82">
        <v>7</v>
      </c>
      <c r="N12" s="82">
        <v>2.5</v>
      </c>
      <c r="O12" s="82">
        <v>9.9</v>
      </c>
      <c r="P12" s="82">
        <v>8.4</v>
      </c>
      <c r="Q12" s="82">
        <v>3</v>
      </c>
    </row>
    <row r="13" spans="1:17" s="84" customFormat="1">
      <c r="A13" s="19" t="s">
        <v>167</v>
      </c>
      <c r="B13" s="19" t="s">
        <v>205</v>
      </c>
      <c r="C13" s="82">
        <v>1.9</v>
      </c>
      <c r="D13" s="82">
        <v>2.8</v>
      </c>
      <c r="E13" s="82">
        <v>1.7</v>
      </c>
      <c r="F13" s="82">
        <v>2.85</v>
      </c>
      <c r="G13" s="82">
        <v>4.2</v>
      </c>
      <c r="H13" s="82">
        <v>2.5499999999999998</v>
      </c>
      <c r="I13" s="82">
        <v>3.8</v>
      </c>
      <c r="J13" s="82">
        <v>5.6</v>
      </c>
      <c r="K13" s="82">
        <v>3.4</v>
      </c>
      <c r="L13" s="82">
        <v>4.75</v>
      </c>
      <c r="M13" s="82">
        <v>7</v>
      </c>
      <c r="N13" s="82">
        <v>4.25</v>
      </c>
      <c r="O13" s="82">
        <v>5.7</v>
      </c>
      <c r="P13" s="82">
        <v>8.4</v>
      </c>
      <c r="Q13" s="82">
        <v>5.0999999999999996</v>
      </c>
    </row>
    <row r="14" spans="1:17" s="84" customFormat="1">
      <c r="A14" s="19" t="s">
        <v>168</v>
      </c>
      <c r="B14" s="19" t="s">
        <v>205</v>
      </c>
      <c r="C14" s="82">
        <v>2.4</v>
      </c>
      <c r="D14" s="82">
        <v>2.4</v>
      </c>
      <c r="E14" s="82">
        <v>1.8</v>
      </c>
      <c r="F14" s="82">
        <v>3.6</v>
      </c>
      <c r="G14" s="82">
        <v>3.6</v>
      </c>
      <c r="H14" s="82">
        <v>2.7</v>
      </c>
      <c r="I14" s="82">
        <v>4.8</v>
      </c>
      <c r="J14" s="82">
        <v>4.8</v>
      </c>
      <c r="K14" s="82">
        <v>3.6</v>
      </c>
      <c r="L14" s="82">
        <v>6</v>
      </c>
      <c r="M14" s="82">
        <v>6</v>
      </c>
      <c r="N14" s="82">
        <v>4.5</v>
      </c>
      <c r="O14" s="82">
        <v>7.2</v>
      </c>
      <c r="P14" s="82">
        <v>7.2</v>
      </c>
      <c r="Q14" s="82">
        <v>5.4</v>
      </c>
    </row>
    <row r="15" spans="1:17" s="84" customFormat="1">
      <c r="A15" s="19" t="s">
        <v>169</v>
      </c>
      <c r="B15" s="19" t="s">
        <v>205</v>
      </c>
      <c r="C15" s="82">
        <v>1.2</v>
      </c>
      <c r="D15" s="82">
        <v>2.8</v>
      </c>
      <c r="E15" s="82">
        <v>1.8</v>
      </c>
      <c r="F15" s="82">
        <v>1.8</v>
      </c>
      <c r="G15" s="82">
        <v>4.2</v>
      </c>
      <c r="H15" s="82">
        <v>2.7</v>
      </c>
      <c r="I15" s="82">
        <v>2.4</v>
      </c>
      <c r="J15" s="82">
        <v>5.6</v>
      </c>
      <c r="K15" s="82">
        <v>3.6</v>
      </c>
      <c r="L15" s="82">
        <v>3</v>
      </c>
      <c r="M15" s="82">
        <v>7</v>
      </c>
      <c r="N15" s="82">
        <v>4.5</v>
      </c>
      <c r="O15" s="82">
        <v>3.6</v>
      </c>
      <c r="P15" s="82">
        <v>8.4</v>
      </c>
      <c r="Q15" s="82">
        <v>5.4</v>
      </c>
    </row>
    <row r="16" spans="1:17" s="84" customFormat="1">
      <c r="A16" s="19" t="s">
        <v>170</v>
      </c>
      <c r="B16" s="19" t="s">
        <v>205</v>
      </c>
      <c r="C16" s="82">
        <v>1.9</v>
      </c>
      <c r="D16" s="82">
        <v>2.5</v>
      </c>
      <c r="E16" s="82">
        <v>1.8</v>
      </c>
      <c r="F16" s="82">
        <v>2.85</v>
      </c>
      <c r="G16" s="82">
        <v>4.0999999999999996</v>
      </c>
      <c r="H16" s="82">
        <v>2.7</v>
      </c>
      <c r="I16" s="82">
        <v>3.8</v>
      </c>
      <c r="J16" s="82">
        <v>5.7</v>
      </c>
      <c r="K16" s="82">
        <v>3.6</v>
      </c>
      <c r="L16" s="82">
        <v>4.75</v>
      </c>
      <c r="M16" s="82">
        <v>7.3</v>
      </c>
      <c r="N16" s="82">
        <v>4.5</v>
      </c>
      <c r="O16" s="82">
        <v>5.7</v>
      </c>
      <c r="P16" s="82">
        <v>8.9</v>
      </c>
      <c r="Q16" s="82">
        <v>5.4</v>
      </c>
    </row>
    <row r="17" spans="1:17" s="84" customFormat="1">
      <c r="A17" s="19" t="s">
        <v>171</v>
      </c>
      <c r="B17" s="19" t="s">
        <v>205</v>
      </c>
      <c r="C17" s="82">
        <v>1.8</v>
      </c>
      <c r="D17" s="82">
        <v>2.8</v>
      </c>
      <c r="E17" s="82">
        <v>2.1</v>
      </c>
      <c r="F17" s="82">
        <v>2.7</v>
      </c>
      <c r="G17" s="82">
        <v>4.2</v>
      </c>
      <c r="H17" s="82">
        <v>3.15</v>
      </c>
      <c r="I17" s="82">
        <v>3.6</v>
      </c>
      <c r="J17" s="82">
        <v>5.6</v>
      </c>
      <c r="K17" s="82">
        <v>4.2</v>
      </c>
      <c r="L17" s="82">
        <v>4.5</v>
      </c>
      <c r="M17" s="82">
        <v>7</v>
      </c>
      <c r="N17" s="82">
        <v>5.25</v>
      </c>
      <c r="O17" s="82">
        <v>5.4</v>
      </c>
      <c r="P17" s="82">
        <v>8.4</v>
      </c>
      <c r="Q17" s="82">
        <v>6.3</v>
      </c>
    </row>
    <row r="18" spans="1:17" s="84" customFormat="1">
      <c r="A18" s="19" t="s">
        <v>172</v>
      </c>
      <c r="B18" s="19" t="s">
        <v>205</v>
      </c>
      <c r="C18" s="82">
        <v>2.6</v>
      </c>
      <c r="D18" s="82">
        <v>2.8</v>
      </c>
      <c r="E18" s="82">
        <v>1.8</v>
      </c>
      <c r="F18" s="82">
        <v>3.9</v>
      </c>
      <c r="G18" s="82">
        <v>4.2</v>
      </c>
      <c r="H18" s="82">
        <v>2.7</v>
      </c>
      <c r="I18" s="82">
        <v>5.2</v>
      </c>
      <c r="J18" s="82">
        <v>5.6</v>
      </c>
      <c r="K18" s="82">
        <v>3.6</v>
      </c>
      <c r="L18" s="82">
        <v>6.5</v>
      </c>
      <c r="M18" s="82">
        <v>7</v>
      </c>
      <c r="N18" s="82">
        <v>4.5</v>
      </c>
      <c r="O18" s="82">
        <v>7.8</v>
      </c>
      <c r="P18" s="82">
        <v>8.4</v>
      </c>
      <c r="Q18" s="82">
        <v>5.4</v>
      </c>
    </row>
    <row r="19" spans="1:17" s="84" customFormat="1">
      <c r="A19" s="19" t="s">
        <v>173</v>
      </c>
      <c r="B19" s="19" t="s">
        <v>205</v>
      </c>
      <c r="C19" s="82">
        <v>1.6</v>
      </c>
      <c r="D19" s="82">
        <v>2.8</v>
      </c>
      <c r="E19" s="82">
        <v>1.6</v>
      </c>
      <c r="F19" s="82">
        <v>2.4</v>
      </c>
      <c r="G19" s="82">
        <v>4.2</v>
      </c>
      <c r="H19" s="82">
        <v>2.4</v>
      </c>
      <c r="I19" s="82">
        <v>3.2</v>
      </c>
      <c r="J19" s="82">
        <v>5.6</v>
      </c>
      <c r="K19" s="82">
        <v>3.2</v>
      </c>
      <c r="L19" s="82">
        <v>4</v>
      </c>
      <c r="M19" s="82">
        <v>7</v>
      </c>
      <c r="N19" s="82">
        <v>4</v>
      </c>
      <c r="O19" s="82">
        <v>4.8</v>
      </c>
      <c r="P19" s="82">
        <v>8.4</v>
      </c>
      <c r="Q19" s="82">
        <v>4.8</v>
      </c>
    </row>
    <row r="20" spans="1:17" s="84" customFormat="1">
      <c r="A20" s="19" t="s">
        <v>174</v>
      </c>
      <c r="B20" s="19" t="s">
        <v>205</v>
      </c>
      <c r="C20" s="82">
        <v>1.7</v>
      </c>
      <c r="D20" s="82">
        <v>2.9</v>
      </c>
      <c r="E20" s="82">
        <v>2.1</v>
      </c>
      <c r="F20" s="82">
        <v>2.5499999999999998</v>
      </c>
      <c r="G20" s="82">
        <v>4.3499999999999996</v>
      </c>
      <c r="H20" s="82">
        <v>3.15</v>
      </c>
      <c r="I20" s="82">
        <v>3.4</v>
      </c>
      <c r="J20" s="82">
        <v>5.8</v>
      </c>
      <c r="K20" s="82">
        <v>4.2</v>
      </c>
      <c r="L20" s="82">
        <v>4.25</v>
      </c>
      <c r="M20" s="82">
        <v>7.25</v>
      </c>
      <c r="N20" s="82">
        <v>5.25</v>
      </c>
      <c r="O20" s="82">
        <v>5.0999999999999996</v>
      </c>
      <c r="P20" s="82">
        <v>8.6999999999999993</v>
      </c>
      <c r="Q20" s="82">
        <v>6.3</v>
      </c>
    </row>
    <row r="21" spans="1:17">
      <c r="A21" s="19" t="s">
        <v>175</v>
      </c>
      <c r="B21" s="3" t="s">
        <v>205</v>
      </c>
      <c r="C21" s="82">
        <v>1.9</v>
      </c>
      <c r="D21" s="82">
        <v>3.2</v>
      </c>
      <c r="E21" s="82">
        <v>1.4</v>
      </c>
      <c r="F21" s="82">
        <v>3</v>
      </c>
      <c r="G21" s="82">
        <v>4.8</v>
      </c>
      <c r="H21" s="82">
        <v>2.1</v>
      </c>
      <c r="I21" s="82">
        <v>4.0999999999999996</v>
      </c>
      <c r="J21" s="82">
        <v>6.4</v>
      </c>
      <c r="K21" s="82">
        <v>2.8</v>
      </c>
      <c r="L21" s="82">
        <v>5.2</v>
      </c>
      <c r="M21" s="82">
        <v>8</v>
      </c>
      <c r="N21" s="82">
        <v>3.5</v>
      </c>
      <c r="O21" s="82">
        <v>6.3</v>
      </c>
      <c r="P21" s="82">
        <v>9.6</v>
      </c>
      <c r="Q21" s="82">
        <v>4.2</v>
      </c>
    </row>
    <row r="22" spans="1:17" s="84" customFormat="1">
      <c r="A22" s="19" t="s">
        <v>176</v>
      </c>
      <c r="B22" s="19" t="s">
        <v>205</v>
      </c>
      <c r="C22" s="82">
        <v>2.2000000000000002</v>
      </c>
      <c r="D22" s="82">
        <v>2.8</v>
      </c>
      <c r="E22" s="82">
        <v>1</v>
      </c>
      <c r="F22" s="82">
        <v>3.3</v>
      </c>
      <c r="G22" s="82">
        <v>4.2</v>
      </c>
      <c r="H22" s="82">
        <v>1.5</v>
      </c>
      <c r="I22" s="82">
        <v>4.4000000000000004</v>
      </c>
      <c r="J22" s="82">
        <v>5.6</v>
      </c>
      <c r="K22" s="82">
        <v>2</v>
      </c>
      <c r="L22" s="82">
        <v>5.5</v>
      </c>
      <c r="M22" s="82">
        <v>7</v>
      </c>
      <c r="N22" s="82">
        <v>2.5</v>
      </c>
      <c r="O22" s="82">
        <v>6.6</v>
      </c>
      <c r="P22" s="82">
        <v>8.4</v>
      </c>
      <c r="Q22" s="82">
        <v>3</v>
      </c>
    </row>
    <row r="23" spans="1:17" s="84" customFormat="1">
      <c r="A23" s="19" t="s">
        <v>177</v>
      </c>
      <c r="B23" s="19" t="s">
        <v>205</v>
      </c>
      <c r="C23" s="82">
        <v>3.1</v>
      </c>
      <c r="D23" s="82">
        <v>2.2999999999999998</v>
      </c>
      <c r="E23" s="82">
        <v>1.3</v>
      </c>
      <c r="F23" s="82">
        <v>4.7</v>
      </c>
      <c r="G23" s="82">
        <v>3.7</v>
      </c>
      <c r="H23" s="82">
        <v>1.7</v>
      </c>
      <c r="I23" s="82">
        <v>6.3</v>
      </c>
      <c r="J23" s="82">
        <v>5.0999999999999996</v>
      </c>
      <c r="K23" s="82">
        <v>2.1</v>
      </c>
      <c r="L23" s="82">
        <v>7.9</v>
      </c>
      <c r="M23" s="82">
        <v>6.5</v>
      </c>
      <c r="N23" s="82">
        <v>2.5</v>
      </c>
      <c r="O23" s="82">
        <v>9.5</v>
      </c>
      <c r="P23" s="82">
        <v>7.9</v>
      </c>
      <c r="Q23" s="82">
        <v>2.9</v>
      </c>
    </row>
    <row r="24" spans="1:17" s="84" customFormat="1">
      <c r="A24" s="19" t="s">
        <v>178</v>
      </c>
      <c r="B24" s="19" t="s">
        <v>205</v>
      </c>
      <c r="C24" s="82">
        <v>1.7</v>
      </c>
      <c r="D24" s="82">
        <v>2.8</v>
      </c>
      <c r="E24" s="82">
        <v>1.8</v>
      </c>
      <c r="F24" s="82">
        <v>2.5499999999999998</v>
      </c>
      <c r="G24" s="82">
        <v>4.5</v>
      </c>
      <c r="H24" s="82">
        <v>2.7</v>
      </c>
      <c r="I24" s="82">
        <v>3.4</v>
      </c>
      <c r="J24" s="82">
        <v>6.2</v>
      </c>
      <c r="K24" s="82">
        <v>3.6</v>
      </c>
      <c r="L24" s="82">
        <v>4.25</v>
      </c>
      <c r="M24" s="82">
        <v>7.9</v>
      </c>
      <c r="N24" s="82">
        <v>4.5</v>
      </c>
      <c r="O24" s="82">
        <v>5.0999999999999996</v>
      </c>
      <c r="P24" s="82">
        <v>9.6</v>
      </c>
      <c r="Q24" s="82">
        <v>5.4</v>
      </c>
    </row>
    <row r="25" spans="1:17" s="84" customFormat="1">
      <c r="A25" s="19" t="s">
        <v>179</v>
      </c>
      <c r="B25" s="19" t="s">
        <v>205</v>
      </c>
      <c r="C25" s="82">
        <v>2</v>
      </c>
      <c r="D25" s="82">
        <v>2.4</v>
      </c>
      <c r="E25" s="82">
        <v>1.9</v>
      </c>
      <c r="F25" s="82">
        <v>3</v>
      </c>
      <c r="G25" s="82">
        <v>3.6</v>
      </c>
      <c r="H25" s="82">
        <v>2.85</v>
      </c>
      <c r="I25" s="82">
        <v>4</v>
      </c>
      <c r="J25" s="82">
        <v>4.8</v>
      </c>
      <c r="K25" s="82">
        <v>3.8</v>
      </c>
      <c r="L25" s="82">
        <v>5</v>
      </c>
      <c r="M25" s="82">
        <v>6</v>
      </c>
      <c r="N25" s="82">
        <v>4.75</v>
      </c>
      <c r="O25" s="82">
        <v>6</v>
      </c>
      <c r="P25" s="82">
        <v>7.2</v>
      </c>
      <c r="Q25" s="82">
        <v>5.7</v>
      </c>
    </row>
    <row r="26" spans="1:17" s="84" customFormat="1">
      <c r="A26" s="19" t="s">
        <v>180</v>
      </c>
      <c r="B26" s="19" t="s">
        <v>205</v>
      </c>
      <c r="C26" s="82">
        <v>2.2999999999999998</v>
      </c>
      <c r="D26" s="82">
        <v>2.8</v>
      </c>
      <c r="E26" s="82">
        <v>1.9</v>
      </c>
      <c r="F26" s="82">
        <v>3.75</v>
      </c>
      <c r="G26" s="82">
        <v>4.2</v>
      </c>
      <c r="H26" s="82">
        <v>2.85</v>
      </c>
      <c r="I26" s="82">
        <v>5.2</v>
      </c>
      <c r="J26" s="82">
        <v>5.6</v>
      </c>
      <c r="K26" s="82">
        <v>3.8</v>
      </c>
      <c r="L26" s="82">
        <v>6.65</v>
      </c>
      <c r="M26" s="82">
        <v>7</v>
      </c>
      <c r="N26" s="82">
        <v>4.75</v>
      </c>
      <c r="O26" s="82">
        <v>8.1</v>
      </c>
      <c r="P26" s="82">
        <v>8.4</v>
      </c>
      <c r="Q26" s="82">
        <v>5.7</v>
      </c>
    </row>
    <row r="27" spans="1:17" s="84" customFormat="1">
      <c r="A27" s="19" t="s">
        <v>181</v>
      </c>
      <c r="B27" s="19" t="s">
        <v>205</v>
      </c>
      <c r="C27" s="82">
        <v>2</v>
      </c>
      <c r="D27" s="82">
        <v>2.6</v>
      </c>
      <c r="E27" s="82">
        <v>1.7</v>
      </c>
      <c r="F27" s="82">
        <v>3</v>
      </c>
      <c r="G27" s="82">
        <v>4.2</v>
      </c>
      <c r="H27" s="82">
        <v>2.7</v>
      </c>
      <c r="I27" s="82">
        <v>4</v>
      </c>
      <c r="J27" s="82">
        <v>5.8</v>
      </c>
      <c r="K27" s="82">
        <v>3.7</v>
      </c>
      <c r="L27" s="82">
        <v>5</v>
      </c>
      <c r="M27" s="82">
        <v>7.4</v>
      </c>
      <c r="N27" s="82">
        <v>4.7</v>
      </c>
      <c r="O27" s="82">
        <v>6</v>
      </c>
      <c r="P27" s="82">
        <v>9</v>
      </c>
      <c r="Q27" s="82">
        <v>5.7</v>
      </c>
    </row>
    <row r="28" spans="1:17">
      <c r="A28" s="3" t="s">
        <v>182</v>
      </c>
      <c r="B28" s="3" t="s">
        <v>205</v>
      </c>
      <c r="C28" s="82">
        <v>1.9</v>
      </c>
      <c r="D28" s="82">
        <v>2.8</v>
      </c>
      <c r="E28" s="82">
        <v>1.9</v>
      </c>
      <c r="F28" s="82">
        <v>2.85</v>
      </c>
      <c r="G28" s="82">
        <v>4.55</v>
      </c>
      <c r="H28" s="82">
        <v>2.9</v>
      </c>
      <c r="I28" s="82">
        <v>3.8</v>
      </c>
      <c r="J28" s="82">
        <v>6.3</v>
      </c>
      <c r="K28" s="82">
        <v>3.9</v>
      </c>
      <c r="L28" s="82">
        <v>4.75</v>
      </c>
      <c r="M28" s="82">
        <v>8.0500000000000007</v>
      </c>
      <c r="N28" s="82">
        <v>4.9000000000000004</v>
      </c>
      <c r="O28" s="82">
        <v>5.7</v>
      </c>
      <c r="P28" s="82">
        <v>9.8000000000000007</v>
      </c>
      <c r="Q28" s="82">
        <v>5.9</v>
      </c>
    </row>
    <row r="29" spans="1:17" s="84" customFormat="1">
      <c r="A29" s="19" t="s">
        <v>183</v>
      </c>
      <c r="B29" s="19" t="s">
        <v>206</v>
      </c>
      <c r="C29" s="82">
        <v>1.7</v>
      </c>
      <c r="D29" s="82">
        <v>1.7</v>
      </c>
      <c r="E29" s="82">
        <v>2.9</v>
      </c>
      <c r="F29" s="82">
        <v>2.5499999999999998</v>
      </c>
      <c r="G29" s="82">
        <v>2.5499999999999998</v>
      </c>
      <c r="H29" s="82">
        <v>4.3499999999999996</v>
      </c>
      <c r="I29" s="82">
        <v>3.4</v>
      </c>
      <c r="J29" s="82">
        <v>3.4</v>
      </c>
      <c r="K29" s="82">
        <v>5.8</v>
      </c>
      <c r="L29" s="82">
        <v>4.25</v>
      </c>
      <c r="M29" s="82">
        <v>4.25</v>
      </c>
      <c r="N29" s="82">
        <v>7.25</v>
      </c>
      <c r="O29" s="82">
        <v>5.0999999999999996</v>
      </c>
      <c r="P29" s="82">
        <v>5.0999999999999996</v>
      </c>
      <c r="Q29" s="82">
        <v>8.6999999999999993</v>
      </c>
    </row>
    <row r="30" spans="1:17" s="84" customFormat="1">
      <c r="A30" s="19" t="s">
        <v>184</v>
      </c>
      <c r="B30" s="19" t="s">
        <v>206</v>
      </c>
      <c r="C30" s="82">
        <v>1.7</v>
      </c>
      <c r="D30" s="82">
        <v>1.6</v>
      </c>
      <c r="E30" s="82">
        <v>2.9</v>
      </c>
      <c r="F30" s="82">
        <v>2.5499999999999998</v>
      </c>
      <c r="G30" s="82">
        <v>2.5</v>
      </c>
      <c r="H30" s="82">
        <v>4.2</v>
      </c>
      <c r="I30" s="82">
        <v>3.4</v>
      </c>
      <c r="J30" s="82">
        <v>3.4</v>
      </c>
      <c r="K30" s="82">
        <v>5.5</v>
      </c>
      <c r="L30" s="82">
        <v>4.25</v>
      </c>
      <c r="M30" s="82">
        <v>4.3</v>
      </c>
      <c r="N30" s="82">
        <v>6.8</v>
      </c>
      <c r="O30" s="82">
        <v>5.0999999999999996</v>
      </c>
      <c r="P30" s="82">
        <v>5.2</v>
      </c>
      <c r="Q30" s="82">
        <v>8.1</v>
      </c>
    </row>
    <row r="31" spans="1:17" s="84" customFormat="1">
      <c r="A31" s="19" t="s">
        <v>185</v>
      </c>
      <c r="B31" s="19" t="s">
        <v>206</v>
      </c>
      <c r="C31" s="82">
        <v>2.6</v>
      </c>
      <c r="D31" s="82">
        <v>2</v>
      </c>
      <c r="E31" s="82">
        <v>2.2999999999999998</v>
      </c>
      <c r="F31" s="82">
        <v>3.9</v>
      </c>
      <c r="G31" s="82">
        <v>3</v>
      </c>
      <c r="H31" s="82">
        <v>3.6</v>
      </c>
      <c r="I31" s="82">
        <v>5.2</v>
      </c>
      <c r="J31" s="82">
        <v>4</v>
      </c>
      <c r="K31" s="82">
        <v>4.9000000000000004</v>
      </c>
      <c r="L31" s="82">
        <v>6.5</v>
      </c>
      <c r="M31" s="82">
        <v>5</v>
      </c>
      <c r="N31" s="82">
        <v>6.2</v>
      </c>
      <c r="O31" s="82">
        <v>7.8</v>
      </c>
      <c r="P31" s="82">
        <v>6</v>
      </c>
      <c r="Q31" s="82">
        <v>7.5</v>
      </c>
    </row>
    <row r="32" spans="1:17" s="84" customFormat="1">
      <c r="A32" s="19" t="s">
        <v>186</v>
      </c>
      <c r="B32" s="19" t="s">
        <v>206</v>
      </c>
      <c r="C32" s="82">
        <v>1.7</v>
      </c>
      <c r="D32" s="82">
        <v>1.5</v>
      </c>
      <c r="E32" s="82">
        <v>3</v>
      </c>
      <c r="F32" s="82">
        <v>2.75</v>
      </c>
      <c r="G32" s="82">
        <v>2.25</v>
      </c>
      <c r="H32" s="82">
        <v>4.7</v>
      </c>
      <c r="I32" s="82">
        <v>3.8</v>
      </c>
      <c r="J32" s="82">
        <v>3</v>
      </c>
      <c r="K32" s="82">
        <v>6.4</v>
      </c>
      <c r="L32" s="82">
        <v>4.8499999999999996</v>
      </c>
      <c r="M32" s="82">
        <v>3.75</v>
      </c>
      <c r="N32" s="82">
        <v>8.1</v>
      </c>
      <c r="O32" s="82">
        <v>5.9</v>
      </c>
      <c r="P32" s="82">
        <v>4.5</v>
      </c>
      <c r="Q32" s="82">
        <v>9.8000000000000007</v>
      </c>
    </row>
    <row r="33" spans="1:17">
      <c r="A33" s="3" t="s">
        <v>187</v>
      </c>
      <c r="B33" s="3" t="s">
        <v>206</v>
      </c>
      <c r="C33" s="82">
        <v>2.5</v>
      </c>
      <c r="D33" s="82">
        <v>1.6</v>
      </c>
      <c r="E33" s="82">
        <v>2.9</v>
      </c>
      <c r="F33" s="82">
        <v>3.75</v>
      </c>
      <c r="G33" s="82">
        <v>2.4</v>
      </c>
      <c r="H33" s="82">
        <v>4.3499999999999996</v>
      </c>
      <c r="I33" s="82">
        <v>5</v>
      </c>
      <c r="J33" s="82">
        <v>3.2</v>
      </c>
      <c r="K33" s="82">
        <v>5.8</v>
      </c>
      <c r="L33" s="82">
        <v>6.25</v>
      </c>
      <c r="M33" s="82">
        <v>4</v>
      </c>
      <c r="N33" s="82">
        <v>7.25</v>
      </c>
      <c r="O33" s="82">
        <v>7.5</v>
      </c>
      <c r="P33" s="82">
        <v>4.8</v>
      </c>
      <c r="Q33" s="82">
        <v>8.6999999999999993</v>
      </c>
    </row>
    <row r="34" spans="1:17" s="84" customFormat="1">
      <c r="A34" s="19" t="s">
        <v>188</v>
      </c>
      <c r="B34" s="19" t="s">
        <v>206</v>
      </c>
      <c r="C34" s="82">
        <v>1.2</v>
      </c>
      <c r="D34" s="82">
        <v>1</v>
      </c>
      <c r="E34" s="82">
        <v>4</v>
      </c>
      <c r="F34" s="82">
        <v>1.8</v>
      </c>
      <c r="G34" s="82">
        <v>1.5</v>
      </c>
      <c r="H34" s="82">
        <v>5.4</v>
      </c>
      <c r="I34" s="82">
        <v>2.4</v>
      </c>
      <c r="J34" s="82">
        <v>2</v>
      </c>
      <c r="K34" s="82">
        <v>6.8</v>
      </c>
      <c r="L34" s="82">
        <v>3</v>
      </c>
      <c r="M34" s="82">
        <v>2.5</v>
      </c>
      <c r="N34" s="82">
        <v>8.1999999999999993</v>
      </c>
      <c r="O34" s="82">
        <v>3.6</v>
      </c>
      <c r="P34" s="82">
        <v>3</v>
      </c>
      <c r="Q34" s="82">
        <v>9.6</v>
      </c>
    </row>
    <row r="35" spans="1:17" s="84" customFormat="1">
      <c r="A35" s="19" t="s">
        <v>189</v>
      </c>
      <c r="B35" s="19" t="s">
        <v>206</v>
      </c>
      <c r="C35" s="82">
        <v>1.8</v>
      </c>
      <c r="D35" s="82">
        <v>1.6</v>
      </c>
      <c r="E35" s="82">
        <v>2.8</v>
      </c>
      <c r="F35" s="82">
        <v>2.7</v>
      </c>
      <c r="G35" s="82">
        <v>2.4</v>
      </c>
      <c r="H35" s="82">
        <v>4.2</v>
      </c>
      <c r="I35" s="82">
        <v>3.6</v>
      </c>
      <c r="J35" s="82">
        <v>3.2</v>
      </c>
      <c r="K35" s="82">
        <v>5.6</v>
      </c>
      <c r="L35" s="82">
        <v>4.5</v>
      </c>
      <c r="M35" s="82">
        <v>4</v>
      </c>
      <c r="N35" s="82">
        <v>7</v>
      </c>
      <c r="O35" s="82">
        <v>5.4</v>
      </c>
      <c r="P35" s="82">
        <v>4.8</v>
      </c>
      <c r="Q35" s="82">
        <v>8.4</v>
      </c>
    </row>
    <row r="36" spans="1:17">
      <c r="A36" s="3" t="s">
        <v>190</v>
      </c>
      <c r="B36" s="3" t="s">
        <v>206</v>
      </c>
      <c r="C36" s="82">
        <v>1.6</v>
      </c>
      <c r="D36" s="82">
        <v>1.7</v>
      </c>
      <c r="E36" s="82">
        <v>3</v>
      </c>
      <c r="F36" s="82">
        <v>2.4</v>
      </c>
      <c r="G36" s="82">
        <v>2.25</v>
      </c>
      <c r="H36" s="82">
        <v>4.5</v>
      </c>
      <c r="I36" s="82">
        <v>3.2</v>
      </c>
      <c r="J36" s="82">
        <v>3.4</v>
      </c>
      <c r="K36" s="82">
        <v>6</v>
      </c>
      <c r="L36" s="82">
        <v>4</v>
      </c>
      <c r="M36" s="82">
        <v>4.25</v>
      </c>
      <c r="N36" s="82">
        <v>7.5</v>
      </c>
      <c r="O36" s="82">
        <v>4.8</v>
      </c>
      <c r="P36" s="82">
        <v>5.0999999999999996</v>
      </c>
      <c r="Q36" s="82">
        <v>9</v>
      </c>
    </row>
    <row r="37" spans="1:17" s="84" customFormat="1">
      <c r="A37" s="19" t="s">
        <v>191</v>
      </c>
      <c r="B37" s="19" t="s">
        <v>206</v>
      </c>
      <c r="C37" s="82">
        <v>1.5</v>
      </c>
      <c r="D37" s="82">
        <v>1.5</v>
      </c>
      <c r="E37" s="82">
        <v>3.2</v>
      </c>
      <c r="F37" s="82">
        <v>2.25</v>
      </c>
      <c r="G37" s="82">
        <v>2.65</v>
      </c>
      <c r="H37" s="82">
        <v>4.8499999999999996</v>
      </c>
      <c r="I37" s="82">
        <v>3</v>
      </c>
      <c r="J37" s="82">
        <v>3.8</v>
      </c>
      <c r="K37" s="82">
        <v>6.5</v>
      </c>
      <c r="L37" s="82">
        <v>3.75</v>
      </c>
      <c r="M37" s="82">
        <v>4.95</v>
      </c>
      <c r="N37" s="82">
        <v>8.15</v>
      </c>
      <c r="O37" s="82">
        <v>4.5</v>
      </c>
      <c r="P37" s="82">
        <v>6.1</v>
      </c>
      <c r="Q37" s="82">
        <v>9.8000000000000007</v>
      </c>
    </row>
    <row r="38" spans="1:17" s="84" customFormat="1">
      <c r="A38" s="19" t="s">
        <v>192</v>
      </c>
      <c r="B38" s="19" t="s">
        <v>206</v>
      </c>
      <c r="C38" s="82">
        <v>3.2</v>
      </c>
      <c r="D38" s="82">
        <v>1.6</v>
      </c>
      <c r="E38" s="82">
        <v>2.4</v>
      </c>
      <c r="F38" s="82">
        <v>4.8</v>
      </c>
      <c r="G38" s="82">
        <v>2.4</v>
      </c>
      <c r="H38" s="82">
        <v>3.6</v>
      </c>
      <c r="I38" s="82">
        <v>6.4</v>
      </c>
      <c r="J38" s="82">
        <v>3.2</v>
      </c>
      <c r="K38" s="82">
        <v>4.8</v>
      </c>
      <c r="L38" s="82">
        <v>8</v>
      </c>
      <c r="M38" s="82">
        <v>4</v>
      </c>
      <c r="N38" s="82">
        <v>6</v>
      </c>
      <c r="O38" s="82">
        <v>9.6</v>
      </c>
      <c r="P38" s="82">
        <v>4.8</v>
      </c>
      <c r="Q38" s="82">
        <v>7.2</v>
      </c>
    </row>
    <row r="39" spans="1:17" s="84" customFormat="1">
      <c r="A39" s="19" t="s">
        <v>193</v>
      </c>
      <c r="B39" s="19" t="s">
        <v>206</v>
      </c>
      <c r="C39" s="82">
        <v>2.2999999999999998</v>
      </c>
      <c r="D39" s="82">
        <v>1.2</v>
      </c>
      <c r="E39" s="82">
        <v>2.8</v>
      </c>
      <c r="F39" s="82">
        <v>3.45</v>
      </c>
      <c r="G39" s="82">
        <v>1.8</v>
      </c>
      <c r="H39" s="82">
        <v>4.2</v>
      </c>
      <c r="I39" s="82">
        <v>4.5999999999999996</v>
      </c>
      <c r="J39" s="82">
        <v>2.4</v>
      </c>
      <c r="K39" s="82">
        <v>5.6</v>
      </c>
      <c r="L39" s="82">
        <v>5.75</v>
      </c>
      <c r="M39" s="82">
        <v>3</v>
      </c>
      <c r="N39" s="82">
        <v>7</v>
      </c>
      <c r="O39" s="82">
        <v>6.9</v>
      </c>
      <c r="P39" s="82">
        <v>3.6</v>
      </c>
      <c r="Q39" s="82">
        <v>8.4</v>
      </c>
    </row>
    <row r="40" spans="1:17" s="84" customFormat="1">
      <c r="A40" s="19" t="s">
        <v>194</v>
      </c>
      <c r="B40" s="19" t="s">
        <v>206</v>
      </c>
      <c r="C40" s="82">
        <v>2</v>
      </c>
      <c r="D40" s="82">
        <v>1.7</v>
      </c>
      <c r="E40" s="82">
        <v>2.5</v>
      </c>
      <c r="F40" s="82">
        <v>3</v>
      </c>
      <c r="G40" s="82">
        <v>2.5499999999999998</v>
      </c>
      <c r="H40" s="82">
        <v>3.75</v>
      </c>
      <c r="I40" s="82">
        <v>4</v>
      </c>
      <c r="J40" s="82">
        <v>3.4</v>
      </c>
      <c r="K40" s="82">
        <v>5</v>
      </c>
      <c r="L40" s="82">
        <v>5</v>
      </c>
      <c r="M40" s="82">
        <v>4.25</v>
      </c>
      <c r="N40" s="82">
        <v>6.25</v>
      </c>
      <c r="O40" s="82">
        <v>6</v>
      </c>
      <c r="P40" s="82">
        <v>5.0999999999999996</v>
      </c>
      <c r="Q40" s="82">
        <v>7.5</v>
      </c>
    </row>
    <row r="41" spans="1:17" s="84" customFormat="1">
      <c r="A41" s="19" t="s">
        <v>195</v>
      </c>
      <c r="B41" s="19" t="s">
        <v>206</v>
      </c>
      <c r="C41" s="82">
        <v>2.5</v>
      </c>
      <c r="D41" s="82">
        <v>1</v>
      </c>
      <c r="E41" s="82">
        <v>2.7</v>
      </c>
      <c r="F41" s="82">
        <v>3.75</v>
      </c>
      <c r="G41" s="82">
        <v>1.5</v>
      </c>
      <c r="H41" s="82">
        <v>4.05</v>
      </c>
      <c r="I41" s="82">
        <v>5</v>
      </c>
      <c r="J41" s="82">
        <v>2</v>
      </c>
      <c r="K41" s="82">
        <v>5.4</v>
      </c>
      <c r="L41" s="82">
        <v>6.25</v>
      </c>
      <c r="M41" s="82">
        <v>2.5</v>
      </c>
      <c r="N41" s="82">
        <v>6.75</v>
      </c>
      <c r="O41" s="82">
        <v>7.5</v>
      </c>
      <c r="P41" s="82">
        <v>3</v>
      </c>
      <c r="Q41" s="82">
        <v>8.1</v>
      </c>
    </row>
    <row r="42" spans="1:17" s="84" customFormat="1">
      <c r="A42" s="19" t="s">
        <v>196</v>
      </c>
      <c r="B42" s="19" t="s">
        <v>206</v>
      </c>
      <c r="C42" s="82">
        <v>2.2000000000000002</v>
      </c>
      <c r="D42" s="82">
        <v>1.4</v>
      </c>
      <c r="E42" s="82">
        <v>3</v>
      </c>
      <c r="F42" s="82">
        <v>3.3</v>
      </c>
      <c r="G42" s="82">
        <v>2.1</v>
      </c>
      <c r="H42" s="82">
        <v>4.5</v>
      </c>
      <c r="I42" s="82">
        <v>4.4000000000000004</v>
      </c>
      <c r="J42" s="82">
        <v>2.8</v>
      </c>
      <c r="K42" s="82">
        <v>6</v>
      </c>
      <c r="L42" s="82">
        <v>5.5</v>
      </c>
      <c r="M42" s="82">
        <v>3.5</v>
      </c>
      <c r="N42" s="82">
        <v>7.5</v>
      </c>
      <c r="O42" s="82">
        <v>6.6</v>
      </c>
      <c r="P42" s="82">
        <v>4.2</v>
      </c>
      <c r="Q42" s="82">
        <v>9</v>
      </c>
    </row>
    <row r="43" spans="1:17" s="84" customFormat="1">
      <c r="A43" s="19" t="s">
        <v>197</v>
      </c>
      <c r="B43" s="19" t="s">
        <v>206</v>
      </c>
      <c r="C43" s="82">
        <v>1.7</v>
      </c>
      <c r="D43" s="82">
        <v>2</v>
      </c>
      <c r="E43" s="82">
        <v>2.5</v>
      </c>
      <c r="F43" s="82">
        <v>2.5499999999999998</v>
      </c>
      <c r="G43" s="82">
        <v>3</v>
      </c>
      <c r="H43" s="82">
        <v>3.75</v>
      </c>
      <c r="I43" s="82">
        <v>3.4</v>
      </c>
      <c r="J43" s="82">
        <v>4</v>
      </c>
      <c r="K43" s="82">
        <v>5</v>
      </c>
      <c r="L43" s="82">
        <v>4.25</v>
      </c>
      <c r="M43" s="82">
        <v>5</v>
      </c>
      <c r="N43" s="82">
        <v>6.25</v>
      </c>
      <c r="O43" s="82">
        <v>5.0999999999999996</v>
      </c>
      <c r="P43" s="82">
        <v>6</v>
      </c>
      <c r="Q43" s="82">
        <v>7.5</v>
      </c>
    </row>
    <row r="44" spans="1:17" s="84" customFormat="1">
      <c r="A44" s="19" t="s">
        <v>198</v>
      </c>
      <c r="B44" s="19" t="s">
        <v>206</v>
      </c>
      <c r="C44" s="82">
        <v>1.6</v>
      </c>
      <c r="D44" s="82">
        <v>2</v>
      </c>
      <c r="E44" s="82">
        <v>3.3</v>
      </c>
      <c r="F44" s="82">
        <v>2.4</v>
      </c>
      <c r="G44" s="82">
        <v>3</v>
      </c>
      <c r="H44" s="82">
        <v>4.95</v>
      </c>
      <c r="I44" s="82">
        <v>3.2</v>
      </c>
      <c r="J44" s="82">
        <v>4</v>
      </c>
      <c r="K44" s="82">
        <v>6.6</v>
      </c>
      <c r="L44" s="82">
        <v>4</v>
      </c>
      <c r="M44" s="82">
        <v>5</v>
      </c>
      <c r="N44" s="82">
        <v>8.25</v>
      </c>
      <c r="O44" s="82">
        <v>4.8</v>
      </c>
      <c r="P44" s="82">
        <v>6</v>
      </c>
      <c r="Q44" s="82">
        <v>9.9</v>
      </c>
    </row>
    <row r="45" spans="1:17" s="84" customFormat="1">
      <c r="A45" s="19" t="s">
        <v>199</v>
      </c>
      <c r="B45" s="19" t="s">
        <v>206</v>
      </c>
      <c r="C45" s="82">
        <v>1.2</v>
      </c>
      <c r="D45" s="82">
        <v>2</v>
      </c>
      <c r="E45" s="82">
        <v>3</v>
      </c>
      <c r="F45" s="82">
        <v>1.8</v>
      </c>
      <c r="G45" s="82">
        <v>3</v>
      </c>
      <c r="H45" s="82">
        <v>4.5</v>
      </c>
      <c r="I45" s="82">
        <v>2.4</v>
      </c>
      <c r="J45" s="82">
        <v>4</v>
      </c>
      <c r="K45" s="82">
        <v>6</v>
      </c>
      <c r="L45" s="82">
        <v>3</v>
      </c>
      <c r="M45" s="82">
        <v>5</v>
      </c>
      <c r="N45" s="82">
        <v>7.5</v>
      </c>
      <c r="O45" s="82">
        <v>3.6</v>
      </c>
      <c r="P45" s="82">
        <v>6</v>
      </c>
      <c r="Q45" s="82">
        <v>9</v>
      </c>
    </row>
    <row r="46" spans="1:17" s="84" customFormat="1">
      <c r="A46" s="19" t="s">
        <v>200</v>
      </c>
      <c r="B46" s="19" t="s">
        <v>206</v>
      </c>
      <c r="C46" s="82">
        <v>2</v>
      </c>
      <c r="D46" s="82">
        <v>1.2</v>
      </c>
      <c r="E46" s="82">
        <v>3</v>
      </c>
      <c r="F46" s="82">
        <v>3</v>
      </c>
      <c r="G46" s="82">
        <v>1.8</v>
      </c>
      <c r="H46" s="82">
        <v>4.5999999999999996</v>
      </c>
      <c r="I46" s="82">
        <v>4</v>
      </c>
      <c r="J46" s="82">
        <v>2.4</v>
      </c>
      <c r="K46" s="82">
        <v>6.2</v>
      </c>
      <c r="L46" s="82">
        <v>5</v>
      </c>
      <c r="M46" s="82">
        <v>3</v>
      </c>
      <c r="N46" s="82">
        <v>7.8</v>
      </c>
      <c r="O46" s="82">
        <v>6</v>
      </c>
      <c r="P46" s="82">
        <v>3.6</v>
      </c>
      <c r="Q46" s="82">
        <v>9.4</v>
      </c>
    </row>
    <row r="47" spans="1:17" s="84" customFormat="1">
      <c r="A47" s="19" t="s">
        <v>201</v>
      </c>
      <c r="B47" s="19" t="s">
        <v>206</v>
      </c>
      <c r="C47" s="82">
        <v>2.2999999999999998</v>
      </c>
      <c r="D47" s="82">
        <v>1.2</v>
      </c>
      <c r="E47" s="82">
        <v>2.7</v>
      </c>
      <c r="F47" s="82">
        <v>3.2</v>
      </c>
      <c r="G47" s="82">
        <v>2</v>
      </c>
      <c r="H47" s="82">
        <v>3.95</v>
      </c>
      <c r="I47" s="82">
        <v>4.0999999999999996</v>
      </c>
      <c r="J47" s="82">
        <v>2.8</v>
      </c>
      <c r="K47" s="82">
        <v>5.2</v>
      </c>
      <c r="L47" s="82">
        <v>5</v>
      </c>
      <c r="M47" s="82">
        <v>3.6</v>
      </c>
      <c r="N47" s="82">
        <v>6.45</v>
      </c>
      <c r="O47" s="82">
        <v>5.9</v>
      </c>
      <c r="P47" s="82">
        <v>4.4000000000000004</v>
      </c>
      <c r="Q47" s="82">
        <v>7.7</v>
      </c>
    </row>
    <row r="48" spans="1:17">
      <c r="A48" s="81" t="s">
        <v>1308</v>
      </c>
      <c r="B48" s="81" t="s">
        <v>1309</v>
      </c>
      <c r="C48" s="82">
        <v>2.4</v>
      </c>
      <c r="D48" s="82">
        <v>1.8</v>
      </c>
      <c r="E48" s="82">
        <v>2.1</v>
      </c>
      <c r="F48" s="82">
        <v>3.6</v>
      </c>
      <c r="G48" s="82">
        <v>2.7</v>
      </c>
      <c r="H48" s="82">
        <v>3.15</v>
      </c>
      <c r="I48" s="82">
        <v>4.8</v>
      </c>
      <c r="J48" s="82">
        <v>3.6</v>
      </c>
      <c r="K48" s="82">
        <v>4.2</v>
      </c>
      <c r="L48" s="82">
        <v>6</v>
      </c>
      <c r="M48" s="82">
        <v>4.5</v>
      </c>
      <c r="N48" s="82">
        <v>5.25</v>
      </c>
      <c r="O48" s="82">
        <v>7.2</v>
      </c>
      <c r="P48" s="82">
        <v>5.4</v>
      </c>
      <c r="Q48" s="82">
        <v>6.3</v>
      </c>
    </row>
    <row r="49" spans="1:17">
      <c r="A49" s="83" t="s">
        <v>1346</v>
      </c>
      <c r="B49" s="83" t="s">
        <v>1347</v>
      </c>
      <c r="C49" s="82">
        <v>1.7</v>
      </c>
      <c r="D49" s="82">
        <v>2.9</v>
      </c>
      <c r="E49" s="82">
        <v>2.1</v>
      </c>
      <c r="F49" s="82">
        <v>2.5499999999999998</v>
      </c>
      <c r="G49" s="82">
        <v>4.3499999999999996</v>
      </c>
      <c r="H49" s="82">
        <v>3.15</v>
      </c>
      <c r="I49" s="107">
        <v>3.4</v>
      </c>
      <c r="J49" s="82">
        <v>5.8</v>
      </c>
      <c r="K49" s="82">
        <v>4.2</v>
      </c>
      <c r="L49" s="82">
        <v>4.25</v>
      </c>
      <c r="M49" s="82">
        <v>7.25</v>
      </c>
      <c r="N49" s="82">
        <v>5.25</v>
      </c>
      <c r="O49" s="82">
        <v>5.0999999999999996</v>
      </c>
      <c r="P49" s="82">
        <v>8.6999999999999993</v>
      </c>
      <c r="Q49" s="82">
        <v>6.3</v>
      </c>
    </row>
    <row r="50" spans="1:17">
      <c r="A50" s="113" t="s">
        <v>1814</v>
      </c>
      <c r="B50" s="113" t="s">
        <v>1816</v>
      </c>
      <c r="C50" s="82">
        <v>3.3</v>
      </c>
      <c r="D50" s="82">
        <v>1.1000000000000001</v>
      </c>
      <c r="E50" s="82">
        <v>1.9</v>
      </c>
      <c r="F50" s="82">
        <v>4.95</v>
      </c>
      <c r="G50" s="82">
        <v>1.65</v>
      </c>
      <c r="H50" s="82">
        <v>2.85</v>
      </c>
      <c r="I50" s="107">
        <v>6.6</v>
      </c>
      <c r="J50" s="82">
        <v>2.2000000000000002</v>
      </c>
      <c r="K50" s="82">
        <v>3.8</v>
      </c>
      <c r="L50" s="82">
        <v>8.25</v>
      </c>
      <c r="M50" s="82">
        <v>2.75</v>
      </c>
      <c r="N50" s="82">
        <v>4.75</v>
      </c>
      <c r="O50" s="82">
        <v>9.9</v>
      </c>
      <c r="P50" s="82">
        <v>3.3</v>
      </c>
      <c r="Q50" s="82">
        <v>5.7</v>
      </c>
    </row>
    <row r="51" spans="1:17">
      <c r="A51" s="136" t="s">
        <v>2013</v>
      </c>
      <c r="B51" s="136" t="s">
        <v>2018</v>
      </c>
      <c r="C51" s="82">
        <v>2.1</v>
      </c>
      <c r="D51" s="82">
        <v>2.7</v>
      </c>
      <c r="E51" s="82">
        <v>2</v>
      </c>
      <c r="F51" s="82">
        <v>3.15</v>
      </c>
      <c r="G51" s="82">
        <v>4.05</v>
      </c>
      <c r="H51" s="82">
        <v>3</v>
      </c>
      <c r="I51" s="107">
        <v>4.2</v>
      </c>
      <c r="J51" s="82">
        <v>5.4</v>
      </c>
      <c r="K51" s="82">
        <v>4</v>
      </c>
      <c r="L51" s="82">
        <v>5.25</v>
      </c>
      <c r="M51" s="82">
        <v>6.75</v>
      </c>
      <c r="N51" s="82">
        <v>5</v>
      </c>
      <c r="O51" s="82">
        <v>6.3</v>
      </c>
      <c r="P51" s="82">
        <v>8.1</v>
      </c>
      <c r="Q51" s="82">
        <v>6</v>
      </c>
    </row>
    <row r="52" spans="1:17">
      <c r="A52" s="114" t="s">
        <v>2173</v>
      </c>
      <c r="B52" s="114" t="s">
        <v>3</v>
      </c>
      <c r="C52" s="82">
        <v>2.5</v>
      </c>
      <c r="D52" s="82">
        <v>1.3</v>
      </c>
      <c r="E52" s="82">
        <v>2.2000000000000002</v>
      </c>
      <c r="F52" s="82">
        <v>3.75</v>
      </c>
      <c r="G52" s="82">
        <v>1.95</v>
      </c>
      <c r="H52" s="82">
        <v>3.3</v>
      </c>
      <c r="I52" s="107">
        <v>5</v>
      </c>
      <c r="J52" s="82">
        <v>2.6</v>
      </c>
      <c r="K52" s="82">
        <v>4.4000000000000004</v>
      </c>
      <c r="L52" s="82">
        <v>6.25</v>
      </c>
      <c r="M52" s="82">
        <v>3.25</v>
      </c>
      <c r="N52" s="82">
        <v>5.5</v>
      </c>
      <c r="O52" s="82">
        <v>7.5</v>
      </c>
      <c r="P52" s="82">
        <v>3.9</v>
      </c>
      <c r="Q52" s="82">
        <v>6.6</v>
      </c>
    </row>
  </sheetData>
  <sheetProtection password="8926" sheet="1" objects="1" scenarios="1" selectLockedCells="1" selectUnlockedCells="1"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O49"/>
  <sheetViews>
    <sheetView topLeftCell="O1" workbookViewId="0">
      <selection sqref="A1:N1048576"/>
    </sheetView>
  </sheetViews>
  <sheetFormatPr defaultRowHeight="13.5" outlineLevelCol="1"/>
  <cols>
    <col min="1" max="1" width="13.75" style="1" hidden="1" customWidth="1" outlineLevel="1"/>
    <col min="2" max="4" width="9" style="1" hidden="1" customWidth="1" outlineLevel="1"/>
    <col min="5" max="5" width="1.75" style="1" hidden="1" customWidth="1" outlineLevel="1"/>
    <col min="6" max="14" width="0" style="1" hidden="1" customWidth="1" outlineLevel="1"/>
    <col min="15" max="15" width="9" style="1" collapsed="1"/>
    <col min="16" max="16384" width="9" style="1"/>
  </cols>
  <sheetData>
    <row r="1" spans="1:14">
      <c r="A1" s="2" t="s">
        <v>1044</v>
      </c>
      <c r="B1" s="2" t="s">
        <v>3</v>
      </c>
      <c r="C1" s="2" t="s">
        <v>4</v>
      </c>
      <c r="D1" s="2" t="s">
        <v>5</v>
      </c>
    </row>
    <row r="2" spans="1:14">
      <c r="A2" s="2" t="s">
        <v>1045</v>
      </c>
      <c r="B2" s="2">
        <v>2</v>
      </c>
      <c r="C2" s="2">
        <v>2</v>
      </c>
      <c r="D2" s="2">
        <v>2</v>
      </c>
    </row>
    <row r="3" spans="1:14">
      <c r="A3" s="2" t="s">
        <v>1046</v>
      </c>
      <c r="B3" s="2">
        <v>4</v>
      </c>
      <c r="C3" s="2">
        <v>4</v>
      </c>
      <c r="D3" s="2">
        <v>4</v>
      </c>
    </row>
    <row r="4" spans="1:14">
      <c r="A4" s="2" t="s">
        <v>1047</v>
      </c>
      <c r="B4" s="2">
        <v>6</v>
      </c>
      <c r="C4" s="2">
        <v>6</v>
      </c>
      <c r="D4" s="2">
        <v>6</v>
      </c>
    </row>
    <row r="5" spans="1:14">
      <c r="A5" s="2" t="s">
        <v>1048</v>
      </c>
      <c r="B5" s="2">
        <v>8</v>
      </c>
      <c r="C5" s="2">
        <v>8</v>
      </c>
      <c r="D5" s="2">
        <v>8</v>
      </c>
    </row>
    <row r="6" spans="1:14">
      <c r="A6" s="32" t="s">
        <v>1049</v>
      </c>
      <c r="B6" s="2">
        <v>10</v>
      </c>
      <c r="C6" s="2">
        <v>10</v>
      </c>
      <c r="D6" s="2">
        <v>10</v>
      </c>
    </row>
    <row r="7" spans="1:14">
      <c r="A7" s="32" t="s">
        <v>1050</v>
      </c>
      <c r="B7" s="2">
        <v>12</v>
      </c>
      <c r="C7" s="2">
        <v>12</v>
      </c>
      <c r="D7" s="2">
        <v>12</v>
      </c>
    </row>
    <row r="8" spans="1:14">
      <c r="A8" s="32" t="s">
        <v>1051</v>
      </c>
      <c r="B8" s="2">
        <v>14</v>
      </c>
      <c r="C8" s="2">
        <v>14</v>
      </c>
      <c r="D8" s="2">
        <v>14</v>
      </c>
    </row>
    <row r="9" spans="1:14">
      <c r="A9" s="32" t="s">
        <v>1052</v>
      </c>
      <c r="B9" s="2">
        <v>16</v>
      </c>
      <c r="C9" s="2">
        <v>16</v>
      </c>
      <c r="D9" s="2">
        <v>16</v>
      </c>
    </row>
    <row r="10" spans="1:14">
      <c r="A10" s="32" t="s">
        <v>1053</v>
      </c>
      <c r="B10" s="2">
        <v>18</v>
      </c>
      <c r="C10" s="2">
        <v>18</v>
      </c>
      <c r="D10" s="2">
        <v>18</v>
      </c>
    </row>
    <row r="11" spans="1:14" s="29" customFormat="1">
      <c r="A11" s="32" t="s">
        <v>1859</v>
      </c>
      <c r="B11" s="32">
        <v>20</v>
      </c>
      <c r="C11" s="32">
        <v>20</v>
      </c>
      <c r="D11" s="32">
        <v>20</v>
      </c>
    </row>
    <row r="12" spans="1:14" s="29" customFormat="1">
      <c r="A12" s="121" t="s">
        <v>1860</v>
      </c>
      <c r="B12" s="32">
        <v>22</v>
      </c>
      <c r="C12" s="32">
        <v>22</v>
      </c>
      <c r="D12" s="32">
        <v>22</v>
      </c>
    </row>
    <row r="13" spans="1:14">
      <c r="A13" s="2"/>
      <c r="B13" s="2"/>
      <c r="C13" s="2"/>
      <c r="D13" s="2"/>
    </row>
    <row r="14" spans="1:14">
      <c r="A14" s="2"/>
      <c r="B14" s="2"/>
      <c r="C14" s="2"/>
      <c r="D14" s="2"/>
    </row>
    <row r="15" spans="1:14">
      <c r="A15" s="2" t="s">
        <v>228</v>
      </c>
      <c r="B15" s="33">
        <v>0</v>
      </c>
      <c r="C15" s="33">
        <v>0</v>
      </c>
      <c r="D15" s="33">
        <v>0</v>
      </c>
      <c r="G15" s="29" t="s">
        <v>1808</v>
      </c>
      <c r="H15" s="29" t="s">
        <v>1809</v>
      </c>
      <c r="I15" s="29" t="s">
        <v>1810</v>
      </c>
      <c r="J15" s="29" t="s">
        <v>1811</v>
      </c>
      <c r="K15"/>
      <c r="L15"/>
      <c r="M15"/>
      <c r="N15"/>
    </row>
    <row r="16" spans="1:14">
      <c r="A16" s="2" t="s">
        <v>209</v>
      </c>
      <c r="B16" s="33">
        <f>SUM(B$2:B2)</f>
        <v>2</v>
      </c>
      <c r="C16" s="33">
        <f>SUM(C$2:C2)</f>
        <v>2</v>
      </c>
      <c r="D16" s="33">
        <f>SUM(D$2:D2)</f>
        <v>2</v>
      </c>
      <c r="G16" s="29">
        <v>123</v>
      </c>
      <c r="H16" s="29">
        <v>172</v>
      </c>
      <c r="I16" s="29">
        <v>10</v>
      </c>
      <c r="J16" s="29">
        <v>49</v>
      </c>
      <c r="K16"/>
      <c r="L16">
        <f t="shared" ref="L16:L26" si="0">G16*1.4</f>
        <v>172.2</v>
      </c>
      <c r="M16">
        <f t="shared" ref="M16:M26" si="1">G16*0.075</f>
        <v>9.2249999999999996</v>
      </c>
      <c r="N16">
        <f t="shared" ref="N16:N26" si="2">G16*0.4</f>
        <v>49.2</v>
      </c>
    </row>
    <row r="17" spans="1:14">
      <c r="A17" s="2" t="s">
        <v>210</v>
      </c>
      <c r="B17" s="33">
        <f>SUM(B$2:B3)</f>
        <v>6</v>
      </c>
      <c r="C17" s="33">
        <f>SUM(C$2:C3)</f>
        <v>6</v>
      </c>
      <c r="D17" s="33">
        <f>SUM(D$2:D3)</f>
        <v>6</v>
      </c>
      <c r="G17" s="29">
        <v>126</v>
      </c>
      <c r="H17" s="29">
        <v>176</v>
      </c>
      <c r="I17" s="29">
        <v>10</v>
      </c>
      <c r="J17" s="29">
        <v>50</v>
      </c>
      <c r="K17" s="29"/>
      <c r="L17">
        <f t="shared" si="0"/>
        <v>176.39999999999998</v>
      </c>
      <c r="M17">
        <f t="shared" si="1"/>
        <v>9.4499999999999993</v>
      </c>
      <c r="N17">
        <f t="shared" si="2"/>
        <v>50.400000000000006</v>
      </c>
    </row>
    <row r="18" spans="1:14">
      <c r="A18" s="2" t="s">
        <v>211</v>
      </c>
      <c r="B18" s="33">
        <f>SUM(B$2:B4)</f>
        <v>12</v>
      </c>
      <c r="C18" s="33">
        <f>SUM(C$2:C4)</f>
        <v>12</v>
      </c>
      <c r="D18" s="33">
        <f>SUM(D$2:D4)</f>
        <v>12</v>
      </c>
      <c r="G18" s="29">
        <v>129</v>
      </c>
      <c r="H18" s="29">
        <v>180</v>
      </c>
      <c r="I18" s="29">
        <v>10</v>
      </c>
      <c r="J18" s="74">
        <v>52</v>
      </c>
      <c r="K18" s="74"/>
      <c r="L18">
        <f t="shared" si="0"/>
        <v>180.6</v>
      </c>
      <c r="M18">
        <f t="shared" si="1"/>
        <v>9.6749999999999989</v>
      </c>
      <c r="N18">
        <f t="shared" si="2"/>
        <v>51.6</v>
      </c>
    </row>
    <row r="19" spans="1:14">
      <c r="A19" s="32" t="s">
        <v>2020</v>
      </c>
      <c r="B19" s="33">
        <f>SUM(B$2:B5)</f>
        <v>20</v>
      </c>
      <c r="C19" s="33">
        <f>SUM(C$2:C5)</f>
        <v>20</v>
      </c>
      <c r="D19" s="33">
        <f>SUM(D$2:D5)</f>
        <v>20</v>
      </c>
      <c r="G19" s="29">
        <v>132</v>
      </c>
      <c r="H19" s="29">
        <v>184</v>
      </c>
      <c r="I19" s="29">
        <v>10</v>
      </c>
      <c r="J19" s="29">
        <v>53</v>
      </c>
      <c r="K19"/>
      <c r="L19">
        <f t="shared" si="0"/>
        <v>184.79999999999998</v>
      </c>
      <c r="M19">
        <f t="shared" si="1"/>
        <v>9.9</v>
      </c>
      <c r="N19">
        <f t="shared" si="2"/>
        <v>52.800000000000004</v>
      </c>
    </row>
    <row r="20" spans="1:14">
      <c r="A20" s="32" t="s">
        <v>2021</v>
      </c>
      <c r="B20" s="33">
        <f>SUM(B$2:B6)</f>
        <v>30</v>
      </c>
      <c r="C20" s="33">
        <f>SUM(C$2:C6)</f>
        <v>30</v>
      </c>
      <c r="D20" s="33">
        <f>SUM(D$2:D6)</f>
        <v>30</v>
      </c>
      <c r="G20" s="29">
        <v>135</v>
      </c>
      <c r="H20" s="29">
        <v>189</v>
      </c>
      <c r="I20" s="29">
        <v>11</v>
      </c>
      <c r="J20" s="29">
        <v>54</v>
      </c>
      <c r="K20"/>
      <c r="L20">
        <f t="shared" si="0"/>
        <v>189</v>
      </c>
      <c r="M20">
        <f t="shared" si="1"/>
        <v>10.125</v>
      </c>
      <c r="N20">
        <f t="shared" si="2"/>
        <v>54</v>
      </c>
    </row>
    <row r="21" spans="1:14">
      <c r="A21" s="32" t="s">
        <v>2022</v>
      </c>
      <c r="B21" s="33">
        <f>SUM(B$2:B7)</f>
        <v>42</v>
      </c>
      <c r="C21" s="33">
        <f>SUM(C$2:C7)</f>
        <v>42</v>
      </c>
      <c r="D21" s="33">
        <f>SUM(D$2:D7)</f>
        <v>42</v>
      </c>
      <c r="G21" s="29">
        <v>138</v>
      </c>
      <c r="H21" s="29">
        <v>193</v>
      </c>
      <c r="I21" s="29">
        <v>11</v>
      </c>
      <c r="J21" s="29">
        <v>55</v>
      </c>
      <c r="K21"/>
      <c r="L21">
        <f t="shared" si="0"/>
        <v>193.2</v>
      </c>
      <c r="M21">
        <f t="shared" si="1"/>
        <v>10.35</v>
      </c>
      <c r="N21">
        <f t="shared" si="2"/>
        <v>55.2</v>
      </c>
    </row>
    <row r="22" spans="1:14">
      <c r="A22" s="32" t="s">
        <v>2023</v>
      </c>
      <c r="B22" s="33">
        <f>SUM(B$2:B8)</f>
        <v>56</v>
      </c>
      <c r="C22" s="33">
        <f>SUM(C$2:C8)</f>
        <v>56</v>
      </c>
      <c r="D22" s="33">
        <f>SUM(D$2:D8)</f>
        <v>56</v>
      </c>
      <c r="G22" s="29">
        <v>141</v>
      </c>
      <c r="H22" s="29">
        <v>197</v>
      </c>
      <c r="I22" s="29">
        <v>11</v>
      </c>
      <c r="J22" s="29">
        <v>56</v>
      </c>
      <c r="K22"/>
      <c r="L22">
        <f t="shared" si="0"/>
        <v>197.39999999999998</v>
      </c>
      <c r="M22">
        <f t="shared" si="1"/>
        <v>10.574999999999999</v>
      </c>
      <c r="N22">
        <f t="shared" si="2"/>
        <v>56.400000000000006</v>
      </c>
    </row>
    <row r="23" spans="1:14">
      <c r="A23" s="32" t="s">
        <v>2024</v>
      </c>
      <c r="B23" s="33">
        <f>SUM(B$2:B9)</f>
        <v>72</v>
      </c>
      <c r="C23" s="33">
        <f>SUM(C$2:C9)</f>
        <v>72</v>
      </c>
      <c r="D23" s="33">
        <f>SUM(D$2:D9)</f>
        <v>72</v>
      </c>
      <c r="G23" s="29">
        <v>144</v>
      </c>
      <c r="H23" s="29">
        <v>201</v>
      </c>
      <c r="I23" s="29">
        <v>11</v>
      </c>
      <c r="J23" s="29">
        <v>58</v>
      </c>
      <c r="K23"/>
      <c r="L23">
        <f t="shared" si="0"/>
        <v>201.6</v>
      </c>
      <c r="M23">
        <f t="shared" si="1"/>
        <v>10.799999999999999</v>
      </c>
      <c r="N23">
        <f t="shared" si="2"/>
        <v>57.6</v>
      </c>
    </row>
    <row r="24" spans="1:14">
      <c r="A24" s="32" t="s">
        <v>2025</v>
      </c>
      <c r="B24" s="33">
        <f>SUM(B$2:B10)</f>
        <v>90</v>
      </c>
      <c r="C24" s="33">
        <f>SUM(C$2:C10)</f>
        <v>90</v>
      </c>
      <c r="D24" s="33">
        <f>SUM(D$2:D10)</f>
        <v>90</v>
      </c>
      <c r="G24" s="29">
        <v>147</v>
      </c>
      <c r="H24" s="29">
        <v>205</v>
      </c>
      <c r="I24" s="29">
        <v>12</v>
      </c>
      <c r="J24" s="29">
        <v>59</v>
      </c>
      <c r="K24"/>
      <c r="L24">
        <f t="shared" si="0"/>
        <v>205.79999999999998</v>
      </c>
      <c r="M24">
        <f t="shared" si="1"/>
        <v>11.025</v>
      </c>
      <c r="N24">
        <f t="shared" si="2"/>
        <v>58.800000000000004</v>
      </c>
    </row>
    <row r="25" spans="1:14">
      <c r="A25" s="32" t="s">
        <v>2026</v>
      </c>
      <c r="B25" s="33">
        <f>SUM(B$2:B11)</f>
        <v>110</v>
      </c>
      <c r="C25" s="33">
        <f>SUM(C$2:C11)</f>
        <v>110</v>
      </c>
      <c r="D25" s="33">
        <f>SUM(D$2:D11)</f>
        <v>110</v>
      </c>
      <c r="G25" s="29">
        <v>150</v>
      </c>
      <c r="H25" s="29">
        <v>210</v>
      </c>
      <c r="I25" s="29">
        <v>12</v>
      </c>
      <c r="J25" s="29">
        <v>60</v>
      </c>
      <c r="K25"/>
      <c r="L25">
        <f t="shared" si="0"/>
        <v>210</v>
      </c>
      <c r="M25">
        <f t="shared" si="1"/>
        <v>11.25</v>
      </c>
      <c r="N25">
        <f t="shared" si="2"/>
        <v>60</v>
      </c>
    </row>
    <row r="26" spans="1:14">
      <c r="A26" s="32" t="s">
        <v>2027</v>
      </c>
      <c r="B26" s="33">
        <f>SUM(B$2:B12)</f>
        <v>132</v>
      </c>
      <c r="C26" s="33">
        <f>SUM(C$2:C12)</f>
        <v>132</v>
      </c>
      <c r="D26" s="33">
        <f>SUM(D$2:D12)</f>
        <v>132</v>
      </c>
      <c r="G26" s="29">
        <v>153</v>
      </c>
      <c r="H26" s="29">
        <v>214</v>
      </c>
      <c r="I26" s="29">
        <v>12</v>
      </c>
      <c r="J26" s="29">
        <v>61</v>
      </c>
      <c r="K26"/>
      <c r="L26">
        <f t="shared" si="0"/>
        <v>214.2</v>
      </c>
      <c r="M26">
        <f t="shared" si="1"/>
        <v>11.475</v>
      </c>
      <c r="N26">
        <f t="shared" si="2"/>
        <v>61.2</v>
      </c>
    </row>
    <row r="27" spans="1:14">
      <c r="A27" s="32"/>
      <c r="B27" s="2"/>
      <c r="C27" s="2"/>
      <c r="D27" s="2"/>
    </row>
    <row r="28" spans="1:14">
      <c r="A28" s="32"/>
      <c r="B28" s="2"/>
      <c r="C28" s="2"/>
      <c r="D28" s="2"/>
    </row>
    <row r="29" spans="1:14">
      <c r="A29" s="32"/>
      <c r="B29" s="2"/>
      <c r="C29" s="2"/>
      <c r="D29" s="2"/>
    </row>
    <row r="30" spans="1:14">
      <c r="A30" s="32"/>
      <c r="B30" s="2"/>
      <c r="C30" s="2"/>
      <c r="D30" s="2"/>
    </row>
    <row r="31" spans="1:14">
      <c r="A31" s="2"/>
      <c r="B31" s="2"/>
      <c r="C31" s="2"/>
      <c r="D31" s="2"/>
    </row>
    <row r="32" spans="1:14">
      <c r="A32" s="2"/>
      <c r="B32" s="2"/>
      <c r="C32" s="2"/>
      <c r="D32" s="2"/>
    </row>
    <row r="33" spans="1:4">
      <c r="A33" s="2"/>
      <c r="B33" s="2"/>
      <c r="C33" s="2"/>
      <c r="D33" s="2"/>
    </row>
    <row r="34" spans="1:4">
      <c r="A34" s="2"/>
      <c r="B34" s="2"/>
      <c r="C34" s="2"/>
      <c r="D34" s="2"/>
    </row>
    <row r="35" spans="1:4">
      <c r="A35" s="2"/>
      <c r="B35" s="2"/>
      <c r="C35" s="2"/>
      <c r="D35" s="2"/>
    </row>
    <row r="36" spans="1:4">
      <c r="A36" s="2"/>
      <c r="B36" s="2"/>
      <c r="C36" s="2"/>
      <c r="D36" s="2"/>
    </row>
    <row r="37" spans="1:4">
      <c r="A37" s="2"/>
      <c r="B37" s="2"/>
      <c r="C37" s="2"/>
      <c r="D37" s="2"/>
    </row>
    <row r="38" spans="1:4">
      <c r="A38" s="2"/>
      <c r="B38" s="2"/>
      <c r="C38" s="2"/>
      <c r="D38" s="2"/>
    </row>
    <row r="39" spans="1:4">
      <c r="A39" s="2"/>
      <c r="B39" s="2"/>
      <c r="C39" s="2"/>
      <c r="D39" s="2"/>
    </row>
    <row r="40" spans="1:4">
      <c r="A40" s="2"/>
      <c r="B40" s="2"/>
      <c r="C40" s="2"/>
      <c r="D40" s="2"/>
    </row>
    <row r="41" spans="1:4">
      <c r="A41" s="2"/>
      <c r="B41" s="2"/>
      <c r="C41" s="2"/>
      <c r="D41" s="2"/>
    </row>
    <row r="42" spans="1:4">
      <c r="A42" s="2"/>
      <c r="B42" s="2"/>
      <c r="C42" s="2"/>
      <c r="D42" s="2"/>
    </row>
    <row r="43" spans="1:4">
      <c r="A43" s="2"/>
      <c r="B43" s="2"/>
      <c r="C43" s="2"/>
      <c r="D43" s="2"/>
    </row>
    <row r="44" spans="1:4">
      <c r="A44" s="2"/>
      <c r="B44" s="2"/>
      <c r="C44" s="2"/>
      <c r="D44" s="2"/>
    </row>
    <row r="45" spans="1:4">
      <c r="A45" s="2"/>
      <c r="B45" s="2"/>
      <c r="C45" s="2"/>
      <c r="D45" s="2"/>
    </row>
    <row r="46" spans="1:4">
      <c r="A46" s="2"/>
      <c r="B46" s="2"/>
      <c r="C46" s="2"/>
      <c r="D46" s="2"/>
    </row>
    <row r="47" spans="1:4">
      <c r="A47" s="2"/>
      <c r="B47" s="2"/>
      <c r="C47" s="2"/>
      <c r="D47" s="2"/>
    </row>
    <row r="48" spans="1:4">
      <c r="A48" s="2"/>
      <c r="B48" s="2"/>
      <c r="C48" s="2"/>
      <c r="D48" s="2"/>
    </row>
    <row r="49" spans="1:4">
      <c r="A49" s="2"/>
      <c r="B49" s="2"/>
      <c r="C49" s="2"/>
      <c r="D49" s="2"/>
    </row>
  </sheetData>
  <sheetProtection password="8926" sheet="1" objects="1" scenarios="1" selectLockedCells="1" selectUnlockedCells="1"/>
  <autoFilter ref="A1:N1"/>
  <phoneticPr fontId="1" type="noConversion"/>
  <pageMargins left="0.7" right="0.7" top="0.75" bottom="0.75" header="0.3" footer="0.3"/>
  <pageSetup paperSize="9" orientation="portrait" horizontalDpi="200" verticalDpi="200" r:id="rId1"/>
  <ignoredErrors>
    <ignoredError sqref="B17:D23 B24:D25" formulaRange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:G18"/>
  <sheetViews>
    <sheetView topLeftCell="G1" workbookViewId="0">
      <selection sqref="A1:N1048576"/>
    </sheetView>
  </sheetViews>
  <sheetFormatPr defaultRowHeight="13.5" outlineLevelCol="1"/>
  <cols>
    <col min="1" max="6" width="9" hidden="1" customWidth="1" outlineLevel="1"/>
    <col min="7" max="7" width="9" collapsed="1"/>
  </cols>
  <sheetData>
    <row r="1" spans="1:6">
      <c r="F1" t="s">
        <v>1716</v>
      </c>
    </row>
    <row r="2" spans="1:6">
      <c r="A2" s="9" t="s">
        <v>156</v>
      </c>
      <c r="F2" s="9" t="s">
        <v>245</v>
      </c>
    </row>
    <row r="3" spans="1:6">
      <c r="A3" s="9" t="s">
        <v>207</v>
      </c>
      <c r="F3" s="9" t="s">
        <v>246</v>
      </c>
    </row>
    <row r="4" spans="1:6">
      <c r="F4" s="9" t="s">
        <v>487</v>
      </c>
    </row>
    <row r="5" spans="1:6">
      <c r="F5" s="9" t="s">
        <v>1041</v>
      </c>
    </row>
    <row r="8" spans="1:6">
      <c r="F8" t="s">
        <v>1271</v>
      </c>
    </row>
    <row r="11" spans="1:6">
      <c r="A11" t="s">
        <v>1717</v>
      </c>
    </row>
    <row r="12" spans="1:6">
      <c r="A12" s="9" t="s">
        <v>1748</v>
      </c>
    </row>
    <row r="14" spans="1:6">
      <c r="A14" t="s">
        <v>1766</v>
      </c>
    </row>
    <row r="15" spans="1:6">
      <c r="A15" s="9" t="s">
        <v>1983</v>
      </c>
    </row>
    <row r="17" spans="1:1">
      <c r="A17" t="s">
        <v>1892</v>
      </c>
    </row>
    <row r="18" spans="1:1">
      <c r="A18" s="9" t="s">
        <v>1893</v>
      </c>
    </row>
  </sheetData>
  <sheetProtection password="8926" sheet="1" objects="1" scenarios="1" selectLockedCells="1" selectUnlockedCells="1"/>
  <phoneticPr fontId="1" type="noConversion"/>
  <hyperlinks>
    <hyperlink ref="A2" r:id="rId1"/>
    <hyperlink ref="A3" r:id="rId2" location="zbtj"/>
    <hyperlink ref="F2" r:id="rId3"/>
    <hyperlink ref="F3" r:id="rId4"/>
    <hyperlink ref="F4" r:id="rId5"/>
    <hyperlink ref="F5" r:id="rId6"/>
    <hyperlink ref="A12" r:id="rId7"/>
    <hyperlink ref="A15" r:id="rId8"/>
    <hyperlink ref="A18" r:id="rId9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>
    <tabColor rgb="FFFFFF00"/>
  </sheetPr>
  <dimension ref="A1:Y111"/>
  <sheetViews>
    <sheetView workbookViewId="0">
      <selection activeCell="A22" sqref="A22"/>
    </sheetView>
  </sheetViews>
  <sheetFormatPr defaultRowHeight="13.5"/>
  <cols>
    <col min="17" max="17" width="9" style="29"/>
    <col min="18" max="18" width="9" style="29" customWidth="1"/>
    <col min="19" max="25" width="11.5" style="29" customWidth="1"/>
  </cols>
  <sheetData>
    <row r="1" spans="1:25" ht="13.5" customHeight="1">
      <c r="A1" s="249" t="s">
        <v>2127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73"/>
    </row>
    <row r="2" spans="1:25">
      <c r="A2" s="249"/>
      <c r="B2" s="249"/>
      <c r="C2" s="249"/>
      <c r="D2" s="249"/>
      <c r="E2" s="249"/>
      <c r="F2" s="249"/>
      <c r="G2" s="249"/>
      <c r="H2" s="249"/>
      <c r="I2" s="249"/>
      <c r="J2" s="249"/>
      <c r="K2" s="249"/>
      <c r="L2" s="249"/>
      <c r="M2" s="249"/>
      <c r="N2" s="249"/>
      <c r="O2" s="249"/>
      <c r="P2" s="249"/>
      <c r="Q2" s="73"/>
    </row>
    <row r="3" spans="1:25">
      <c r="A3" s="249"/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73"/>
    </row>
    <row r="4" spans="1:25">
      <c r="A4" s="103" t="s">
        <v>1767</v>
      </c>
      <c r="I4" s="73"/>
      <c r="J4" s="29"/>
      <c r="K4" s="29"/>
      <c r="L4" s="29"/>
      <c r="M4" s="29"/>
      <c r="N4" s="29"/>
      <c r="O4" s="29"/>
      <c r="P4" s="29"/>
      <c r="Q4" s="73"/>
      <c r="W4" s="84"/>
    </row>
    <row r="5" spans="1:25">
      <c r="A5" t="s">
        <v>1762</v>
      </c>
      <c r="I5" s="73"/>
      <c r="L5" s="29"/>
      <c r="M5" s="29"/>
      <c r="Q5" s="73"/>
      <c r="W5" s="84"/>
    </row>
    <row r="6" spans="1:25">
      <c r="A6" t="s">
        <v>1763</v>
      </c>
      <c r="I6" s="99"/>
      <c r="J6" s="99"/>
      <c r="K6" s="99"/>
      <c r="L6" s="99"/>
      <c r="M6" s="99"/>
      <c r="N6" s="99"/>
      <c r="O6" s="100"/>
      <c r="P6" s="29"/>
      <c r="Q6" s="73"/>
    </row>
    <row r="7" spans="1:25">
      <c r="A7" t="s">
        <v>1764</v>
      </c>
      <c r="I7" s="85"/>
      <c r="J7" s="29"/>
      <c r="K7" s="29"/>
      <c r="L7" s="29"/>
      <c r="O7" s="29"/>
      <c r="P7" s="29"/>
      <c r="Q7" s="73"/>
    </row>
    <row r="8" spans="1:25">
      <c r="A8" s="73" t="s">
        <v>1758</v>
      </c>
      <c r="O8" s="29"/>
      <c r="P8" s="29"/>
      <c r="Q8" s="73"/>
    </row>
    <row r="9" spans="1:25">
      <c r="A9" s="73" t="s">
        <v>1759</v>
      </c>
      <c r="I9" s="102"/>
      <c r="O9" s="29"/>
      <c r="P9" s="29"/>
      <c r="Q9" s="73"/>
    </row>
    <row r="10" spans="1:25">
      <c r="A10" t="s">
        <v>1760</v>
      </c>
      <c r="O10" s="29"/>
      <c r="Q10" s="73"/>
    </row>
    <row r="11" spans="1:25" ht="13.5" customHeight="1">
      <c r="A11" t="s">
        <v>1761</v>
      </c>
      <c r="I11" s="101"/>
      <c r="J11" s="101"/>
      <c r="O11" s="29"/>
      <c r="Q11" s="73"/>
    </row>
    <row r="12" spans="1:25" ht="13.5" customHeight="1">
      <c r="A12" t="s">
        <v>1765</v>
      </c>
      <c r="O12" s="29"/>
      <c r="Q12" s="145"/>
    </row>
    <row r="13" spans="1:25" ht="13.5" customHeight="1">
      <c r="O13" s="29"/>
      <c r="P13" s="99"/>
      <c r="Q13" s="73"/>
    </row>
    <row r="14" spans="1:25" ht="13.5" customHeight="1">
      <c r="A14" t="s">
        <v>2174</v>
      </c>
      <c r="H14" s="101"/>
      <c r="O14" s="29"/>
      <c r="P14" s="29"/>
      <c r="Q14" s="73"/>
    </row>
    <row r="15" spans="1:25" s="99" customFormat="1" ht="13.5" customHeight="1">
      <c r="A15" s="73" t="s">
        <v>2104</v>
      </c>
      <c r="B15"/>
      <c r="C15"/>
      <c r="D15"/>
      <c r="E15"/>
      <c r="F15"/>
      <c r="G15" s="101"/>
      <c r="H15" s="101"/>
      <c r="I15"/>
      <c r="J15"/>
      <c r="K15"/>
      <c r="L15"/>
      <c r="M15"/>
      <c r="N15"/>
      <c r="O15" s="29"/>
      <c r="P15" s="29"/>
      <c r="Q15" s="73"/>
      <c r="R15" s="100"/>
      <c r="S15" s="100"/>
      <c r="T15" s="100"/>
      <c r="U15" s="100"/>
      <c r="V15" s="100"/>
      <c r="W15" s="100"/>
      <c r="X15" s="100"/>
      <c r="Y15" s="100"/>
    </row>
    <row r="16" spans="1:25" ht="13.5" customHeight="1">
      <c r="A16" s="149" t="s">
        <v>2105</v>
      </c>
      <c r="G16" s="101"/>
      <c r="H16" s="101"/>
      <c r="O16" s="29"/>
      <c r="P16" s="29"/>
      <c r="Q16" s="73"/>
    </row>
    <row r="17" spans="1:25" ht="13.5" customHeight="1">
      <c r="A17" s="120" t="s">
        <v>2106</v>
      </c>
      <c r="B17" s="99"/>
      <c r="C17" s="99"/>
      <c r="D17" s="99"/>
      <c r="E17" s="99"/>
      <c r="F17" s="99"/>
      <c r="G17" s="99"/>
      <c r="H17" s="99"/>
      <c r="O17" s="29"/>
      <c r="P17" s="29"/>
      <c r="Q17" s="73"/>
    </row>
    <row r="18" spans="1:25" ht="13.5" customHeight="1">
      <c r="A18" s="149" t="s">
        <v>2126</v>
      </c>
      <c r="O18" s="29"/>
      <c r="P18" s="29"/>
      <c r="Q18" s="73"/>
    </row>
    <row r="19" spans="1:25" ht="13.5" customHeight="1">
      <c r="O19" s="29"/>
      <c r="Q19" s="73"/>
    </row>
    <row r="20" spans="1:25" ht="13.5" customHeight="1">
      <c r="A20" t="s">
        <v>2181</v>
      </c>
      <c r="O20" s="29"/>
      <c r="Q20"/>
    </row>
    <row r="21" spans="1:25" ht="13.5" customHeight="1">
      <c r="A21" t="s">
        <v>2182</v>
      </c>
      <c r="O21" s="29"/>
      <c r="P21" s="29"/>
      <c r="Q21"/>
      <c r="R21"/>
      <c r="S21"/>
      <c r="T21"/>
      <c r="U21"/>
      <c r="V21"/>
      <c r="W21"/>
      <c r="X21"/>
      <c r="Y21"/>
    </row>
    <row r="22" spans="1:25" ht="13.5" customHeight="1">
      <c r="O22" s="29"/>
      <c r="P22" s="29"/>
      <c r="Q22"/>
      <c r="R22"/>
      <c r="S22"/>
      <c r="T22"/>
      <c r="U22"/>
      <c r="V22"/>
      <c r="W22"/>
      <c r="X22"/>
      <c r="Y22"/>
    </row>
    <row r="23" spans="1:25">
      <c r="O23" s="29"/>
      <c r="Q23"/>
      <c r="R23"/>
      <c r="S23"/>
      <c r="T23"/>
      <c r="U23"/>
      <c r="V23"/>
      <c r="W23"/>
      <c r="X23"/>
      <c r="Y23"/>
    </row>
    <row r="24" spans="1:25">
      <c r="I24" s="29"/>
      <c r="J24" s="29"/>
      <c r="Q24"/>
      <c r="R24"/>
      <c r="S24"/>
      <c r="T24"/>
      <c r="U24"/>
      <c r="V24"/>
      <c r="W24"/>
      <c r="X24"/>
      <c r="Y24"/>
    </row>
    <row r="25" spans="1:25">
      <c r="I25" s="29"/>
      <c r="J25" s="29"/>
      <c r="Q25"/>
      <c r="R25"/>
      <c r="S25"/>
      <c r="T25"/>
      <c r="U25"/>
      <c r="V25"/>
      <c r="W25"/>
      <c r="X25"/>
      <c r="Y25"/>
    </row>
    <row r="26" spans="1:25">
      <c r="I26" s="29"/>
      <c r="J26" s="29"/>
      <c r="Q26"/>
      <c r="R26"/>
      <c r="S26"/>
      <c r="T26"/>
      <c r="U26"/>
      <c r="V26"/>
      <c r="W26"/>
      <c r="X26"/>
      <c r="Y26"/>
    </row>
    <row r="27" spans="1:25">
      <c r="I27" s="29"/>
      <c r="J27" s="29"/>
      <c r="Q27"/>
      <c r="R27"/>
      <c r="S27"/>
      <c r="T27"/>
      <c r="U27"/>
      <c r="V27"/>
      <c r="W27"/>
      <c r="X27"/>
      <c r="Y27"/>
    </row>
    <row r="28" spans="1:25">
      <c r="I28" s="29"/>
      <c r="J28" s="29"/>
      <c r="Q28"/>
      <c r="R28"/>
      <c r="S28"/>
      <c r="T28"/>
      <c r="U28"/>
      <c r="V28"/>
      <c r="W28"/>
      <c r="X28"/>
      <c r="Y28"/>
    </row>
    <row r="29" spans="1:25">
      <c r="I29" s="29"/>
      <c r="J29" s="29"/>
      <c r="Q29"/>
      <c r="R29"/>
      <c r="S29"/>
      <c r="T29"/>
      <c r="U29"/>
      <c r="V29"/>
      <c r="W29"/>
      <c r="X29"/>
      <c r="Y29"/>
    </row>
    <row r="30" spans="1:25">
      <c r="I30" s="29"/>
      <c r="J30" s="29"/>
      <c r="R30"/>
      <c r="S30"/>
      <c r="T30"/>
      <c r="U30"/>
      <c r="V30"/>
      <c r="W30"/>
      <c r="X30"/>
      <c r="Y30"/>
    </row>
    <row r="31" spans="1:25">
      <c r="I31" s="29"/>
      <c r="J31" s="29"/>
      <c r="R31"/>
      <c r="S31"/>
      <c r="T31"/>
      <c r="U31"/>
      <c r="V31"/>
      <c r="W31"/>
      <c r="X31"/>
      <c r="Y31"/>
    </row>
    <row r="32" spans="1:25">
      <c r="I32" s="29"/>
      <c r="J32" s="29"/>
      <c r="R32"/>
      <c r="S32"/>
      <c r="T32"/>
      <c r="U32"/>
      <c r="V32"/>
      <c r="W32"/>
      <c r="X32"/>
      <c r="Y32"/>
    </row>
    <row r="33" spans="8:10">
      <c r="H33" s="29"/>
      <c r="I33" s="29"/>
      <c r="J33" s="29"/>
    </row>
    <row r="34" spans="8:10">
      <c r="H34" s="29"/>
      <c r="I34" s="29"/>
      <c r="J34" s="29"/>
    </row>
    <row r="35" spans="8:10">
      <c r="H35" s="29"/>
      <c r="I35" s="29"/>
      <c r="J35" s="29"/>
    </row>
    <row r="36" spans="8:10">
      <c r="H36" s="29"/>
      <c r="I36" s="29"/>
      <c r="J36" s="29"/>
    </row>
    <row r="37" spans="8:10">
      <c r="H37" s="29"/>
      <c r="I37" s="29"/>
      <c r="J37" s="29"/>
    </row>
    <row r="38" spans="8:10">
      <c r="H38" s="29"/>
      <c r="I38" s="29"/>
      <c r="J38" s="29"/>
    </row>
    <row r="39" spans="8:10">
      <c r="H39" s="29"/>
      <c r="I39" s="29"/>
      <c r="J39" s="29"/>
    </row>
    <row r="40" spans="8:10">
      <c r="H40" s="29"/>
      <c r="I40" s="29"/>
      <c r="J40" s="29"/>
    </row>
    <row r="41" spans="8:10">
      <c r="H41" s="29"/>
      <c r="I41" s="29"/>
      <c r="J41" s="29"/>
    </row>
    <row r="42" spans="8:10">
      <c r="H42" s="29"/>
      <c r="I42" s="29"/>
      <c r="J42" s="29"/>
    </row>
    <row r="43" spans="8:10">
      <c r="H43" s="29"/>
      <c r="I43" s="29"/>
      <c r="J43" s="29"/>
    </row>
    <row r="44" spans="8:10">
      <c r="H44" s="29"/>
      <c r="I44" s="29"/>
      <c r="J44" s="29"/>
    </row>
    <row r="45" spans="8:10">
      <c r="H45" s="29"/>
      <c r="I45" s="29"/>
      <c r="J45" s="29"/>
    </row>
    <row r="46" spans="8:10">
      <c r="H46" s="29"/>
      <c r="I46" s="29"/>
      <c r="J46" s="29"/>
    </row>
    <row r="47" spans="8:10">
      <c r="H47" s="29"/>
      <c r="I47" s="29"/>
      <c r="J47" s="29"/>
    </row>
    <row r="48" spans="8:10">
      <c r="H48" s="29"/>
      <c r="I48" s="29"/>
      <c r="J48" s="29"/>
    </row>
    <row r="49" spans="8:10">
      <c r="H49" s="29"/>
      <c r="I49" s="29"/>
      <c r="J49" s="29"/>
    </row>
    <row r="50" spans="8:10">
      <c r="H50" s="29"/>
      <c r="I50" s="29"/>
      <c r="J50" s="29"/>
    </row>
    <row r="51" spans="8:10">
      <c r="H51" s="29"/>
      <c r="I51" s="29"/>
      <c r="J51" s="29"/>
    </row>
    <row r="52" spans="8:10">
      <c r="H52" s="29"/>
      <c r="I52" s="29"/>
      <c r="J52" s="29"/>
    </row>
    <row r="53" spans="8:10">
      <c r="H53" s="29"/>
      <c r="I53" s="29"/>
      <c r="J53" s="29"/>
    </row>
    <row r="54" spans="8:10">
      <c r="H54" s="29"/>
      <c r="I54" s="29"/>
      <c r="J54" s="29"/>
    </row>
    <row r="55" spans="8:10">
      <c r="H55" s="29"/>
      <c r="I55" s="29"/>
      <c r="J55" s="29"/>
    </row>
    <row r="56" spans="8:10">
      <c r="H56" s="29"/>
      <c r="I56" s="29"/>
      <c r="J56" s="29"/>
    </row>
    <row r="57" spans="8:10">
      <c r="H57" s="29"/>
      <c r="I57" s="29"/>
      <c r="J57" s="29"/>
    </row>
    <row r="58" spans="8:10">
      <c r="H58" s="29"/>
      <c r="I58" s="29"/>
      <c r="J58" s="29"/>
    </row>
    <row r="59" spans="8:10">
      <c r="H59" s="29"/>
      <c r="I59" s="29"/>
      <c r="J59" s="29"/>
    </row>
    <row r="60" spans="8:10">
      <c r="H60" s="29"/>
      <c r="I60" s="29"/>
      <c r="J60" s="29"/>
    </row>
    <row r="61" spans="8:10">
      <c r="H61" s="29"/>
      <c r="I61" s="29"/>
      <c r="J61" s="29"/>
    </row>
    <row r="62" spans="8:10">
      <c r="H62" s="29"/>
      <c r="I62" s="29"/>
      <c r="J62" s="29"/>
    </row>
    <row r="63" spans="8:10">
      <c r="H63" s="29"/>
      <c r="I63" s="29"/>
      <c r="J63" s="29"/>
    </row>
    <row r="64" spans="8:10">
      <c r="H64" s="29"/>
      <c r="I64" s="29"/>
      <c r="J64" s="29"/>
    </row>
    <row r="65" spans="8:10">
      <c r="H65" s="29"/>
      <c r="I65" s="29"/>
      <c r="J65" s="29"/>
    </row>
    <row r="66" spans="8:10">
      <c r="H66" s="29"/>
      <c r="I66" s="29"/>
      <c r="J66" s="29"/>
    </row>
    <row r="67" spans="8:10">
      <c r="H67" s="29"/>
      <c r="I67" s="29"/>
      <c r="J67" s="29"/>
    </row>
    <row r="68" spans="8:10">
      <c r="H68" s="29"/>
      <c r="I68" s="29"/>
      <c r="J68" s="29"/>
    </row>
    <row r="69" spans="8:10">
      <c r="H69" s="29"/>
      <c r="I69" s="29"/>
      <c r="J69" s="29"/>
    </row>
    <row r="70" spans="8:10">
      <c r="H70" s="29"/>
      <c r="I70" s="29"/>
      <c r="J70" s="29"/>
    </row>
    <row r="71" spans="8:10">
      <c r="H71" s="29"/>
      <c r="I71" s="29"/>
      <c r="J71" s="29"/>
    </row>
    <row r="72" spans="8:10">
      <c r="H72" s="29"/>
      <c r="I72" s="29"/>
      <c r="J72" s="29"/>
    </row>
    <row r="73" spans="8:10">
      <c r="H73" s="29"/>
      <c r="I73" s="29"/>
      <c r="J73" s="29"/>
    </row>
    <row r="74" spans="8:10">
      <c r="H74" s="29"/>
      <c r="I74" s="29"/>
      <c r="J74" s="29"/>
    </row>
    <row r="75" spans="8:10">
      <c r="H75" s="29"/>
      <c r="I75" s="29"/>
      <c r="J75" s="29"/>
    </row>
    <row r="76" spans="8:10">
      <c r="H76" s="29"/>
      <c r="I76" s="29"/>
      <c r="J76" s="29"/>
    </row>
    <row r="77" spans="8:10">
      <c r="H77" s="29"/>
      <c r="I77" s="29"/>
      <c r="J77" s="29"/>
    </row>
    <row r="78" spans="8:10">
      <c r="H78" s="29"/>
      <c r="I78" s="29"/>
      <c r="J78" s="29"/>
    </row>
    <row r="79" spans="8:10">
      <c r="H79" s="29"/>
      <c r="I79" s="29"/>
      <c r="J79" s="29"/>
    </row>
    <row r="80" spans="8:10">
      <c r="H80" s="29"/>
      <c r="I80" s="29"/>
      <c r="J80" s="29"/>
    </row>
    <row r="81" spans="8:10">
      <c r="H81" s="29"/>
      <c r="I81" s="29"/>
      <c r="J81" s="29"/>
    </row>
    <row r="82" spans="8:10">
      <c r="H82" s="29"/>
      <c r="I82" s="29"/>
      <c r="J82" s="29"/>
    </row>
    <row r="83" spans="8:10">
      <c r="H83" s="29"/>
      <c r="I83" s="29"/>
      <c r="J83" s="29"/>
    </row>
    <row r="84" spans="8:10">
      <c r="H84" s="29"/>
      <c r="I84" s="29"/>
      <c r="J84" s="29"/>
    </row>
    <row r="85" spans="8:10">
      <c r="H85" s="29"/>
      <c r="I85" s="29"/>
      <c r="J85" s="29"/>
    </row>
    <row r="86" spans="8:10">
      <c r="H86" s="29"/>
      <c r="I86" s="29"/>
      <c r="J86" s="29"/>
    </row>
    <row r="87" spans="8:10">
      <c r="H87" s="29"/>
      <c r="I87" s="29"/>
      <c r="J87" s="29"/>
    </row>
    <row r="88" spans="8:10">
      <c r="H88" s="29"/>
      <c r="I88" s="29"/>
      <c r="J88" s="29"/>
    </row>
    <row r="89" spans="8:10">
      <c r="H89" s="29"/>
      <c r="I89" s="29"/>
      <c r="J89" s="29"/>
    </row>
    <row r="90" spans="8:10">
      <c r="H90" s="29"/>
      <c r="I90" s="29"/>
      <c r="J90" s="29"/>
    </row>
    <row r="91" spans="8:10">
      <c r="H91" s="29"/>
      <c r="I91" s="29"/>
      <c r="J91" s="29"/>
    </row>
    <row r="92" spans="8:10">
      <c r="H92" s="29"/>
      <c r="I92" s="29"/>
      <c r="J92" s="29"/>
    </row>
    <row r="93" spans="8:10">
      <c r="H93" s="29"/>
      <c r="I93" s="29"/>
      <c r="J93" s="29"/>
    </row>
    <row r="94" spans="8:10">
      <c r="H94" s="29"/>
      <c r="I94" s="29"/>
      <c r="J94" s="29"/>
    </row>
    <row r="95" spans="8:10">
      <c r="H95" s="29"/>
      <c r="I95" s="29"/>
      <c r="J95" s="29"/>
    </row>
    <row r="96" spans="8:10">
      <c r="H96" s="29"/>
      <c r="I96" s="29"/>
      <c r="J96" s="29"/>
    </row>
    <row r="97" spans="8:10">
      <c r="H97" s="29"/>
      <c r="I97" s="29"/>
      <c r="J97" s="29"/>
    </row>
    <row r="98" spans="8:10">
      <c r="H98" s="29"/>
      <c r="I98" s="29"/>
      <c r="J98" s="29"/>
    </row>
    <row r="99" spans="8:10">
      <c r="H99" s="29"/>
      <c r="I99" s="29"/>
      <c r="J99" s="29"/>
    </row>
    <row r="100" spans="8:10">
      <c r="H100" s="29"/>
      <c r="I100" s="29"/>
      <c r="J100" s="29"/>
    </row>
    <row r="101" spans="8:10">
      <c r="H101" s="29"/>
      <c r="I101" s="29"/>
      <c r="J101" s="29"/>
    </row>
    <row r="102" spans="8:10">
      <c r="H102" s="29"/>
      <c r="I102" s="29"/>
      <c r="J102" s="29"/>
    </row>
    <row r="103" spans="8:10">
      <c r="H103" s="29"/>
    </row>
    <row r="104" spans="8:10">
      <c r="H104" s="29"/>
    </row>
    <row r="105" spans="8:10">
      <c r="H105" s="29"/>
    </row>
    <row r="106" spans="8:10">
      <c r="H106" s="29"/>
    </row>
    <row r="107" spans="8:10">
      <c r="H107" s="29"/>
    </row>
    <row r="108" spans="8:10">
      <c r="H108" s="29"/>
    </row>
    <row r="109" spans="8:10">
      <c r="H109" s="29"/>
    </row>
    <row r="110" spans="8:10">
      <c r="H110" s="29"/>
    </row>
    <row r="111" spans="8:10">
      <c r="H111" s="29"/>
    </row>
  </sheetData>
  <mergeCells count="2">
    <mergeCell ref="I1:P3"/>
    <mergeCell ref="A1:H3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:I46"/>
  <sheetViews>
    <sheetView topLeftCell="I1" workbookViewId="0">
      <selection sqref="A1:N1048576"/>
    </sheetView>
  </sheetViews>
  <sheetFormatPr defaultRowHeight="13.5" outlineLevelCol="1"/>
  <cols>
    <col min="1" max="1" width="9" style="73" hidden="1" customWidth="1" outlineLevel="1"/>
    <col min="2" max="7" width="9" style="29" hidden="1" customWidth="1" outlineLevel="1"/>
    <col min="8" max="8" width="9" style="32" hidden="1" customWidth="1" outlineLevel="1"/>
    <col min="9" max="9" width="9" style="29" collapsed="1"/>
    <col min="10" max="16384" width="9" style="29"/>
  </cols>
  <sheetData>
    <row r="1" spans="1:8">
      <c r="A1" s="73" t="s">
        <v>1293</v>
      </c>
      <c r="C1" s="29">
        <v>1</v>
      </c>
      <c r="D1" s="50" t="s">
        <v>103</v>
      </c>
      <c r="E1" s="29">
        <v>4</v>
      </c>
      <c r="F1" s="29" t="s">
        <v>1299</v>
      </c>
      <c r="G1" s="29">
        <v>5</v>
      </c>
      <c r="H1" s="32" t="s">
        <v>157</v>
      </c>
    </row>
    <row r="2" spans="1:8">
      <c r="A2" s="73" t="s">
        <v>1294</v>
      </c>
      <c r="D2" s="50" t="s">
        <v>14</v>
      </c>
      <c r="F2" s="29" t="s">
        <v>1300</v>
      </c>
      <c r="H2" s="32" t="s">
        <v>158</v>
      </c>
    </row>
    <row r="3" spans="1:8">
      <c r="A3" s="73" t="s">
        <v>1295</v>
      </c>
      <c r="D3" s="50" t="s">
        <v>47</v>
      </c>
      <c r="F3" s="29" t="s">
        <v>1301</v>
      </c>
      <c r="H3" s="32" t="s">
        <v>159</v>
      </c>
    </row>
    <row r="4" spans="1:8">
      <c r="A4" s="73" t="s">
        <v>1296</v>
      </c>
      <c r="D4" s="50" t="s">
        <v>35</v>
      </c>
      <c r="F4" s="50" t="s">
        <v>103</v>
      </c>
      <c r="H4" s="32" t="s">
        <v>160</v>
      </c>
    </row>
    <row r="5" spans="1:8">
      <c r="A5" s="73" t="s">
        <v>1297</v>
      </c>
      <c r="D5" s="50" t="s">
        <v>38</v>
      </c>
      <c r="F5" s="50" t="s">
        <v>14</v>
      </c>
      <c r="H5" s="32" t="s">
        <v>161</v>
      </c>
    </row>
    <row r="6" spans="1:8">
      <c r="A6" s="73" t="s">
        <v>1298</v>
      </c>
      <c r="D6" s="50" t="s">
        <v>34</v>
      </c>
      <c r="F6" s="50" t="s">
        <v>47</v>
      </c>
      <c r="H6" s="32" t="s">
        <v>162</v>
      </c>
    </row>
    <row r="7" spans="1:8">
      <c r="A7" s="73" t="s">
        <v>1335</v>
      </c>
      <c r="D7" s="50" t="s">
        <v>56</v>
      </c>
      <c r="F7" s="50" t="s">
        <v>35</v>
      </c>
      <c r="H7" s="32" t="s">
        <v>1260</v>
      </c>
    </row>
    <row r="8" spans="1:8">
      <c r="D8" s="50" t="s">
        <v>84</v>
      </c>
      <c r="F8" s="50" t="s">
        <v>38</v>
      </c>
      <c r="H8" s="32" t="s">
        <v>163</v>
      </c>
    </row>
    <row r="9" spans="1:8">
      <c r="A9" s="73" t="s">
        <v>2019</v>
      </c>
      <c r="D9" s="50" t="s">
        <v>98</v>
      </c>
      <c r="F9" s="50" t="s">
        <v>34</v>
      </c>
      <c r="H9" s="32" t="s">
        <v>164</v>
      </c>
    </row>
    <row r="10" spans="1:8">
      <c r="A10" s="73" t="s">
        <v>1812</v>
      </c>
      <c r="D10" s="50" t="s">
        <v>42</v>
      </c>
      <c r="F10" s="50" t="s">
        <v>56</v>
      </c>
      <c r="H10" s="32" t="s">
        <v>165</v>
      </c>
    </row>
    <row r="11" spans="1:8">
      <c r="A11" s="73" t="s">
        <v>1813</v>
      </c>
      <c r="D11" s="50" t="s">
        <v>91</v>
      </c>
      <c r="F11" s="50" t="s">
        <v>84</v>
      </c>
      <c r="H11" s="32" t="s">
        <v>166</v>
      </c>
    </row>
    <row r="12" spans="1:8">
      <c r="D12" s="50" t="s">
        <v>13</v>
      </c>
      <c r="F12" s="50" t="s">
        <v>98</v>
      </c>
      <c r="H12" s="32" t="s">
        <v>167</v>
      </c>
    </row>
    <row r="13" spans="1:8">
      <c r="D13" s="50" t="s">
        <v>18</v>
      </c>
      <c r="F13" s="50" t="s">
        <v>42</v>
      </c>
      <c r="H13" s="32" t="s">
        <v>168</v>
      </c>
    </row>
    <row r="14" spans="1:8">
      <c r="D14" s="51" t="s">
        <v>71</v>
      </c>
      <c r="F14" s="50" t="s">
        <v>91</v>
      </c>
      <c r="H14" s="32" t="s">
        <v>169</v>
      </c>
    </row>
    <row r="15" spans="1:8">
      <c r="D15" s="50" t="s">
        <v>130</v>
      </c>
      <c r="F15" s="50" t="s">
        <v>13</v>
      </c>
      <c r="H15" s="32" t="s">
        <v>170</v>
      </c>
    </row>
    <row r="16" spans="1:8">
      <c r="F16" s="50" t="s">
        <v>18</v>
      </c>
      <c r="H16" s="32" t="s">
        <v>171</v>
      </c>
    </row>
    <row r="17" spans="6:8">
      <c r="F17" s="51" t="s">
        <v>71</v>
      </c>
      <c r="H17" s="32" t="s">
        <v>172</v>
      </c>
    </row>
    <row r="18" spans="6:8">
      <c r="F18" s="50" t="s">
        <v>130</v>
      </c>
      <c r="H18" s="32" t="s">
        <v>173</v>
      </c>
    </row>
    <row r="19" spans="6:8">
      <c r="F19" s="29" t="s">
        <v>1302</v>
      </c>
      <c r="H19" s="32" t="s">
        <v>174</v>
      </c>
    </row>
    <row r="20" spans="6:8">
      <c r="F20" s="29" t="s">
        <v>1303</v>
      </c>
      <c r="H20" s="32" t="s">
        <v>175</v>
      </c>
    </row>
    <row r="21" spans="6:8">
      <c r="F21" s="29" t="s">
        <v>1304</v>
      </c>
      <c r="H21" s="32" t="s">
        <v>176</v>
      </c>
    </row>
    <row r="22" spans="6:8">
      <c r="F22" s="29" t="s">
        <v>1305</v>
      </c>
      <c r="H22" s="32" t="s">
        <v>177</v>
      </c>
    </row>
    <row r="23" spans="6:8">
      <c r="H23" s="32" t="s">
        <v>178</v>
      </c>
    </row>
    <row r="24" spans="6:8">
      <c r="H24" s="32" t="s">
        <v>179</v>
      </c>
    </row>
    <row r="25" spans="6:8">
      <c r="H25" s="32" t="s">
        <v>180</v>
      </c>
    </row>
    <row r="26" spans="6:8">
      <c r="H26" s="32" t="s">
        <v>181</v>
      </c>
    </row>
    <row r="27" spans="6:8">
      <c r="H27" s="32" t="s">
        <v>182</v>
      </c>
    </row>
    <row r="28" spans="6:8">
      <c r="H28" s="32" t="s">
        <v>183</v>
      </c>
    </row>
    <row r="29" spans="6:8">
      <c r="H29" s="32" t="s">
        <v>184</v>
      </c>
    </row>
    <row r="30" spans="6:8">
      <c r="H30" s="32" t="s">
        <v>185</v>
      </c>
    </row>
    <row r="31" spans="6:8">
      <c r="H31" s="32" t="s">
        <v>186</v>
      </c>
    </row>
    <row r="32" spans="6:8">
      <c r="H32" s="32" t="s">
        <v>187</v>
      </c>
    </row>
    <row r="33" spans="8:8">
      <c r="H33" s="32" t="s">
        <v>188</v>
      </c>
    </row>
    <row r="34" spans="8:8">
      <c r="H34" s="32" t="s">
        <v>189</v>
      </c>
    </row>
    <row r="35" spans="8:8">
      <c r="H35" s="32" t="s">
        <v>190</v>
      </c>
    </row>
    <row r="36" spans="8:8">
      <c r="H36" s="32" t="s">
        <v>191</v>
      </c>
    </row>
    <row r="37" spans="8:8">
      <c r="H37" s="32" t="s">
        <v>192</v>
      </c>
    </row>
    <row r="38" spans="8:8">
      <c r="H38" s="32" t="s">
        <v>193</v>
      </c>
    </row>
    <row r="39" spans="8:8">
      <c r="H39" s="32" t="s">
        <v>194</v>
      </c>
    </row>
    <row r="40" spans="8:8">
      <c r="H40" s="32" t="s">
        <v>195</v>
      </c>
    </row>
    <row r="41" spans="8:8">
      <c r="H41" s="32" t="s">
        <v>196</v>
      </c>
    </row>
    <row r="42" spans="8:8">
      <c r="H42" s="32" t="s">
        <v>197</v>
      </c>
    </row>
    <row r="43" spans="8:8">
      <c r="H43" s="32" t="s">
        <v>198</v>
      </c>
    </row>
    <row r="44" spans="8:8">
      <c r="H44" s="32" t="s">
        <v>199</v>
      </c>
    </row>
    <row r="45" spans="8:8">
      <c r="H45" s="32" t="s">
        <v>200</v>
      </c>
    </row>
    <row r="46" spans="8:8">
      <c r="H46" s="32" t="s">
        <v>201</v>
      </c>
    </row>
  </sheetData>
  <sheetProtection password="8926" sheet="1" objects="1" scenarios="1" selectLockedCells="1" selectUnlockedCell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</vt:i4>
      </vt:variant>
    </vt:vector>
  </HeadingPairs>
  <TitlesOfParts>
    <vt:vector size="16" baseType="lpstr">
      <vt:lpstr>单英雄</vt:lpstr>
      <vt:lpstr>英雄对比</vt:lpstr>
      <vt:lpstr>中介表格1</vt:lpstr>
      <vt:lpstr>中介表格2</vt:lpstr>
      <vt:lpstr>中介表格3</vt:lpstr>
      <vt:lpstr>装备属性</vt:lpstr>
      <vt:lpstr>装备附魔</vt:lpstr>
      <vt:lpstr>英雄装备</vt:lpstr>
      <vt:lpstr>英雄初始</vt:lpstr>
      <vt:lpstr>英雄成长</vt:lpstr>
      <vt:lpstr>进阶奖励</vt:lpstr>
      <vt:lpstr>数据网址</vt:lpstr>
      <vt:lpstr>我需要您！</vt:lpstr>
      <vt:lpstr>待改进项</vt:lpstr>
      <vt:lpstr>单英雄!Print_Area</vt:lpstr>
      <vt:lpstr>英雄对比!Print_Area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2014-08-08T12:56:10Z</dcterms:modified>
</cp:coreProperties>
</file>