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9200" windowHeight="11640"/>
  </bookViews>
  <sheets>
    <sheet name="英雄成长" sheetId="1" r:id="rId1"/>
    <sheet name="Chart1" sheetId="4" state="hidden" r:id="rId2"/>
    <sheet name="Sheet2" sheetId="2" r:id="rId3"/>
    <sheet name="Sheet3" sheetId="3" r:id="rId4"/>
  </sheets>
  <functionGroups/>
  <calcPr calcId="125725"/>
</workbook>
</file>

<file path=xl/calcChain.xml><?xml version="1.0" encoding="utf-8"?>
<calcChain xmlns="http://schemas.openxmlformats.org/spreadsheetml/2006/main">
  <c r="G52" i="1"/>
  <c r="F52"/>
  <c r="E52"/>
  <c r="H52" s="1"/>
  <c r="G51"/>
  <c r="F51"/>
  <c r="E51"/>
  <c r="G50"/>
  <c r="F50"/>
  <c r="E50"/>
  <c r="G49"/>
  <c r="F49"/>
  <c r="E49"/>
  <c r="G48"/>
  <c r="F48"/>
  <c r="E48"/>
  <c r="H48" s="1"/>
  <c r="G47"/>
  <c r="F47"/>
  <c r="E47"/>
  <c r="G46"/>
  <c r="F46"/>
  <c r="E46"/>
  <c r="H46" s="1"/>
  <c r="G45"/>
  <c r="F45"/>
  <c r="E45"/>
  <c r="G44"/>
  <c r="F44"/>
  <c r="E44"/>
  <c r="G43"/>
  <c r="F43"/>
  <c r="H43" s="1"/>
  <c r="E43"/>
  <c r="G42"/>
  <c r="F42"/>
  <c r="E42"/>
  <c r="G41"/>
  <c r="F41"/>
  <c r="E41"/>
  <c r="G40"/>
  <c r="F40"/>
  <c r="E40"/>
  <c r="H40" s="1"/>
  <c r="G39"/>
  <c r="F39"/>
  <c r="E39"/>
  <c r="G38"/>
  <c r="F38"/>
  <c r="E38"/>
  <c r="H38" s="1"/>
  <c r="G37"/>
  <c r="F37"/>
  <c r="E37"/>
  <c r="G36"/>
  <c r="F36"/>
  <c r="E36"/>
  <c r="H36" s="1"/>
  <c r="G35"/>
  <c r="F35"/>
  <c r="E35"/>
  <c r="G34"/>
  <c r="F34"/>
  <c r="E34"/>
  <c r="H34" s="1"/>
  <c r="G33"/>
  <c r="F33"/>
  <c r="E33"/>
  <c r="G32"/>
  <c r="F32"/>
  <c r="E32"/>
  <c r="H32" s="1"/>
  <c r="G31"/>
  <c r="F31"/>
  <c r="E31"/>
  <c r="G30"/>
  <c r="F30"/>
  <c r="E30"/>
  <c r="H30" s="1"/>
  <c r="G29"/>
  <c r="F29"/>
  <c r="E29"/>
  <c r="G28"/>
  <c r="F28"/>
  <c r="E28"/>
  <c r="H28" s="1"/>
  <c r="G27"/>
  <c r="F27"/>
  <c r="E27"/>
  <c r="G26"/>
  <c r="F26"/>
  <c r="E26"/>
  <c r="H26" s="1"/>
  <c r="G25"/>
  <c r="F25"/>
  <c r="E25"/>
  <c r="G24"/>
  <c r="F24"/>
  <c r="E24"/>
  <c r="H24" s="1"/>
  <c r="G23"/>
  <c r="F23"/>
  <c r="E23"/>
  <c r="G22"/>
  <c r="F22"/>
  <c r="E22"/>
  <c r="H22" s="1"/>
  <c r="G21"/>
  <c r="F21"/>
  <c r="E21"/>
  <c r="G20"/>
  <c r="F20"/>
  <c r="E20"/>
  <c r="H20" s="1"/>
  <c r="G19"/>
  <c r="F19"/>
  <c r="E19"/>
  <c r="G18"/>
  <c r="F18"/>
  <c r="E18"/>
  <c r="H18" s="1"/>
  <c r="G17"/>
  <c r="F17"/>
  <c r="E17"/>
  <c r="G16"/>
  <c r="F16"/>
  <c r="E16"/>
  <c r="H16" s="1"/>
  <c r="G15"/>
  <c r="F15"/>
  <c r="E15"/>
  <c r="G14"/>
  <c r="F14"/>
  <c r="E14"/>
  <c r="H14" s="1"/>
  <c r="G13"/>
  <c r="F13"/>
  <c r="E13"/>
  <c r="G12"/>
  <c r="F12"/>
  <c r="E12"/>
  <c r="H12" s="1"/>
  <c r="G11"/>
  <c r="F11"/>
  <c r="E11"/>
  <c r="G10"/>
  <c r="F10"/>
  <c r="E10"/>
  <c r="H10" s="1"/>
  <c r="G9"/>
  <c r="F9"/>
  <c r="E9"/>
  <c r="G8"/>
  <c r="F8"/>
  <c r="E8"/>
  <c r="H8" s="1"/>
  <c r="G7"/>
  <c r="F7"/>
  <c r="E7"/>
  <c r="G6"/>
  <c r="F6"/>
  <c r="E6"/>
  <c r="H6" s="1"/>
  <c r="G5"/>
  <c r="F5"/>
  <c r="E5"/>
  <c r="G4"/>
  <c r="F4"/>
  <c r="E4"/>
  <c r="H4" s="1"/>
  <c r="G3"/>
  <c r="F3"/>
  <c r="E3"/>
  <c r="G2"/>
  <c r="F2"/>
  <c r="E2"/>
  <c r="H2" s="1"/>
  <c r="H50" l="1"/>
  <c r="H3"/>
  <c r="H5"/>
  <c r="H7"/>
  <c r="H9"/>
  <c r="H11"/>
  <c r="H13"/>
  <c r="H15"/>
  <c r="H17"/>
  <c r="H19"/>
  <c r="H21"/>
  <c r="H23"/>
  <c r="H25"/>
  <c r="H27"/>
  <c r="H29"/>
  <c r="H31"/>
  <c r="H33"/>
  <c r="H35"/>
  <c r="H37"/>
  <c r="H39"/>
  <c r="H41"/>
  <c r="H42"/>
  <c r="H44"/>
  <c r="H45"/>
  <c r="H47"/>
  <c r="H49"/>
  <c r="H51"/>
</calcChain>
</file>

<file path=xl/sharedStrings.xml><?xml version="1.0" encoding="utf-8"?>
<sst xmlns="http://schemas.openxmlformats.org/spreadsheetml/2006/main" count="212" uniqueCount="66">
  <si>
    <t>英雄</t>
    <phoneticPr fontId="1" type="noConversion"/>
  </si>
  <si>
    <t>星级</t>
    <phoneticPr fontId="1" type="noConversion"/>
  </si>
  <si>
    <t>英雄定位</t>
    <phoneticPr fontId="1" type="noConversion"/>
  </si>
  <si>
    <t>英雄类型</t>
    <phoneticPr fontId="1" type="noConversion"/>
  </si>
  <si>
    <t>力量</t>
    <phoneticPr fontId="1" type="noConversion"/>
  </si>
  <si>
    <t>智力</t>
    <phoneticPr fontId="1" type="noConversion"/>
  </si>
  <si>
    <t>敏捷</t>
    <phoneticPr fontId="1" type="noConversion"/>
  </si>
  <si>
    <t>总成长</t>
    <phoneticPr fontId="1" type="noConversion"/>
  </si>
  <si>
    <t>船长</t>
    <phoneticPr fontId="1" type="noConversion"/>
  </si>
  <si>
    <t>前排</t>
  </si>
  <si>
    <t>力</t>
  </si>
  <si>
    <t>小黑</t>
    <phoneticPr fontId="1" type="noConversion"/>
  </si>
  <si>
    <t>后排</t>
  </si>
  <si>
    <t>敏</t>
  </si>
  <si>
    <t>火女</t>
    <phoneticPr fontId="1" type="noConversion"/>
  </si>
  <si>
    <t>中排</t>
  </si>
  <si>
    <t>智</t>
  </si>
  <si>
    <t>宙斯</t>
    <phoneticPr fontId="1" type="noConversion"/>
  </si>
  <si>
    <t>全能</t>
    <phoneticPr fontId="1" type="noConversion"/>
  </si>
  <si>
    <t>修补匠</t>
    <phoneticPr fontId="1" type="noConversion"/>
  </si>
  <si>
    <t>火枪</t>
    <phoneticPr fontId="1" type="noConversion"/>
  </si>
  <si>
    <t>潮汐</t>
    <phoneticPr fontId="1" type="noConversion"/>
  </si>
  <si>
    <t>小鹿</t>
    <phoneticPr fontId="1" type="noConversion"/>
  </si>
  <si>
    <t>蓝胖</t>
    <phoneticPr fontId="1" type="noConversion"/>
  </si>
  <si>
    <t>白虎</t>
    <phoneticPr fontId="1" type="noConversion"/>
  </si>
  <si>
    <t>光法</t>
    <phoneticPr fontId="1" type="noConversion"/>
  </si>
  <si>
    <t>巨魔</t>
    <phoneticPr fontId="1" type="noConversion"/>
  </si>
  <si>
    <t>刚背</t>
    <phoneticPr fontId="1" type="noConversion"/>
  </si>
  <si>
    <t>恶魔巫师</t>
    <phoneticPr fontId="1" type="noConversion"/>
  </si>
  <si>
    <t>冰女</t>
    <phoneticPr fontId="1" type="noConversion"/>
  </si>
  <si>
    <t>小娜迦</t>
    <phoneticPr fontId="1" type="noConversion"/>
  </si>
  <si>
    <t>大鱼人</t>
    <phoneticPr fontId="1" type="noConversion"/>
  </si>
  <si>
    <t>骨法</t>
    <phoneticPr fontId="1" type="noConversion"/>
  </si>
  <si>
    <t>骷髅王</t>
    <phoneticPr fontId="1" type="noConversion"/>
  </si>
  <si>
    <t>暗牧</t>
    <phoneticPr fontId="1" type="noConversion"/>
  </si>
  <si>
    <t>影魔</t>
    <phoneticPr fontId="1" type="noConversion"/>
  </si>
  <si>
    <t>复仇</t>
    <phoneticPr fontId="1" type="noConversion"/>
  </si>
  <si>
    <t>小小</t>
    <phoneticPr fontId="1" type="noConversion"/>
  </si>
  <si>
    <t>沉默</t>
    <phoneticPr fontId="1" type="noConversion"/>
  </si>
  <si>
    <t>巫妖</t>
    <phoneticPr fontId="1" type="noConversion"/>
  </si>
  <si>
    <t>双头龙</t>
    <phoneticPr fontId="1" type="noConversion"/>
  </si>
  <si>
    <t>直升机</t>
    <phoneticPr fontId="1" type="noConversion"/>
  </si>
  <si>
    <t>死亡先知</t>
    <phoneticPr fontId="1" type="noConversion"/>
  </si>
  <si>
    <t>敌法</t>
    <phoneticPr fontId="1" type="noConversion"/>
  </si>
  <si>
    <t>人马</t>
    <phoneticPr fontId="1" type="noConversion"/>
  </si>
  <si>
    <t>凤凰</t>
    <phoneticPr fontId="1" type="noConversion"/>
  </si>
  <si>
    <t>电魂</t>
    <phoneticPr fontId="1" type="noConversion"/>
  </si>
  <si>
    <t>痛苦女王</t>
    <phoneticPr fontId="1" type="noConversion"/>
  </si>
  <si>
    <t>风行</t>
    <phoneticPr fontId="1" type="noConversion"/>
  </si>
  <si>
    <t>美杜莎</t>
    <phoneticPr fontId="1" type="noConversion"/>
  </si>
  <si>
    <t>骨弓</t>
    <phoneticPr fontId="1" type="noConversion"/>
  </si>
  <si>
    <t>死灵法师</t>
    <phoneticPr fontId="1" type="noConversion"/>
  </si>
  <si>
    <t>黑鸟</t>
    <phoneticPr fontId="1" type="noConversion"/>
  </si>
  <si>
    <t>熊喵酒仙</t>
    <phoneticPr fontId="1" type="noConversion"/>
  </si>
  <si>
    <t>拍拍熊</t>
    <phoneticPr fontId="1" type="noConversion"/>
  </si>
  <si>
    <t>神牛</t>
    <phoneticPr fontId="1" type="noConversion"/>
  </si>
  <si>
    <t>月骑</t>
    <phoneticPr fontId="1" type="noConversion"/>
  </si>
  <si>
    <t>剑圣</t>
    <phoneticPr fontId="1" type="noConversion"/>
  </si>
  <si>
    <t>斧王</t>
    <phoneticPr fontId="1" type="noConversion"/>
  </si>
  <si>
    <t>神灵武士</t>
    <phoneticPr fontId="1" type="noConversion"/>
  </si>
  <si>
    <t>亚龙</t>
    <phoneticPr fontId="1" type="noConversion"/>
  </si>
  <si>
    <t>死骑</t>
    <phoneticPr fontId="1" type="noConversion"/>
  </si>
  <si>
    <t>术士</t>
    <phoneticPr fontId="1" type="noConversion"/>
  </si>
  <si>
    <t>机枪兵</t>
    <phoneticPr fontId="1" type="noConversion"/>
  </si>
  <si>
    <t>圣堂刺客</t>
    <phoneticPr fontId="1" type="noConversion"/>
  </si>
  <si>
    <t>★★★★★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</si>
</sst>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1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zh-CN"/>
  <c:chart>
    <c:plotArea>
      <c:layout/>
      <c:barChart>
        <c:barDir val="col"/>
        <c:grouping val="clustered"/>
        <c:axId val="55671808"/>
        <c:axId val="105100032"/>
      </c:barChart>
      <c:catAx>
        <c:axId val="55671808"/>
        <c:scaling>
          <c:orientation val="minMax"/>
        </c:scaling>
        <c:axPos val="b"/>
        <c:tickLblPos val="nextTo"/>
        <c:crossAx val="105100032"/>
        <c:crosses val="autoZero"/>
        <c:auto val="1"/>
        <c:lblAlgn val="ctr"/>
        <c:lblOffset val="100"/>
      </c:catAx>
      <c:valAx>
        <c:axId val="105100032"/>
        <c:scaling>
          <c:orientation val="minMax"/>
        </c:scaling>
        <c:axPos val="l"/>
        <c:majorGridlines/>
        <c:tickLblPos val="nextTo"/>
        <c:crossAx val="55671808"/>
        <c:crosses val="autoZero"/>
        <c:crossBetween val="between"/>
      </c:valAx>
    </c:plotArea>
    <c:legend>
      <c:legendPos val="r"/>
    </c:legend>
    <c:plotVisOnly val="1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537" cy="6082018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0.09296</cdr:x>
      <cdr:y>0.23707</cdr:y>
    </cdr:from>
    <cdr:to>
      <cdr:x>0.16338</cdr:x>
      <cdr:y>0.34052</cdr:y>
    </cdr:to>
    <cdr:sp macro="" textlink="">
      <cdr:nvSpPr>
        <cdr:cNvPr id="2" name="椭圆 1"/>
        <cdr:cNvSpPr/>
      </cdr:nvSpPr>
      <cdr:spPr>
        <a:xfrm xmlns:a="http://schemas.openxmlformats.org/drawingml/2006/main">
          <a:off x="865115" y="1441859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0.22254</cdr:x>
      <cdr:y>0.1954</cdr:y>
    </cdr:from>
    <cdr:to>
      <cdr:x>0.29296</cdr:x>
      <cdr:y>0.29885</cdr:y>
    </cdr:to>
    <cdr:sp macro="" textlink="">
      <cdr:nvSpPr>
        <cdr:cNvPr id="3" name="椭圆 2"/>
        <cdr:cNvSpPr/>
      </cdr:nvSpPr>
      <cdr:spPr>
        <a:xfrm xmlns:a="http://schemas.openxmlformats.org/drawingml/2006/main">
          <a:off x="2071031" y="1188441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0.077</cdr:x>
      <cdr:y>0.4454</cdr:y>
    </cdr:from>
    <cdr:to>
      <cdr:x>0.14742</cdr:x>
      <cdr:y>0.54885</cdr:y>
    </cdr:to>
    <cdr:sp macro="" textlink="">
      <cdr:nvSpPr>
        <cdr:cNvPr id="4" name="椭圆 3"/>
        <cdr:cNvSpPr/>
      </cdr:nvSpPr>
      <cdr:spPr>
        <a:xfrm xmlns:a="http://schemas.openxmlformats.org/drawingml/2006/main">
          <a:off x="716559" y="2708945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0.25352</cdr:x>
      <cdr:y>0.4842</cdr:y>
    </cdr:from>
    <cdr:to>
      <cdr:x>0.32394</cdr:x>
      <cdr:y>0.58764</cdr:y>
    </cdr:to>
    <cdr:sp macro="" textlink="">
      <cdr:nvSpPr>
        <cdr:cNvPr id="5" name="椭圆 4"/>
        <cdr:cNvSpPr/>
      </cdr:nvSpPr>
      <cdr:spPr>
        <a:xfrm xmlns:a="http://schemas.openxmlformats.org/drawingml/2006/main">
          <a:off x="2359403" y="2944887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0.35681</cdr:x>
      <cdr:y>0.30603</cdr:y>
    </cdr:from>
    <cdr:to>
      <cdr:x>0.42723</cdr:x>
      <cdr:y>0.40948</cdr:y>
    </cdr:to>
    <cdr:sp macro="" textlink="">
      <cdr:nvSpPr>
        <cdr:cNvPr id="6" name="椭圆 5"/>
        <cdr:cNvSpPr/>
      </cdr:nvSpPr>
      <cdr:spPr>
        <a:xfrm xmlns:a="http://schemas.openxmlformats.org/drawingml/2006/main">
          <a:off x="3320641" y="1861309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0.57559</cdr:x>
      <cdr:y>0.37787</cdr:y>
    </cdr:from>
    <cdr:to>
      <cdr:x>0.64601</cdr:x>
      <cdr:y>0.48132</cdr:y>
    </cdr:to>
    <cdr:sp macro="" textlink="">
      <cdr:nvSpPr>
        <cdr:cNvPr id="9" name="椭圆 8"/>
        <cdr:cNvSpPr/>
      </cdr:nvSpPr>
      <cdr:spPr>
        <a:xfrm xmlns:a="http://schemas.openxmlformats.org/drawingml/2006/main">
          <a:off x="5356720" y="2298236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3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0.69484</cdr:x>
      <cdr:y>0.23994</cdr:y>
    </cdr:from>
    <cdr:to>
      <cdr:x>0.76526</cdr:x>
      <cdr:y>0.34339</cdr:y>
    </cdr:to>
    <cdr:sp macro="" textlink="">
      <cdr:nvSpPr>
        <cdr:cNvPr id="10" name="椭圆 9"/>
        <cdr:cNvSpPr/>
      </cdr:nvSpPr>
      <cdr:spPr>
        <a:xfrm xmlns:a="http://schemas.openxmlformats.org/drawingml/2006/main">
          <a:off x="6466513" y="1459338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3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0.71361</cdr:x>
      <cdr:y>0.51293</cdr:y>
    </cdr:from>
    <cdr:to>
      <cdr:x>0.78404</cdr:x>
      <cdr:y>0.61638</cdr:y>
    </cdr:to>
    <cdr:sp macro="" textlink="">
      <cdr:nvSpPr>
        <cdr:cNvPr id="11" name="椭圆 10"/>
        <cdr:cNvSpPr/>
      </cdr:nvSpPr>
      <cdr:spPr>
        <a:xfrm xmlns:a="http://schemas.openxmlformats.org/drawingml/2006/main">
          <a:off x="6641283" y="3119657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3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0.85164</cdr:x>
      <cdr:y>0.48563</cdr:y>
    </cdr:from>
    <cdr:to>
      <cdr:x>0.92207</cdr:x>
      <cdr:y>0.58908</cdr:y>
    </cdr:to>
    <cdr:sp macro="" textlink="">
      <cdr:nvSpPr>
        <cdr:cNvPr id="12" name="椭圆 11"/>
        <cdr:cNvSpPr/>
      </cdr:nvSpPr>
      <cdr:spPr>
        <a:xfrm xmlns:a="http://schemas.openxmlformats.org/drawingml/2006/main">
          <a:off x="7925850" y="2953626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3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0.85164</cdr:x>
      <cdr:y>0.22701</cdr:y>
    </cdr:from>
    <cdr:to>
      <cdr:x>0.92207</cdr:x>
      <cdr:y>0.33046</cdr:y>
    </cdr:to>
    <cdr:sp macro="" textlink="">
      <cdr:nvSpPr>
        <cdr:cNvPr id="13" name="椭圆 12"/>
        <cdr:cNvSpPr/>
      </cdr:nvSpPr>
      <cdr:spPr>
        <a:xfrm xmlns:a="http://schemas.openxmlformats.org/drawingml/2006/main">
          <a:off x="7925848" y="1380689"/>
          <a:ext cx="655390" cy="629174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3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0.1446</cdr:x>
      <cdr:y>0.77012</cdr:y>
    </cdr:from>
    <cdr:to>
      <cdr:x>0.21033</cdr:x>
      <cdr:y>0.87787</cdr:y>
    </cdr:to>
    <cdr:sp macro="" textlink="">
      <cdr:nvSpPr>
        <cdr:cNvPr id="14" name="圆角矩形 13"/>
        <cdr:cNvSpPr/>
      </cdr:nvSpPr>
      <cdr:spPr>
        <a:xfrm xmlns:a="http://schemas.openxmlformats.org/drawingml/2006/main">
          <a:off x="1345734" y="4683854"/>
          <a:ext cx="611698" cy="65539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0.26948</cdr:x>
      <cdr:y>0.77155</cdr:y>
    </cdr:from>
    <cdr:to>
      <cdr:x>0.33521</cdr:x>
      <cdr:y>0.87931</cdr:y>
    </cdr:to>
    <cdr:sp macro="" textlink="">
      <cdr:nvSpPr>
        <cdr:cNvPr id="15" name="圆角矩形 14"/>
        <cdr:cNvSpPr/>
      </cdr:nvSpPr>
      <cdr:spPr>
        <a:xfrm xmlns:a="http://schemas.openxmlformats.org/drawingml/2006/main">
          <a:off x="2507959" y="4692592"/>
          <a:ext cx="611698" cy="65539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</cdr:x>
      <cdr:y>0.77012</cdr:y>
    </cdr:from>
    <cdr:to>
      <cdr:x>0.46573</cdr:x>
      <cdr:y>0.87787</cdr:y>
    </cdr:to>
    <cdr:sp macro="" textlink="">
      <cdr:nvSpPr>
        <cdr:cNvPr id="16" name="圆角矩形 15"/>
        <cdr:cNvSpPr/>
      </cdr:nvSpPr>
      <cdr:spPr>
        <a:xfrm xmlns:a="http://schemas.openxmlformats.org/drawingml/2006/main">
          <a:off x="3722615" y="4683854"/>
          <a:ext cx="611698" cy="65539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0.53146</cdr:x>
      <cdr:y>0.76868</cdr:y>
    </cdr:from>
    <cdr:to>
      <cdr:x>0.59718</cdr:x>
      <cdr:y>0.87644</cdr:y>
    </cdr:to>
    <cdr:sp macro="" textlink="">
      <cdr:nvSpPr>
        <cdr:cNvPr id="17" name="圆角矩形 16"/>
        <cdr:cNvSpPr/>
      </cdr:nvSpPr>
      <cdr:spPr>
        <a:xfrm xmlns:a="http://schemas.openxmlformats.org/drawingml/2006/main">
          <a:off x="4946010" y="4675115"/>
          <a:ext cx="611698" cy="65539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0.66948</cdr:x>
      <cdr:y>0.76724</cdr:y>
    </cdr:from>
    <cdr:to>
      <cdr:x>0.73521</cdr:x>
      <cdr:y>0.875</cdr:y>
    </cdr:to>
    <cdr:sp macro="" textlink="">
      <cdr:nvSpPr>
        <cdr:cNvPr id="18" name="圆角矩形 17"/>
        <cdr:cNvSpPr/>
      </cdr:nvSpPr>
      <cdr:spPr>
        <a:xfrm xmlns:a="http://schemas.openxmlformats.org/drawingml/2006/main">
          <a:off x="6230574" y="4666377"/>
          <a:ext cx="611698" cy="65539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/>
        </a:p>
      </cdr:txBody>
    </cdr:sp>
  </cdr:relSizeAnchor>
</c:userShap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52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6" sqref="A26:XFD26"/>
    </sheetView>
  </sheetViews>
  <sheetFormatPr defaultRowHeight="16.5"/>
  <cols>
    <col min="1" max="1" width="9" style="1"/>
    <col min="2" max="4" width="11" style="1" customWidth="1"/>
    <col min="5" max="16384" width="9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1" t="s">
        <v>8</v>
      </c>
      <c r="B2" s="1" t="s">
        <v>65</v>
      </c>
      <c r="C2" s="1" t="s">
        <v>9</v>
      </c>
      <c r="D2" s="1" t="s">
        <v>10</v>
      </c>
      <c r="E2" s="1">
        <f>3.3+1.65*(LEN(B2)-1)</f>
        <v>9.8999999999999986</v>
      </c>
      <c r="F2" s="1">
        <f>2.2+1.1*(LEN(B2)-1)</f>
        <v>6.6000000000000005</v>
      </c>
      <c r="G2" s="1">
        <f>1.3+0.65*(LEN(B2)-1)</f>
        <v>3.9000000000000004</v>
      </c>
      <c r="H2" s="1">
        <f>SUM(E2:G2)</f>
        <v>20.399999999999999</v>
      </c>
    </row>
    <row r="3" spans="1:8">
      <c r="A3" s="1" t="s">
        <v>11</v>
      </c>
      <c r="B3" s="1" t="s">
        <v>65</v>
      </c>
      <c r="C3" s="1" t="s">
        <v>12</v>
      </c>
      <c r="D3" s="1" t="s">
        <v>13</v>
      </c>
      <c r="E3" s="1">
        <f>2+1*(LEN(B3)-1)</f>
        <v>6</v>
      </c>
      <c r="F3" s="1">
        <f>1.9+0.95*(LEN(B3)-1)</f>
        <v>5.6999999999999993</v>
      </c>
      <c r="G3" s="1">
        <f>2.4+1.2*(LEN(B3)-1)</f>
        <v>7.1999999999999993</v>
      </c>
      <c r="H3" s="1">
        <f t="shared" ref="H3:H52" si="0">SUM(E3:G3)</f>
        <v>18.899999999999999</v>
      </c>
    </row>
    <row r="4" spans="1:8">
      <c r="A4" s="1" t="s">
        <v>14</v>
      </c>
      <c r="B4" s="1" t="s">
        <v>65</v>
      </c>
      <c r="C4" s="1" t="s">
        <v>15</v>
      </c>
      <c r="D4" s="1" t="s">
        <v>16</v>
      </c>
      <c r="E4" s="1">
        <f>1.5+0.75*(LEN(B4)-1)</f>
        <v>4.5</v>
      </c>
      <c r="F4" s="1">
        <f>3.2+1.65*(LEN(B4)-1)</f>
        <v>9.8000000000000007</v>
      </c>
      <c r="G4" s="1">
        <f>1.5+1.15*(LEN(B4)-1)</f>
        <v>6.1</v>
      </c>
      <c r="H4" s="1">
        <f t="shared" si="0"/>
        <v>20.399999999999999</v>
      </c>
    </row>
    <row r="5" spans="1:8">
      <c r="A5" s="1" t="s">
        <v>17</v>
      </c>
      <c r="B5" s="1" t="s">
        <v>65</v>
      </c>
      <c r="C5" s="1" t="s">
        <v>15</v>
      </c>
      <c r="D5" s="1" t="s">
        <v>16</v>
      </c>
      <c r="E5" s="1">
        <f>2.3+0.9*(LEN(B5)-1)</f>
        <v>5.9</v>
      </c>
      <c r="F5" s="1">
        <f>2.7+1.25*(LEN(B5)-1)</f>
        <v>7.7</v>
      </c>
      <c r="G5" s="1">
        <f>1.2+0.8*(LEN(B5)-1)</f>
        <v>4.4000000000000004</v>
      </c>
      <c r="H5" s="1">
        <f t="shared" si="0"/>
        <v>18</v>
      </c>
    </row>
    <row r="6" spans="1:8">
      <c r="A6" s="1" t="s">
        <v>18</v>
      </c>
      <c r="B6" s="1" t="s">
        <v>65</v>
      </c>
      <c r="C6" s="1" t="s">
        <v>9</v>
      </c>
      <c r="D6" s="1" t="s">
        <v>10</v>
      </c>
      <c r="E6" s="1">
        <f>2.7+1.35*(LEN(B6)-1)</f>
        <v>8.1000000000000014</v>
      </c>
      <c r="F6" s="1">
        <f>1.8+0.9*(LEN(B6)-1)</f>
        <v>5.4</v>
      </c>
      <c r="G6" s="1">
        <f>1.7+0.85*(LEN(B6)-1)</f>
        <v>5.0999999999999996</v>
      </c>
      <c r="H6" s="1">
        <f t="shared" si="0"/>
        <v>18.600000000000001</v>
      </c>
    </row>
    <row r="7" spans="1:8">
      <c r="A7" s="1" t="s">
        <v>19</v>
      </c>
      <c r="B7" s="1" t="s">
        <v>65</v>
      </c>
      <c r="C7" s="1" t="s">
        <v>15</v>
      </c>
      <c r="D7" s="1" t="s">
        <v>16</v>
      </c>
      <c r="E7" s="1">
        <f>2+1*(LEN(B7)-1)</f>
        <v>6</v>
      </c>
      <c r="F7" s="1">
        <f>3+1.6*(LEN(B7)-1)</f>
        <v>9.4</v>
      </c>
      <c r="G7" s="1">
        <f>1.2+0.6*(LEN(B7)-1)</f>
        <v>3.5999999999999996</v>
      </c>
      <c r="H7" s="1">
        <f t="shared" si="0"/>
        <v>19</v>
      </c>
    </row>
    <row r="8" spans="1:8">
      <c r="A8" s="1" t="s">
        <v>20</v>
      </c>
      <c r="B8" s="1" t="s">
        <v>65</v>
      </c>
      <c r="C8" s="1" t="s">
        <v>12</v>
      </c>
      <c r="D8" s="1" t="s">
        <v>13</v>
      </c>
      <c r="E8" s="1">
        <f>1.7+0.85*(LEN(B8)-1)</f>
        <v>5.0999999999999996</v>
      </c>
      <c r="F8" s="1">
        <f>2.1+1.05*(LEN(B8)-1)</f>
        <v>6.3000000000000007</v>
      </c>
      <c r="G8" s="1">
        <f>2.9+1.45*(LEN(B8)-1)</f>
        <v>8.6999999999999993</v>
      </c>
      <c r="H8" s="1">
        <f t="shared" si="0"/>
        <v>20.100000000000001</v>
      </c>
    </row>
    <row r="9" spans="1:8">
      <c r="A9" s="1" t="s">
        <v>21</v>
      </c>
      <c r="B9" s="1" t="s">
        <v>65</v>
      </c>
      <c r="C9" s="1" t="s">
        <v>9</v>
      </c>
      <c r="D9" s="1" t="s">
        <v>10</v>
      </c>
      <c r="E9" s="1">
        <f>3+1.7*(LEN(B9)-1)</f>
        <v>9.8000000000000007</v>
      </c>
      <c r="F9" s="1">
        <f>1.7+1*(LEN(B9)-1)</f>
        <v>5.7</v>
      </c>
      <c r="G9" s="1">
        <f>1.5+0.9*(LEN(B9)-1)</f>
        <v>5.0999999999999996</v>
      </c>
      <c r="H9" s="1">
        <f t="shared" si="0"/>
        <v>20.6</v>
      </c>
    </row>
    <row r="10" spans="1:8">
      <c r="A10" s="1" t="s">
        <v>22</v>
      </c>
      <c r="B10" s="1" t="s">
        <v>65</v>
      </c>
      <c r="C10" s="1" t="s">
        <v>12</v>
      </c>
      <c r="D10" s="1" t="s">
        <v>16</v>
      </c>
      <c r="E10" s="1">
        <f>1.2+0.6*(LEN(B10)-1)</f>
        <v>3.5999999999999996</v>
      </c>
      <c r="F10" s="1">
        <f>3+1.5*(LEN(B10)-1)</f>
        <v>9</v>
      </c>
      <c r="G10" s="1">
        <f>2+1*(LEN(B10)-1)</f>
        <v>6</v>
      </c>
      <c r="H10" s="1">
        <f t="shared" si="0"/>
        <v>18.600000000000001</v>
      </c>
    </row>
    <row r="11" spans="1:8">
      <c r="A11" s="1" t="s">
        <v>23</v>
      </c>
      <c r="B11" s="1" t="s">
        <v>65</v>
      </c>
      <c r="C11" s="1" t="s">
        <v>9</v>
      </c>
      <c r="D11" s="1" t="s">
        <v>16</v>
      </c>
      <c r="E11" s="1">
        <f>3.2+1.6*(LEN(B11)-1)</f>
        <v>9.6000000000000014</v>
      </c>
      <c r="F11" s="1">
        <f>2.4+1.2*(LEN(B11)-1)</f>
        <v>7.1999999999999993</v>
      </c>
      <c r="G11" s="1">
        <f>1.6+0.8*(LEN(B11)-1)</f>
        <v>4.8000000000000007</v>
      </c>
      <c r="H11" s="1">
        <f t="shared" si="0"/>
        <v>21.6</v>
      </c>
    </row>
    <row r="12" spans="1:8">
      <c r="A12" s="1" t="s">
        <v>24</v>
      </c>
      <c r="B12" s="1" t="s">
        <v>65</v>
      </c>
      <c r="C12" s="1" t="s">
        <v>12</v>
      </c>
      <c r="D12" s="1" t="s">
        <v>13</v>
      </c>
      <c r="E12" s="1">
        <f>1.9+0.95*(LEN(B12)-1)</f>
        <v>5.6999999999999993</v>
      </c>
      <c r="F12" s="1">
        <f>1.7+0.85*(LEN(B12)-1)</f>
        <v>5.0999999999999996</v>
      </c>
      <c r="G12" s="1">
        <f>2.8+1.4*(LEN(B12)-1)</f>
        <v>8.3999999999999986</v>
      </c>
      <c r="H12" s="1">
        <f t="shared" si="0"/>
        <v>19.199999999999996</v>
      </c>
    </row>
    <row r="13" spans="1:8">
      <c r="A13" s="1" t="s">
        <v>25</v>
      </c>
      <c r="B13" s="1" t="s">
        <v>65</v>
      </c>
      <c r="C13" s="1" t="s">
        <v>12</v>
      </c>
      <c r="D13" s="1" t="s">
        <v>16</v>
      </c>
      <c r="E13" s="1">
        <f>1.8+0.9*(LEN(B13)-1)</f>
        <v>5.4</v>
      </c>
      <c r="F13" s="1">
        <f>2.8+1.4*(LEN(B13)-1)</f>
        <v>8.3999999999999986</v>
      </c>
      <c r="G13" s="1">
        <f>1.6+0.8*(LEN(B13)-1)</f>
        <v>4.8000000000000007</v>
      </c>
      <c r="H13" s="1">
        <f t="shared" si="0"/>
        <v>18.600000000000001</v>
      </c>
    </row>
    <row r="14" spans="1:8">
      <c r="A14" s="1" t="s">
        <v>26</v>
      </c>
      <c r="B14" s="1" t="s">
        <v>65</v>
      </c>
      <c r="C14" s="1" t="s">
        <v>15</v>
      </c>
      <c r="D14" s="1" t="s">
        <v>13</v>
      </c>
      <c r="E14" s="1">
        <f>2.2+1.1*(LEN(B14)-1)</f>
        <v>6.6000000000000005</v>
      </c>
      <c r="F14" s="1">
        <f>1+0.5*(LEN(B14)-1)</f>
        <v>3</v>
      </c>
      <c r="G14" s="1">
        <f>2.8+1.4*(LEN(B14)-1)</f>
        <v>8.3999999999999986</v>
      </c>
      <c r="H14" s="1">
        <f t="shared" si="0"/>
        <v>18</v>
      </c>
    </row>
    <row r="15" spans="1:8">
      <c r="A15" s="1" t="s">
        <v>27</v>
      </c>
      <c r="B15" s="1" t="s">
        <v>65</v>
      </c>
      <c r="C15" s="1" t="s">
        <v>9</v>
      </c>
      <c r="D15" s="1" t="s">
        <v>10</v>
      </c>
      <c r="E15" s="1">
        <f>2.4+1.2*(LEN(B15)-1)</f>
        <v>7.1999999999999993</v>
      </c>
      <c r="F15" s="1">
        <f>2.1+1.05*(LEN(B15)-1)</f>
        <v>6.3000000000000007</v>
      </c>
      <c r="G15" s="1">
        <f>1.8+0.9*(LEN(B15)-1)</f>
        <v>5.4</v>
      </c>
      <c r="H15" s="1">
        <f t="shared" si="0"/>
        <v>18.899999999999999</v>
      </c>
    </row>
    <row r="16" spans="1:8">
      <c r="A16" s="1" t="s">
        <v>28</v>
      </c>
      <c r="B16" s="1" t="s">
        <v>65</v>
      </c>
      <c r="C16" s="1" t="s">
        <v>15</v>
      </c>
      <c r="D16" s="1" t="s">
        <v>16</v>
      </c>
      <c r="E16" s="1">
        <f>2.75+1.05*(LEN(B16)-2)</f>
        <v>5.9</v>
      </c>
      <c r="F16" s="1">
        <f>4.7+1.7*(LEN(B16)-2)</f>
        <v>9.8000000000000007</v>
      </c>
      <c r="G16" s="1">
        <f>2.25+0.75*(LEN(B16)-2)</f>
        <v>4.5</v>
      </c>
      <c r="H16" s="1">
        <f t="shared" si="0"/>
        <v>20.200000000000003</v>
      </c>
    </row>
    <row r="17" spans="1:8">
      <c r="A17" s="1" t="s">
        <v>29</v>
      </c>
      <c r="B17" s="1" t="s">
        <v>65</v>
      </c>
      <c r="C17" s="1" t="s">
        <v>15</v>
      </c>
      <c r="D17" s="1" t="s">
        <v>16</v>
      </c>
      <c r="E17" s="1">
        <f>2.55+0.85*(LEN(B17)-2)</f>
        <v>5.0999999999999996</v>
      </c>
      <c r="F17" s="1">
        <f>4.2+1.3*(LEN(B17)-2)</f>
        <v>8.1000000000000014</v>
      </c>
      <c r="G17" s="1">
        <f>2.5+0.9*(LEN(B17)-2)</f>
        <v>5.2</v>
      </c>
      <c r="H17" s="1">
        <f t="shared" si="0"/>
        <v>18.400000000000002</v>
      </c>
    </row>
    <row r="18" spans="1:8">
      <c r="A18" s="1" t="s">
        <v>30</v>
      </c>
      <c r="B18" s="1" t="s">
        <v>65</v>
      </c>
      <c r="C18" s="1" t="s">
        <v>9</v>
      </c>
      <c r="D18" s="1" t="s">
        <v>13</v>
      </c>
      <c r="E18" s="1">
        <f>3.75+1.45*(LEN(B18)-2)</f>
        <v>8.1</v>
      </c>
      <c r="F18" s="1">
        <f>2.85+0.95*(LEN(B18)-2)</f>
        <v>5.6999999999999993</v>
      </c>
      <c r="G18" s="1">
        <f>4.2+1.4*(LEN(B18)-2)</f>
        <v>8.3999999999999986</v>
      </c>
      <c r="H18" s="1">
        <f t="shared" si="0"/>
        <v>22.199999999999996</v>
      </c>
    </row>
    <row r="19" spans="1:8">
      <c r="A19" s="1" t="s">
        <v>31</v>
      </c>
      <c r="B19" s="1" t="s">
        <v>65</v>
      </c>
      <c r="C19" s="1" t="s">
        <v>9</v>
      </c>
      <c r="D19" s="1" t="s">
        <v>10</v>
      </c>
      <c r="E19" s="1">
        <f>4.2+1.4*(LEN(B19)-2)</f>
        <v>8.3999999999999986</v>
      </c>
      <c r="F19" s="1">
        <f>2.25+0.75*(LEN(B19)-2)</f>
        <v>4.5</v>
      </c>
      <c r="G19" s="1">
        <f>2.85+0.95*(LEN(B19)-2)</f>
        <v>5.6999999999999993</v>
      </c>
      <c r="H19" s="1">
        <f t="shared" si="0"/>
        <v>18.599999999999998</v>
      </c>
    </row>
    <row r="20" spans="1:8">
      <c r="A20" s="1" t="s">
        <v>32</v>
      </c>
      <c r="B20" s="1" t="s">
        <v>65</v>
      </c>
      <c r="C20" s="1" t="s">
        <v>15</v>
      </c>
      <c r="D20" s="1" t="s">
        <v>16</v>
      </c>
      <c r="E20" s="1">
        <f>1.8+0.6*(LEN(B20)-2)</f>
        <v>3.5999999999999996</v>
      </c>
      <c r="F20" s="1">
        <f>5.4+1.4*(LEN(B20)-2)</f>
        <v>9.6</v>
      </c>
      <c r="G20" s="1">
        <f>1.5+0.5*(LEN(B20)-2)</f>
        <v>3</v>
      </c>
      <c r="H20" s="1">
        <f t="shared" si="0"/>
        <v>16.2</v>
      </c>
    </row>
    <row r="21" spans="1:8">
      <c r="A21" s="1" t="s">
        <v>33</v>
      </c>
      <c r="B21" s="1" t="s">
        <v>65</v>
      </c>
      <c r="C21" s="1" t="s">
        <v>9</v>
      </c>
      <c r="D21" s="1" t="s">
        <v>10</v>
      </c>
      <c r="E21" s="1">
        <f>4.35+1.45*(LEN(B21)-2)</f>
        <v>8.6999999999999993</v>
      </c>
      <c r="F21" s="1">
        <f>2.4+0.8*(LEN(B21)-2)</f>
        <v>4.8000000000000007</v>
      </c>
      <c r="G21" s="1">
        <f>2.55+0.85*(LEN(B21)-2)</f>
        <v>5.0999999999999996</v>
      </c>
      <c r="H21" s="1">
        <f t="shared" si="0"/>
        <v>18.600000000000001</v>
      </c>
    </row>
    <row r="22" spans="1:8">
      <c r="A22" s="1" t="s">
        <v>34</v>
      </c>
      <c r="B22" s="1" t="s">
        <v>65</v>
      </c>
      <c r="C22" s="1" t="s">
        <v>15</v>
      </c>
      <c r="D22" s="1" t="s">
        <v>16</v>
      </c>
      <c r="E22" s="1">
        <f>2.55+0.85*(LEN(B22)-2)</f>
        <v>5.0999999999999996</v>
      </c>
      <c r="F22" s="1">
        <f>4.35+1.45*(LEN(B22)-2)</f>
        <v>8.6999999999999993</v>
      </c>
      <c r="G22" s="1">
        <f>2.55+0.85*(LEN(B22)-2)</f>
        <v>5.0999999999999996</v>
      </c>
      <c r="H22" s="1">
        <f t="shared" si="0"/>
        <v>18.899999999999999</v>
      </c>
    </row>
    <row r="23" spans="1:8">
      <c r="A23" s="1" t="s">
        <v>35</v>
      </c>
      <c r="B23" s="1" t="s">
        <v>65</v>
      </c>
      <c r="C23" s="1" t="s">
        <v>15</v>
      </c>
      <c r="D23" s="1" t="s">
        <v>13</v>
      </c>
      <c r="E23" s="1">
        <f>3+1*(LEN(B23)-2)</f>
        <v>6</v>
      </c>
      <c r="F23" s="1">
        <f>2.7+1*(LEN(B23)-2)</f>
        <v>5.7</v>
      </c>
      <c r="G23" s="1">
        <f>4.2+1.6*(LEN(B23)-2)</f>
        <v>9</v>
      </c>
      <c r="H23" s="1">
        <f t="shared" si="0"/>
        <v>20.7</v>
      </c>
    </row>
    <row r="24" spans="1:8">
      <c r="A24" s="1" t="s">
        <v>36</v>
      </c>
      <c r="B24" s="1" t="s">
        <v>65</v>
      </c>
      <c r="C24" s="1" t="s">
        <v>12</v>
      </c>
      <c r="D24" s="1" t="s">
        <v>13</v>
      </c>
      <c r="E24" s="1">
        <f>3.9+1.3*(LEN(B24)-2)</f>
        <v>7.8000000000000007</v>
      </c>
      <c r="F24" s="1">
        <f>2.7+0.9*(LEN(B24)-2)</f>
        <v>5.4</v>
      </c>
      <c r="G24" s="1">
        <f>4.2+1.4*(LEN(B24)-2)</f>
        <v>8.3999999999999986</v>
      </c>
      <c r="H24" s="1">
        <f t="shared" si="0"/>
        <v>21.6</v>
      </c>
    </row>
    <row r="25" spans="1:8">
      <c r="A25" s="1" t="s">
        <v>37</v>
      </c>
      <c r="B25" s="1" t="s">
        <v>65</v>
      </c>
      <c r="C25" s="1" t="s">
        <v>9</v>
      </c>
      <c r="D25" s="1" t="s">
        <v>10</v>
      </c>
      <c r="E25" s="1">
        <f>4.95+1.65*(LEN(B25)-2)</f>
        <v>9.8999999999999986</v>
      </c>
      <c r="F25" s="1">
        <f>3.3+1.1*(LEN(B25)-2)</f>
        <v>6.6</v>
      </c>
      <c r="G25" s="1">
        <f>1.35+0.45*(LEN(B25)-2)</f>
        <v>2.7</v>
      </c>
      <c r="H25" s="1">
        <f t="shared" si="0"/>
        <v>19.2</v>
      </c>
    </row>
    <row r="26" spans="1:8">
      <c r="A26" s="1" t="s">
        <v>38</v>
      </c>
      <c r="B26" s="1" t="s">
        <v>65</v>
      </c>
      <c r="C26" s="1" t="s">
        <v>15</v>
      </c>
      <c r="D26" s="1" t="s">
        <v>16</v>
      </c>
      <c r="E26" s="1">
        <f>3.9+1.3*(LEN(B26)-2)</f>
        <v>7.8000000000000007</v>
      </c>
      <c r="F26" s="1">
        <f>3.6+1.3*(LEN(B26)-2)</f>
        <v>7.5</v>
      </c>
      <c r="G26" s="1">
        <f>3+1*(LEN(B26)-2)</f>
        <v>6</v>
      </c>
      <c r="H26" s="1">
        <f t="shared" si="0"/>
        <v>21.3</v>
      </c>
    </row>
    <row r="27" spans="1:8">
      <c r="A27" s="1" t="s">
        <v>39</v>
      </c>
      <c r="B27" s="1" t="s">
        <v>65</v>
      </c>
      <c r="C27" s="1" t="s">
        <v>15</v>
      </c>
      <c r="D27" s="1" t="s">
        <v>16</v>
      </c>
      <c r="E27" s="1">
        <f>2.4+0.8*(LEN(B27)-2)</f>
        <v>4.8000000000000007</v>
      </c>
      <c r="F27" s="1">
        <f>4.95+1.65*(LEN(B27)-2)</f>
        <v>9.8999999999999986</v>
      </c>
      <c r="G27" s="1">
        <f>3+1*(LEN(B27)-2)</f>
        <v>6</v>
      </c>
      <c r="H27" s="1">
        <f t="shared" si="0"/>
        <v>20.7</v>
      </c>
    </row>
    <row r="28" spans="1:8">
      <c r="A28" s="1" t="s">
        <v>40</v>
      </c>
      <c r="B28" s="1" t="s">
        <v>65</v>
      </c>
      <c r="C28" s="1" t="s">
        <v>15</v>
      </c>
      <c r="D28" s="1" t="s">
        <v>16</v>
      </c>
      <c r="E28" s="1">
        <f>3.45+1.15*(LEN(B28)-2)</f>
        <v>6.9</v>
      </c>
      <c r="F28" s="1">
        <f>4.2+1.4*(LEN(B28)-2)</f>
        <v>8.3999999999999986</v>
      </c>
      <c r="G28" s="1">
        <f>1.8+0.6*(LEN(B28)-2)</f>
        <v>3.5999999999999996</v>
      </c>
      <c r="H28" s="1">
        <f t="shared" si="0"/>
        <v>18.899999999999999</v>
      </c>
    </row>
    <row r="29" spans="1:8">
      <c r="A29" s="1" t="s">
        <v>41</v>
      </c>
      <c r="B29" s="1" t="s">
        <v>65</v>
      </c>
      <c r="C29" s="1" t="s">
        <v>12</v>
      </c>
      <c r="D29" s="1" t="s">
        <v>13</v>
      </c>
      <c r="E29" s="1">
        <f>2.7+0.9*(LEN(B29)-2)</f>
        <v>5.4</v>
      </c>
      <c r="F29" s="1">
        <f>3.15+1.05*(LEN(B29)-2)</f>
        <v>6.3000000000000007</v>
      </c>
      <c r="G29" s="1">
        <f>4.2+1.4*(LEN(B29)-2)</f>
        <v>8.3999999999999986</v>
      </c>
      <c r="H29" s="1">
        <f t="shared" si="0"/>
        <v>20.100000000000001</v>
      </c>
    </row>
    <row r="30" spans="1:8">
      <c r="A30" s="1" t="s">
        <v>42</v>
      </c>
      <c r="B30" s="1" t="s">
        <v>65</v>
      </c>
      <c r="C30" s="1" t="s">
        <v>15</v>
      </c>
      <c r="D30" s="1" t="s">
        <v>16</v>
      </c>
      <c r="E30" s="1">
        <f>3.3+1.1*(LEN(B30)-2)</f>
        <v>6.6</v>
      </c>
      <c r="F30" s="1">
        <f>4.5+1.5*(LEN(B30)-2)</f>
        <v>9</v>
      </c>
      <c r="G30" s="1">
        <f>2.1+0.7*(LEN(B30)-2)</f>
        <v>4.1999999999999993</v>
      </c>
      <c r="H30" s="1">
        <f t="shared" si="0"/>
        <v>19.799999999999997</v>
      </c>
    </row>
    <row r="31" spans="1:8">
      <c r="A31" s="1" t="s">
        <v>43</v>
      </c>
      <c r="B31" s="1" t="s">
        <v>65</v>
      </c>
      <c r="C31" s="1" t="s">
        <v>9</v>
      </c>
      <c r="D31" s="1" t="s">
        <v>13</v>
      </c>
      <c r="E31" s="1">
        <f>1.8+0.6*(LEN(B31)-2)</f>
        <v>3.5999999999999996</v>
      </c>
      <c r="F31" s="1">
        <f>2.7+0.9*(LEN(B31)-2)</f>
        <v>5.4</v>
      </c>
      <c r="G31" s="1">
        <f>4.2+1.4*(LEN(B31)-2)</f>
        <v>8.3999999999999986</v>
      </c>
      <c r="H31" s="1">
        <f t="shared" si="0"/>
        <v>17.399999999999999</v>
      </c>
    </row>
    <row r="32" spans="1:8">
      <c r="A32" s="1" t="s">
        <v>44</v>
      </c>
      <c r="B32" s="1" t="s">
        <v>65</v>
      </c>
      <c r="C32" s="1" t="s">
        <v>9</v>
      </c>
      <c r="D32" s="1" t="s">
        <v>10</v>
      </c>
      <c r="E32" s="1">
        <f>4.95+1.65*(LEN(B32)-2)</f>
        <v>9.8999999999999986</v>
      </c>
      <c r="F32" s="1">
        <f>2.85+0.95*(LEN(B32)-2)</f>
        <v>5.6999999999999993</v>
      </c>
      <c r="G32" s="1">
        <f>1.65+0.55*(LEN(B32)-2)</f>
        <v>3.3</v>
      </c>
      <c r="H32" s="1">
        <f t="shared" si="0"/>
        <v>18.899999999999999</v>
      </c>
    </row>
    <row r="33" spans="1:8">
      <c r="A33" s="1" t="s">
        <v>45</v>
      </c>
      <c r="B33" s="1" t="s">
        <v>65</v>
      </c>
      <c r="C33" s="1" t="s">
        <v>15</v>
      </c>
      <c r="D33" s="1" t="s">
        <v>10</v>
      </c>
      <c r="E33" s="1">
        <f>3.75+1.25*(LEN(B33)-2)</f>
        <v>7.5</v>
      </c>
      <c r="F33" s="1">
        <f>3.3+1.1*(LEN(B33)-2)</f>
        <v>6.6</v>
      </c>
      <c r="G33" s="1">
        <f>1.95+0.65*(LEN(B33)-2)</f>
        <v>3.9000000000000004</v>
      </c>
      <c r="H33" s="1">
        <f t="shared" si="0"/>
        <v>18</v>
      </c>
    </row>
    <row r="34" spans="1:8">
      <c r="A34" s="1" t="s">
        <v>46</v>
      </c>
      <c r="B34" s="1" t="s">
        <v>65</v>
      </c>
      <c r="C34" s="1" t="s">
        <v>9</v>
      </c>
      <c r="D34" s="1" t="s">
        <v>13</v>
      </c>
      <c r="E34" s="1">
        <f>4.8+1.2*(LEN(B34)-3)</f>
        <v>7.1999999999999993</v>
      </c>
      <c r="F34" s="1">
        <f>3.6+0.9*(LEN(B34)-3)</f>
        <v>5.4</v>
      </c>
      <c r="G34" s="1">
        <f>4.8+1.2*(LEN(B34)-3)</f>
        <v>7.1999999999999993</v>
      </c>
      <c r="H34" s="1">
        <f t="shared" si="0"/>
        <v>19.799999999999997</v>
      </c>
    </row>
    <row r="35" spans="1:8">
      <c r="A35" s="1" t="s">
        <v>47</v>
      </c>
      <c r="B35" s="1" t="s">
        <v>65</v>
      </c>
      <c r="C35" s="1" t="s">
        <v>15</v>
      </c>
      <c r="D35" s="1" t="s">
        <v>13</v>
      </c>
      <c r="E35" s="1">
        <f>3.4+0.85*(LEN(B35)-3)</f>
        <v>5.0999999999999996</v>
      </c>
      <c r="F35" s="1">
        <f>5+1.25*(LEN(B35)-3)</f>
        <v>7.5</v>
      </c>
      <c r="G35" s="1">
        <f>4+1*(LEN(B35)-3)</f>
        <v>6</v>
      </c>
      <c r="H35" s="1">
        <f t="shared" si="0"/>
        <v>18.600000000000001</v>
      </c>
    </row>
    <row r="36" spans="1:8">
      <c r="A36" s="1" t="s">
        <v>48</v>
      </c>
      <c r="B36" s="1" t="s">
        <v>65</v>
      </c>
      <c r="C36" s="1" t="s">
        <v>12</v>
      </c>
      <c r="D36" s="1" t="s">
        <v>16</v>
      </c>
      <c r="E36" s="1">
        <f>5+1.25*(LEN(B36)-3)</f>
        <v>7.5</v>
      </c>
      <c r="F36" s="1">
        <f>5.8+1.45*(LEN(B36)-3)</f>
        <v>8.6999999999999993</v>
      </c>
      <c r="G36" s="1">
        <f>3.2+0.8*(LEN(B36)-3)</f>
        <v>4.8000000000000007</v>
      </c>
      <c r="H36" s="1">
        <f t="shared" si="0"/>
        <v>21</v>
      </c>
    </row>
    <row r="37" spans="1:8">
      <c r="A37" s="1" t="s">
        <v>49</v>
      </c>
      <c r="B37" s="1" t="s">
        <v>65</v>
      </c>
      <c r="C37" s="1" t="s">
        <v>15</v>
      </c>
      <c r="D37" s="1" t="s">
        <v>13</v>
      </c>
      <c r="E37" s="1">
        <f>3.4+0.85*(LEN(B37)-3)</f>
        <v>5.0999999999999996</v>
      </c>
      <c r="F37" s="1">
        <f>3.6+0.9*(LEN(B37)-3)</f>
        <v>5.4</v>
      </c>
      <c r="G37" s="1">
        <f>6.2+1.7*(LEN(B37)-3)</f>
        <v>9.6</v>
      </c>
      <c r="H37" s="1">
        <f t="shared" si="0"/>
        <v>20.100000000000001</v>
      </c>
    </row>
    <row r="38" spans="1:8">
      <c r="A38" s="1" t="s">
        <v>50</v>
      </c>
      <c r="B38" s="1" t="s">
        <v>65</v>
      </c>
      <c r="C38" s="1" t="s">
        <v>12</v>
      </c>
      <c r="D38" s="1" t="s">
        <v>13</v>
      </c>
      <c r="E38" s="1">
        <f>3.2+0.8*(LEN(B38)-3)</f>
        <v>4.8000000000000007</v>
      </c>
      <c r="F38" s="1">
        <f>3.2+0.8*(LEN(B38)-3)</f>
        <v>4.8000000000000007</v>
      </c>
      <c r="G38" s="1">
        <f>5.6+1.4*(LEN(B38)-3)</f>
        <v>8.3999999999999986</v>
      </c>
      <c r="H38" s="1">
        <f t="shared" si="0"/>
        <v>18</v>
      </c>
    </row>
    <row r="39" spans="1:8">
      <c r="A39" s="1" t="s">
        <v>51</v>
      </c>
      <c r="B39" s="1" t="s">
        <v>65</v>
      </c>
      <c r="C39" s="1" t="s">
        <v>9</v>
      </c>
      <c r="D39" s="1" t="s">
        <v>16</v>
      </c>
      <c r="E39" s="1">
        <f>4+1*(LEN(B39)-3)</f>
        <v>6</v>
      </c>
      <c r="F39" s="1">
        <f>5+1.25*(LEN(B39)-3)</f>
        <v>7.5</v>
      </c>
      <c r="G39" s="1">
        <f>3.4+0.85*(LEN(B39)-3)</f>
        <v>5.0999999999999996</v>
      </c>
      <c r="H39" s="1">
        <f t="shared" si="0"/>
        <v>18.600000000000001</v>
      </c>
    </row>
    <row r="40" spans="1:8">
      <c r="A40" s="1" t="s">
        <v>52</v>
      </c>
      <c r="B40" s="1" t="s">
        <v>65</v>
      </c>
      <c r="C40" s="1" t="s">
        <v>15</v>
      </c>
      <c r="D40" s="1" t="s">
        <v>16</v>
      </c>
      <c r="E40" s="1">
        <f>3.2+0.8*(LEN(B40)-3)</f>
        <v>4.8000000000000007</v>
      </c>
      <c r="F40" s="1">
        <f>6+1.5*(LEN(B40)-3)</f>
        <v>9</v>
      </c>
      <c r="G40" s="1">
        <f>3.4+0.85*(LEN(B40)-3)</f>
        <v>5.0999999999999996</v>
      </c>
      <c r="H40" s="1">
        <f t="shared" si="0"/>
        <v>18.899999999999999</v>
      </c>
    </row>
    <row r="41" spans="1:8">
      <c r="A41" s="1" t="s">
        <v>53</v>
      </c>
      <c r="B41" s="1" t="s">
        <v>65</v>
      </c>
      <c r="C41" s="1" t="s">
        <v>9</v>
      </c>
      <c r="D41" s="1" t="s">
        <v>10</v>
      </c>
      <c r="E41" s="1">
        <f>6.6+1.65*(LEN(B41)-3)</f>
        <v>9.8999999999999986</v>
      </c>
      <c r="F41" s="1">
        <f>2+0.5*(LEN(B41)-3)</f>
        <v>3</v>
      </c>
      <c r="G41" s="1">
        <f>5.6+1.4*(LEN(B41)-3)</f>
        <v>8.3999999999999986</v>
      </c>
      <c r="H41" s="1">
        <f t="shared" si="0"/>
        <v>21.299999999999997</v>
      </c>
    </row>
    <row r="42" spans="1:8">
      <c r="A42" s="1" t="s">
        <v>54</v>
      </c>
      <c r="B42" s="1" t="s">
        <v>65</v>
      </c>
      <c r="C42" s="1" t="s">
        <v>9</v>
      </c>
      <c r="D42" s="1" t="s">
        <v>13</v>
      </c>
      <c r="E42" s="1">
        <f>6.3+1.6*(LEN(B42)-3)</f>
        <v>9.5</v>
      </c>
      <c r="F42" s="1">
        <f>2.1+0.4*(LEN(B42)-3)</f>
        <v>2.9000000000000004</v>
      </c>
      <c r="G42" s="1">
        <f>5.1+1.4*(LEN(B42)-3)</f>
        <v>7.8999999999999995</v>
      </c>
      <c r="H42" s="1">
        <f t="shared" si="0"/>
        <v>20.3</v>
      </c>
    </row>
    <row r="43" spans="1:8">
      <c r="A43" s="1" t="s">
        <v>55</v>
      </c>
      <c r="B43" s="1" t="s">
        <v>65</v>
      </c>
      <c r="C43" s="1" t="s">
        <v>9</v>
      </c>
      <c r="D43" s="1" t="s">
        <v>10</v>
      </c>
      <c r="E43" s="1">
        <f>6.2+1.6*(LEN(B43)-3)</f>
        <v>9.4</v>
      </c>
      <c r="F43" s="1">
        <f>3.6+0.9*(LEN(B43)-3)</f>
        <v>5.4</v>
      </c>
      <c r="G43" s="1">
        <f>2.8+0.7*(LEN(B43)-3)</f>
        <v>4.1999999999999993</v>
      </c>
      <c r="H43" s="1">
        <f t="shared" si="0"/>
        <v>19</v>
      </c>
    </row>
    <row r="44" spans="1:8">
      <c r="A44" s="1" t="s">
        <v>56</v>
      </c>
      <c r="B44" s="1" t="s">
        <v>65</v>
      </c>
      <c r="C44" s="1" t="s">
        <v>15</v>
      </c>
      <c r="D44" s="1" t="s">
        <v>13</v>
      </c>
      <c r="E44" s="1">
        <f>3.8+0.95*(LEN(B44)-3)</f>
        <v>5.6999999999999993</v>
      </c>
      <c r="F44" s="1">
        <f>3.9+1*(LEN(B44)-3)</f>
        <v>5.9</v>
      </c>
      <c r="G44" s="1">
        <f>6.3+1.75*(LEN(B44)-3)</f>
        <v>9.8000000000000007</v>
      </c>
      <c r="H44" s="1">
        <f t="shared" si="0"/>
        <v>21.4</v>
      </c>
    </row>
    <row r="45" spans="1:8">
      <c r="A45" s="1" t="s">
        <v>57</v>
      </c>
      <c r="B45" s="1" t="s">
        <v>65</v>
      </c>
      <c r="C45" s="1" t="s">
        <v>9</v>
      </c>
      <c r="D45" s="1" t="s">
        <v>13</v>
      </c>
      <c r="E45" s="1">
        <f>4.1+1.1*(LEN(B45)-3)</f>
        <v>6.3</v>
      </c>
      <c r="F45" s="1">
        <f>2.8+0.7*(LEN(B45)-3)</f>
        <v>4.1999999999999993</v>
      </c>
      <c r="G45" s="1">
        <f>6.4+1.6*(LEN(B45)-3)</f>
        <v>9.6000000000000014</v>
      </c>
      <c r="H45" s="1">
        <f t="shared" si="0"/>
        <v>20.100000000000001</v>
      </c>
    </row>
    <row r="46" spans="1:8">
      <c r="A46" s="1" t="s">
        <v>58</v>
      </c>
      <c r="B46" s="1" t="s">
        <v>65</v>
      </c>
      <c r="C46" s="1" t="s">
        <v>9</v>
      </c>
      <c r="D46" s="1" t="s">
        <v>10</v>
      </c>
      <c r="E46" s="1">
        <f>6.4+1.6*(LEN(B46)-3)</f>
        <v>9.6000000000000014</v>
      </c>
      <c r="F46" s="1">
        <f>2.8+0.7*(LEN(B46)-3)</f>
        <v>4.1999999999999993</v>
      </c>
      <c r="G46" s="1">
        <f>4+1*(LEN(B46)-3)</f>
        <v>6</v>
      </c>
      <c r="H46" s="1">
        <f t="shared" si="0"/>
        <v>19.8</v>
      </c>
    </row>
    <row r="47" spans="1:8">
      <c r="A47" s="1" t="s">
        <v>59</v>
      </c>
      <c r="B47" s="1" t="s">
        <v>65</v>
      </c>
      <c r="C47" s="1" t="s">
        <v>15</v>
      </c>
      <c r="D47" s="1" t="s">
        <v>10</v>
      </c>
      <c r="E47" s="1">
        <f>6.2+1.7*(LEN(B47)-3)</f>
        <v>9.6</v>
      </c>
      <c r="F47" s="1">
        <f>3+0.75*(LEN(B47)-3)</f>
        <v>4.5</v>
      </c>
      <c r="G47" s="1">
        <f>2.8+0.7*(LEN(B47)-3)</f>
        <v>4.1999999999999993</v>
      </c>
      <c r="H47" s="1">
        <f t="shared" si="0"/>
        <v>18.299999999999997</v>
      </c>
    </row>
    <row r="48" spans="1:8">
      <c r="A48" s="1" t="s">
        <v>60</v>
      </c>
      <c r="B48" s="1" t="s">
        <v>65</v>
      </c>
      <c r="C48" s="1" t="s">
        <v>12</v>
      </c>
      <c r="D48" s="1" t="s">
        <v>13</v>
      </c>
      <c r="E48" s="1">
        <f>3.8+0.95*(LEN(B48)-3)</f>
        <v>5.6999999999999993</v>
      </c>
      <c r="F48" s="1">
        <f>3.6+0.9*(LEN(B48)-3)</f>
        <v>5.4</v>
      </c>
      <c r="G48" s="1">
        <f>5.7+1.6*(LEN(B48)-3)</f>
        <v>8.9</v>
      </c>
      <c r="H48" s="1">
        <f t="shared" si="0"/>
        <v>20</v>
      </c>
    </row>
    <row r="49" spans="1:8">
      <c r="A49" s="1" t="s">
        <v>61</v>
      </c>
      <c r="B49" s="1" t="s">
        <v>65</v>
      </c>
      <c r="C49" s="1" t="s">
        <v>9</v>
      </c>
      <c r="D49" s="1" t="s">
        <v>10</v>
      </c>
      <c r="E49" s="1">
        <f>5.6+1.4*(LEN(B49)-3)</f>
        <v>8.3999999999999986</v>
      </c>
      <c r="F49" s="1">
        <f>4+1*(LEN(B49)-3)</f>
        <v>6</v>
      </c>
      <c r="G49" s="1">
        <f>3+0.75*(LEN(B49)-3)</f>
        <v>4.5</v>
      </c>
      <c r="H49" s="1">
        <f t="shared" si="0"/>
        <v>18.899999999999999</v>
      </c>
    </row>
    <row r="50" spans="1:8">
      <c r="A50" s="1" t="s">
        <v>62</v>
      </c>
      <c r="B50" s="1" t="s">
        <v>65</v>
      </c>
      <c r="C50" s="1" t="s">
        <v>15</v>
      </c>
      <c r="D50" s="1" t="s">
        <v>16</v>
      </c>
      <c r="E50" s="1">
        <f>5+1.25*(LEN(B50)-3)</f>
        <v>7.5</v>
      </c>
      <c r="F50" s="1">
        <f>5.4+1.35*(LEN(B50)-3)</f>
        <v>8.1000000000000014</v>
      </c>
      <c r="G50" s="1">
        <f>2+0.5*(LEN(B50)-3)</f>
        <v>3</v>
      </c>
      <c r="H50" s="1">
        <f t="shared" si="0"/>
        <v>18.600000000000001</v>
      </c>
    </row>
    <row r="51" spans="1:8">
      <c r="A51" s="1" t="s">
        <v>63</v>
      </c>
      <c r="B51" s="1" t="s">
        <v>65</v>
      </c>
      <c r="C51" s="1" t="s">
        <v>12</v>
      </c>
      <c r="D51" s="1" t="s">
        <v>13</v>
      </c>
      <c r="E51" s="1">
        <f>3.4+0.85*(LEN(B51)-3)</f>
        <v>5.0999999999999996</v>
      </c>
      <c r="F51" s="1">
        <f>4.2+1.05*(LEN(B51)-3)</f>
        <v>6.3000000000000007</v>
      </c>
      <c r="G51" s="1">
        <f>5.8+1.45*(LEN(B51)-3)</f>
        <v>8.6999999999999993</v>
      </c>
      <c r="H51" s="1">
        <f t="shared" si="0"/>
        <v>20.100000000000001</v>
      </c>
    </row>
    <row r="52" spans="1:8">
      <c r="A52" s="1" t="s">
        <v>64</v>
      </c>
      <c r="B52" s="1" t="s">
        <v>65</v>
      </c>
      <c r="C52" s="1" t="s">
        <v>15</v>
      </c>
      <c r="D52" s="1" t="s">
        <v>13</v>
      </c>
      <c r="E52" s="1">
        <f>4.2+1.05*(LEN(B52)-3)</f>
        <v>6.3000000000000007</v>
      </c>
      <c r="F52" s="1">
        <f>4+1*(LEN(B52)-3)</f>
        <v>6</v>
      </c>
      <c r="G52" s="1">
        <f>5.4+1.35*(LEN(B52)-3)</f>
        <v>8.1000000000000014</v>
      </c>
      <c r="H52" s="1">
        <f t="shared" si="0"/>
        <v>20.400000000000002</v>
      </c>
    </row>
  </sheetData>
  <phoneticPr fontId="1" type="noConversion"/>
  <conditionalFormatting sqref="H1:H1048576">
    <cfRule type="cellIs" dxfId="0" priority="4" operator="greaterThan">
      <formula>21</formula>
    </cfRule>
    <cfRule type="cellIs" dxfId="1" priority="3" operator="between">
      <formula>20</formula>
      <formula>21</formula>
    </cfRule>
    <cfRule type="cellIs" dxfId="2" priority="2" operator="between">
      <formula>19</formula>
      <formula>20</formula>
    </cfRule>
    <cfRule type="cellIs" dxfId="3" priority="1" operator="lessThan">
      <formula>19</formula>
    </cfRule>
  </conditionalFormatting>
  <dataValidations count="4">
    <dataValidation type="list" allowBlank="1" showInputMessage="1" showErrorMessage="1" sqref="K35">
      <formula1>$A$2:$A$52</formula1>
    </dataValidation>
    <dataValidation type="list" allowBlank="1" showInputMessage="1" showErrorMessage="1" sqref="C2:C1048576">
      <formula1>"前排,中排,后排"</formula1>
    </dataValidation>
    <dataValidation type="list" allowBlank="1" showInputMessage="1" showErrorMessage="1" sqref="D2:D1048576">
      <formula1>"力,敏,智"</formula1>
    </dataValidation>
    <dataValidation type="list" allowBlank="1" showInputMessage="1" showErrorMessage="1" sqref="B2:B1048576">
      <formula1>"★,★★,★★★,★★★★,★★★★★"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英雄成长</vt:lpstr>
      <vt:lpstr>Sheet2</vt:lpstr>
      <vt:lpstr>Sheet3</vt:lpstr>
      <vt:lpstr>Chart1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2014-08-22T03:28:57Z</dcterms:modified>
</cp:coreProperties>
</file>