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0" windowWidth="28800" windowHeight="12450" activeTab="1"/>
  </bookViews>
  <sheets>
    <sheet name="职业设定" sheetId="1" r:id="rId1"/>
    <sheet name="战斗模拟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1" i="2" l="1"/>
  <c r="D31" i="2" l="1"/>
  <c r="E31" i="2"/>
  <c r="F31" i="2"/>
  <c r="G31" i="2"/>
  <c r="H31" i="2"/>
  <c r="I31" i="2"/>
  <c r="J31" i="2"/>
  <c r="K31" i="2"/>
  <c r="D2" i="2"/>
  <c r="E2" i="2"/>
  <c r="F2" i="2"/>
  <c r="G2" i="2"/>
  <c r="H2" i="2"/>
  <c r="I2" i="2"/>
  <c r="J2" i="2"/>
  <c r="K2" i="2"/>
  <c r="C2" i="2"/>
  <c r="T27" i="1" l="1"/>
  <c r="Z24" i="1"/>
  <c r="B12" i="1"/>
  <c r="B4" i="1" l="1"/>
  <c r="D35" i="1"/>
  <c r="E35" i="1" s="1"/>
  <c r="P32" i="1"/>
  <c r="Q32" i="1" s="1"/>
  <c r="B6" i="1"/>
  <c r="B14" i="1"/>
  <c r="B19" i="1"/>
  <c r="B10" i="1"/>
  <c r="M26" i="1"/>
  <c r="M24" i="1"/>
  <c r="B8" i="1"/>
  <c r="S27" i="1" l="1"/>
  <c r="X24" i="1"/>
  <c r="L32" i="1" s="1"/>
  <c r="M32" i="1" s="1"/>
  <c r="W26" i="1"/>
  <c r="R27" i="1"/>
  <c r="B35" i="1" s="1"/>
  <c r="Y27" i="1"/>
  <c r="N35" i="1" s="1"/>
  <c r="S26" i="1"/>
  <c r="U25" i="1"/>
  <c r="F33" i="1" s="1"/>
  <c r="G33" i="1" s="1"/>
  <c r="U26" i="1"/>
  <c r="F34" i="1" s="1"/>
  <c r="W27" i="1"/>
  <c r="M23" i="1"/>
  <c r="V27" i="1" s="1"/>
  <c r="H35" i="1" s="1"/>
  <c r="I35" i="1" s="1"/>
  <c r="M27" i="1"/>
  <c r="T26" i="1" s="1"/>
  <c r="D34" i="1" s="1"/>
  <c r="E34" i="1" s="1"/>
  <c r="X27" i="1"/>
  <c r="L35" i="1" s="1"/>
  <c r="M35" i="1" s="1"/>
  <c r="V25" i="1"/>
  <c r="H33" i="1" s="1"/>
  <c r="I33" i="1" s="1"/>
  <c r="V26" i="1"/>
  <c r="H34" i="1" s="1"/>
  <c r="I34" i="1" s="1"/>
  <c r="X26" i="1"/>
  <c r="L34" i="1" s="1"/>
  <c r="M34" i="1" s="1"/>
  <c r="R26" i="1"/>
  <c r="B34" i="1" s="1"/>
  <c r="Z26" i="1"/>
  <c r="P34" i="1" s="1"/>
  <c r="Q34" i="1" s="1"/>
  <c r="Y24" i="1"/>
  <c r="N32" i="1" s="1"/>
  <c r="O32" i="1" s="1"/>
  <c r="T25" i="1"/>
  <c r="D33" i="1" s="1"/>
  <c r="E33" i="1" s="1"/>
  <c r="Z27" i="1"/>
  <c r="P35" i="1" s="1"/>
  <c r="Q35" i="1" s="1"/>
  <c r="B17" i="1"/>
  <c r="D1" i="1"/>
  <c r="B3" i="1" s="1"/>
  <c r="H41" i="1" l="1"/>
  <c r="H42" i="1"/>
  <c r="H39" i="1"/>
  <c r="O35" i="1"/>
  <c r="J34" i="1"/>
  <c r="K34" i="1" s="1"/>
  <c r="B44" i="1"/>
  <c r="B45" i="1"/>
  <c r="B46" i="1"/>
  <c r="G34" i="1"/>
  <c r="Y26" i="1"/>
  <c r="N34" i="1" s="1"/>
  <c r="O34" i="1" s="1"/>
  <c r="T24" i="1"/>
  <c r="D32" i="1" s="1"/>
  <c r="E32" i="1" s="1"/>
  <c r="U24" i="1"/>
  <c r="F32" i="1" s="1"/>
  <c r="G32" i="1" s="1"/>
  <c r="M22" i="1"/>
  <c r="M21" i="1" s="1"/>
  <c r="S25" i="1"/>
  <c r="C33" i="1" s="1"/>
  <c r="R24" i="1"/>
  <c r="B32" i="1" s="1"/>
  <c r="W25" i="1"/>
  <c r="J33" i="1" s="1"/>
  <c r="K33" i="1" s="1"/>
  <c r="U27" i="1"/>
  <c r="F35" i="1" s="1"/>
  <c r="R25" i="1"/>
  <c r="B33" i="1" s="1"/>
  <c r="Z25" i="1"/>
  <c r="P33" i="1" s="1"/>
  <c r="Q33" i="1" s="1"/>
  <c r="H40" i="1" s="1"/>
  <c r="X25" i="1"/>
  <c r="L33" i="1" s="1"/>
  <c r="M33" i="1" s="1"/>
  <c r="W24" i="1"/>
  <c r="S24" i="1"/>
  <c r="C32" i="1" s="1"/>
  <c r="V24" i="1"/>
  <c r="H32" i="1" s="1"/>
  <c r="I32" i="1" s="1"/>
  <c r="Y25" i="1"/>
  <c r="N33" i="1" s="1"/>
  <c r="O33" i="1" s="1"/>
  <c r="C34" i="1"/>
  <c r="C35" i="1"/>
  <c r="H51" i="1" l="1"/>
  <c r="H52" i="1"/>
  <c r="H53" i="1"/>
  <c r="H54" i="1"/>
  <c r="H48" i="1"/>
  <c r="H50" i="1"/>
  <c r="H47" i="1"/>
  <c r="H49" i="1"/>
  <c r="H43" i="1"/>
  <c r="H46" i="1"/>
  <c r="H44" i="1"/>
  <c r="H45" i="1"/>
  <c r="B48" i="1"/>
  <c r="E48" i="1"/>
  <c r="E50" i="1"/>
  <c r="E49" i="1"/>
  <c r="E47" i="1"/>
  <c r="E43" i="1"/>
  <c r="E44" i="1"/>
  <c r="C59" i="1" s="1"/>
  <c r="E45" i="1"/>
  <c r="E46" i="1"/>
  <c r="B50" i="1"/>
  <c r="B49" i="1"/>
  <c r="B47" i="1"/>
  <c r="B43" i="1"/>
  <c r="B40" i="1"/>
  <c r="B41" i="1"/>
  <c r="B42" i="1"/>
  <c r="B39" i="1"/>
  <c r="J32" i="1"/>
  <c r="K32" i="1" s="1"/>
  <c r="J35" i="1"/>
  <c r="K35" i="1" s="1"/>
  <c r="G35" i="1"/>
  <c r="C60" i="1" l="1"/>
  <c r="D60" i="1"/>
  <c r="D59" i="1"/>
  <c r="B51" i="1"/>
  <c r="E40" i="1"/>
  <c r="C58" i="1" s="1"/>
  <c r="E39" i="1"/>
  <c r="B58" i="1" s="1"/>
  <c r="E41" i="1"/>
  <c r="B60" i="1" s="1"/>
  <c r="E42" i="1"/>
  <c r="E51" i="1"/>
  <c r="E52" i="1"/>
  <c r="E53" i="1"/>
  <c r="E54" i="1"/>
  <c r="B54" i="1"/>
  <c r="B53" i="1"/>
  <c r="B52" i="1"/>
  <c r="B61" i="1" l="1"/>
  <c r="B59" i="1"/>
  <c r="E59" i="1"/>
  <c r="E60" i="1"/>
  <c r="D61" i="1"/>
  <c r="E61" i="1"/>
  <c r="E58" i="1"/>
  <c r="D58" i="1"/>
  <c r="C61" i="1"/>
  <c r="H57" i="1" l="1"/>
</calcChain>
</file>

<file path=xl/sharedStrings.xml><?xml version="1.0" encoding="utf-8"?>
<sst xmlns="http://schemas.openxmlformats.org/spreadsheetml/2006/main" count="176" uniqueCount="88">
  <si>
    <t>HP</t>
    <phoneticPr fontId="1" type="noConversion"/>
  </si>
  <si>
    <t>攻击力</t>
    <phoneticPr fontId="1" type="noConversion"/>
  </si>
  <si>
    <t>防御力</t>
    <phoneticPr fontId="1" type="noConversion"/>
  </si>
  <si>
    <t>基础属性</t>
    <phoneticPr fontId="1" type="noConversion"/>
  </si>
  <si>
    <t>命中</t>
    <phoneticPr fontId="1" type="noConversion"/>
  </si>
  <si>
    <t>闪避</t>
    <phoneticPr fontId="1" type="noConversion"/>
  </si>
  <si>
    <t>暴击率</t>
    <phoneticPr fontId="1" type="noConversion"/>
  </si>
  <si>
    <t>韧性</t>
    <phoneticPr fontId="1" type="noConversion"/>
  </si>
  <si>
    <t>暴击伤害</t>
    <phoneticPr fontId="1" type="noConversion"/>
  </si>
  <si>
    <t>破甲</t>
    <phoneticPr fontId="1" type="noConversion"/>
  </si>
  <si>
    <t>格挡</t>
    <phoneticPr fontId="1" type="noConversion"/>
  </si>
  <si>
    <t>减伤比</t>
    <phoneticPr fontId="1" type="noConversion"/>
  </si>
  <si>
    <t>暴击</t>
    <phoneticPr fontId="1" type="noConversion"/>
  </si>
  <si>
    <t>命中率</t>
    <phoneticPr fontId="1" type="noConversion"/>
  </si>
  <si>
    <t>破甲率</t>
    <phoneticPr fontId="1" type="noConversion"/>
  </si>
  <si>
    <t>破甲伤害</t>
    <phoneticPr fontId="1" type="noConversion"/>
  </si>
  <si>
    <t>打击致死次数</t>
    <phoneticPr fontId="1" type="noConversion"/>
  </si>
  <si>
    <t>对抗时间</t>
    <phoneticPr fontId="1" type="noConversion"/>
  </si>
  <si>
    <t>攻速</t>
    <phoneticPr fontId="1" type="noConversion"/>
  </si>
  <si>
    <t>参数a</t>
    <phoneticPr fontId="1" type="noConversion"/>
  </si>
  <si>
    <t>参数b</t>
    <phoneticPr fontId="1" type="noConversion"/>
  </si>
  <si>
    <t>伤害结算</t>
    <phoneticPr fontId="1" type="noConversion"/>
  </si>
  <si>
    <t>最低</t>
    <phoneticPr fontId="1" type="noConversion"/>
  </si>
  <si>
    <t>参数c</t>
    <phoneticPr fontId="1" type="noConversion"/>
  </si>
  <si>
    <t>c*防御力/（防御力+LV*b)-a</t>
    <phoneticPr fontId="1" type="noConversion"/>
  </si>
  <si>
    <t>参数d</t>
    <phoneticPr fontId="1" type="noConversion"/>
  </si>
  <si>
    <t>参数e</t>
    <phoneticPr fontId="1" type="noConversion"/>
  </si>
  <si>
    <t>e*命中/(命中+闪避)+d</t>
    <phoneticPr fontId="1" type="noConversion"/>
  </si>
  <si>
    <t>战士</t>
    <phoneticPr fontId="1" type="noConversion"/>
  </si>
  <si>
    <t>法师</t>
    <phoneticPr fontId="1" type="noConversion"/>
  </si>
  <si>
    <t>命中率</t>
    <phoneticPr fontId="1" type="noConversion"/>
  </si>
  <si>
    <t>闪避率</t>
    <phoneticPr fontId="1" type="noConversion"/>
  </si>
  <si>
    <t>暴击率</t>
    <phoneticPr fontId="1" type="noConversion"/>
  </si>
  <si>
    <t>破甲率</t>
    <phoneticPr fontId="1" type="noConversion"/>
  </si>
  <si>
    <t>格挡率</t>
    <phoneticPr fontId="1" type="noConversion"/>
  </si>
  <si>
    <t>提升系数</t>
    <phoneticPr fontId="1" type="noConversion"/>
  </si>
  <si>
    <t>职业属性</t>
    <phoneticPr fontId="1" type="noConversion"/>
  </si>
  <si>
    <t>职业设定表</t>
    <phoneticPr fontId="1" type="noConversion"/>
  </si>
  <si>
    <t>职业倍率</t>
    <phoneticPr fontId="1" type="noConversion"/>
  </si>
  <si>
    <t>闪避率</t>
    <phoneticPr fontId="1" type="noConversion"/>
  </si>
  <si>
    <t>格挡率</t>
    <phoneticPr fontId="1" type="noConversion"/>
  </si>
  <si>
    <t>抗爆率</t>
    <phoneticPr fontId="1" type="noConversion"/>
  </si>
  <si>
    <t>命中率，格挡率，闪避率，抗爆率均以标准模版为对象计算</t>
    <phoneticPr fontId="1" type="noConversion"/>
  </si>
  <si>
    <t>防御值</t>
    <phoneticPr fontId="1" type="noConversion"/>
  </si>
  <si>
    <t>受伤比</t>
    <phoneticPr fontId="1" type="noConversion"/>
  </si>
  <si>
    <t>减伤比</t>
    <phoneticPr fontId="1" type="noConversion"/>
  </si>
  <si>
    <t>受伤比</t>
    <phoneticPr fontId="1" type="noConversion"/>
  </si>
  <si>
    <t>减伤比</t>
    <phoneticPr fontId="1" type="noConversion"/>
  </si>
  <si>
    <t>放大系数</t>
    <phoneticPr fontId="1" type="noConversion"/>
  </si>
  <si>
    <t>命中</t>
    <phoneticPr fontId="1" type="noConversion"/>
  </si>
  <si>
    <t>闪避</t>
    <phoneticPr fontId="1" type="noConversion"/>
  </si>
  <si>
    <t>暴击</t>
    <phoneticPr fontId="1" type="noConversion"/>
  </si>
  <si>
    <t>韧性</t>
    <phoneticPr fontId="1" type="noConversion"/>
  </si>
  <si>
    <t>破甲</t>
    <phoneticPr fontId="1" type="noConversion"/>
  </si>
  <si>
    <t>格挡</t>
    <phoneticPr fontId="1" type="noConversion"/>
  </si>
  <si>
    <t>暴击/（暴击+韧性）</t>
    <phoneticPr fontId="1" type="noConversion"/>
  </si>
  <si>
    <t>破甲/（破甲+格挡）</t>
    <phoneticPr fontId="1" type="noConversion"/>
  </si>
  <si>
    <t>生存时间比</t>
    <phoneticPr fontId="1" type="noConversion"/>
  </si>
  <si>
    <t>命中率*攻击力*（破甲率*破甲伤害+1-破甲率）*（暴击率*暴击伤害+1-暴击率）*打击致死次数*（1-免伤比）=生命值</t>
    <phoneticPr fontId="1" type="noConversion"/>
  </si>
  <si>
    <t>命中率</t>
    <phoneticPr fontId="1" type="noConversion"/>
  </si>
  <si>
    <t>战士战士</t>
    <phoneticPr fontId="1" type="noConversion"/>
  </si>
  <si>
    <t>战士法师</t>
    <phoneticPr fontId="1" type="noConversion"/>
  </si>
  <si>
    <t>法师战士</t>
    <phoneticPr fontId="1" type="noConversion"/>
  </si>
  <si>
    <t>法师法师</t>
    <phoneticPr fontId="1" type="noConversion"/>
  </si>
  <si>
    <t>弓箭</t>
    <phoneticPr fontId="1" type="noConversion"/>
  </si>
  <si>
    <t>镰刀</t>
    <phoneticPr fontId="1" type="noConversion"/>
  </si>
  <si>
    <t>战士弓箭</t>
    <phoneticPr fontId="1" type="noConversion"/>
  </si>
  <si>
    <t>战士镰刀</t>
    <phoneticPr fontId="1" type="noConversion"/>
  </si>
  <si>
    <t>法师弓箭</t>
    <phoneticPr fontId="1" type="noConversion"/>
  </si>
  <si>
    <t>法师镰刀</t>
    <phoneticPr fontId="1" type="noConversion"/>
  </si>
  <si>
    <t>弓箭战士</t>
    <phoneticPr fontId="1" type="noConversion"/>
  </si>
  <si>
    <t>弓箭法师</t>
    <phoneticPr fontId="1" type="noConversion"/>
  </si>
  <si>
    <t>弓箭镰刀</t>
    <phoneticPr fontId="1" type="noConversion"/>
  </si>
  <si>
    <t>镰刀战士</t>
    <phoneticPr fontId="1" type="noConversion"/>
  </si>
  <si>
    <t>镰刀法师</t>
    <phoneticPr fontId="1" type="noConversion"/>
  </si>
  <si>
    <t>镰刀弓箭</t>
    <phoneticPr fontId="1" type="noConversion"/>
  </si>
  <si>
    <t>镰刀镰刀</t>
    <phoneticPr fontId="1" type="noConversion"/>
  </si>
  <si>
    <t>弓箭弓箭</t>
    <phoneticPr fontId="1" type="noConversion"/>
  </si>
  <si>
    <t>暴击率</t>
    <phoneticPr fontId="1" type="noConversion"/>
  </si>
  <si>
    <t>破甲率</t>
    <phoneticPr fontId="1" type="noConversion"/>
  </si>
  <si>
    <t>最大误差</t>
    <phoneticPr fontId="1" type="noConversion"/>
  </si>
  <si>
    <t>等级</t>
    <phoneticPr fontId="1" type="noConversion"/>
  </si>
  <si>
    <t>法师</t>
  </si>
  <si>
    <t>战斗次数</t>
    <phoneticPr fontId="1" type="noConversion"/>
  </si>
  <si>
    <t>职业1</t>
    <phoneticPr fontId="1" type="noConversion"/>
  </si>
  <si>
    <t>职业2</t>
    <phoneticPr fontId="1" type="noConversion"/>
  </si>
  <si>
    <t>职业1获胜次数</t>
    <phoneticPr fontId="1" type="noConversion"/>
  </si>
  <si>
    <t>职业2获胜次数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</si>
</sst>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9" fontId="2" fillId="0" borderId="0" xfId="0" applyNumberFormat="1" applyFont="1">
      <alignment vertical="center"/>
    </xf>
    <xf numFmtId="0" fontId="2" fillId="0" borderId="0" xfId="0" applyNumberFormat="1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61"/>
  <sheetViews>
    <sheetView topLeftCell="A19" zoomScaleNormal="100" workbookViewId="0">
      <selection activeCell="S31" sqref="S31"/>
    </sheetView>
  </sheetViews>
  <sheetFormatPr defaultRowHeight="16.5" x14ac:dyDescent="0.15"/>
  <cols>
    <col min="1" max="1" width="10.75" style="1" customWidth="1"/>
    <col min="2" max="2" width="9.625" style="1" bestFit="1" customWidth="1"/>
    <col min="3" max="3" width="8.5" style="1" customWidth="1"/>
    <col min="4" max="4" width="9" style="1"/>
    <col min="5" max="5" width="13.25" style="1" customWidth="1"/>
    <col min="6" max="6" width="6.5" style="1" customWidth="1"/>
    <col min="7" max="7" width="8.25" style="1" customWidth="1"/>
    <col min="8" max="8" width="6.125" style="1" customWidth="1"/>
    <col min="9" max="16384" width="9" style="1"/>
  </cols>
  <sheetData>
    <row r="1" spans="1:10" x14ac:dyDescent="0.15">
      <c r="A1" s="1" t="s">
        <v>3</v>
      </c>
      <c r="C1" s="1" t="s">
        <v>16</v>
      </c>
      <c r="D1" s="1">
        <f>F1*H1</f>
        <v>100</v>
      </c>
      <c r="E1" s="1" t="s">
        <v>17</v>
      </c>
      <c r="F1" s="1">
        <v>40</v>
      </c>
      <c r="G1" s="1" t="s">
        <v>18</v>
      </c>
      <c r="H1" s="1">
        <v>2.5</v>
      </c>
    </row>
    <row r="2" spans="1:10" x14ac:dyDescent="0.15">
      <c r="A2" s="1" t="s">
        <v>0</v>
      </c>
      <c r="B2" s="1">
        <v>300</v>
      </c>
      <c r="C2" s="2"/>
      <c r="D2" s="2"/>
      <c r="E2" s="2" t="s">
        <v>22</v>
      </c>
      <c r="F2" s="2">
        <v>25</v>
      </c>
      <c r="G2" s="2"/>
      <c r="H2" s="2"/>
      <c r="I2" s="2"/>
      <c r="J2" s="2"/>
    </row>
    <row r="3" spans="1:10" x14ac:dyDescent="0.15">
      <c r="A3" s="1" t="s">
        <v>1</v>
      </c>
      <c r="B3" s="1">
        <f>B2/B9/D1/(1-B5)/((B18*B20+1-B18)*(B13*B15+1-B13))</f>
        <v>4.3767507002801134</v>
      </c>
      <c r="C3" s="2" t="s">
        <v>21</v>
      </c>
      <c r="D3" s="2" t="s">
        <v>58</v>
      </c>
      <c r="E3" s="2"/>
      <c r="F3" s="2"/>
      <c r="G3" s="2"/>
      <c r="H3" s="2"/>
      <c r="I3" s="2"/>
      <c r="J3" s="2"/>
    </row>
    <row r="4" spans="1:10" x14ac:dyDescent="0.15">
      <c r="A4" s="1" t="s">
        <v>2</v>
      </c>
      <c r="B4" s="1">
        <f>(B5+D4)*F4/(H4-B5-D4)*J4</f>
        <v>2.1428571428571428</v>
      </c>
      <c r="C4" s="2" t="s">
        <v>19</v>
      </c>
      <c r="D4" s="2">
        <v>0.1</v>
      </c>
      <c r="E4" s="2" t="s">
        <v>20</v>
      </c>
      <c r="F4" s="2">
        <v>5</v>
      </c>
      <c r="G4" s="2" t="s">
        <v>23</v>
      </c>
      <c r="H4" s="2">
        <v>1</v>
      </c>
      <c r="I4" s="1" t="s">
        <v>48</v>
      </c>
      <c r="J4" s="2">
        <v>1</v>
      </c>
    </row>
    <row r="5" spans="1:10" x14ac:dyDescent="0.15">
      <c r="A5" s="1" t="s">
        <v>11</v>
      </c>
      <c r="B5" s="3">
        <v>0.2</v>
      </c>
      <c r="C5" s="2" t="s">
        <v>24</v>
      </c>
      <c r="D5" s="2"/>
      <c r="E5" s="2"/>
      <c r="F5" s="2"/>
      <c r="G5" s="2"/>
      <c r="H5" s="2"/>
      <c r="I5" s="2"/>
      <c r="J5" s="2"/>
    </row>
    <row r="6" spans="1:10" x14ac:dyDescent="0.15">
      <c r="A6" s="1" t="s">
        <v>46</v>
      </c>
      <c r="B6" s="3">
        <f>1-B5</f>
        <v>0.8</v>
      </c>
      <c r="C6" s="2"/>
      <c r="D6" s="2"/>
      <c r="E6" s="2"/>
      <c r="F6" s="2"/>
      <c r="G6" s="2"/>
      <c r="H6" s="2"/>
      <c r="I6" s="2"/>
      <c r="J6" s="2"/>
    </row>
    <row r="7" spans="1:10" x14ac:dyDescent="0.15">
      <c r="A7" s="1" t="s">
        <v>4</v>
      </c>
      <c r="B7" s="1">
        <v>50</v>
      </c>
      <c r="C7" s="2"/>
      <c r="D7" s="2"/>
      <c r="E7" s="2"/>
      <c r="F7" s="2"/>
      <c r="G7" s="2"/>
      <c r="H7" s="2"/>
      <c r="I7" s="2"/>
      <c r="J7" s="2"/>
    </row>
    <row r="8" spans="1:10" x14ac:dyDescent="0.15">
      <c r="A8" s="1" t="s">
        <v>5</v>
      </c>
      <c r="B8" s="1">
        <f>(F8/(B9-D8)-1)*B7</f>
        <v>24.999999999999989</v>
      </c>
      <c r="C8" s="2" t="s">
        <v>25</v>
      </c>
      <c r="D8" s="2">
        <v>0.4</v>
      </c>
      <c r="E8" s="2" t="s">
        <v>26</v>
      </c>
      <c r="F8" s="2">
        <v>0.6</v>
      </c>
      <c r="G8" s="2"/>
      <c r="H8" s="2"/>
      <c r="I8" s="2"/>
      <c r="J8" s="2"/>
    </row>
    <row r="9" spans="1:10" x14ac:dyDescent="0.15">
      <c r="A9" s="1" t="s">
        <v>13</v>
      </c>
      <c r="B9" s="3">
        <v>0.8</v>
      </c>
      <c r="C9" s="2" t="s">
        <v>27</v>
      </c>
      <c r="D9" s="2"/>
      <c r="E9" s="2"/>
      <c r="F9" s="2"/>
      <c r="G9" s="2"/>
      <c r="H9" s="2"/>
      <c r="I9" s="2"/>
      <c r="J9" s="2"/>
    </row>
    <row r="10" spans="1:10" x14ac:dyDescent="0.15">
      <c r="A10" s="1" t="s">
        <v>39</v>
      </c>
      <c r="B10" s="3">
        <f>1-B9</f>
        <v>0.19999999999999996</v>
      </c>
      <c r="H10" s="2"/>
      <c r="I10" s="2"/>
      <c r="J10" s="2"/>
    </row>
    <row r="11" spans="1:10" x14ac:dyDescent="0.15">
      <c r="A11" s="1" t="s">
        <v>12</v>
      </c>
      <c r="B11" s="1">
        <v>5</v>
      </c>
      <c r="H11" s="2"/>
      <c r="I11" s="2"/>
      <c r="J11" s="2"/>
    </row>
    <row r="12" spans="1:10" x14ac:dyDescent="0.15">
      <c r="A12" s="1" t="s">
        <v>7</v>
      </c>
      <c r="B12" s="1">
        <f>B11*(1-B13)/B13</f>
        <v>45</v>
      </c>
      <c r="H12" s="2"/>
      <c r="I12" s="2"/>
      <c r="J12" s="2"/>
    </row>
    <row r="13" spans="1:10" x14ac:dyDescent="0.15">
      <c r="A13" s="1" t="s">
        <v>6</v>
      </c>
      <c r="B13" s="3">
        <v>0.1</v>
      </c>
      <c r="C13" s="1" t="s">
        <v>55</v>
      </c>
      <c r="H13" s="2"/>
      <c r="I13" s="2"/>
      <c r="J13" s="2"/>
    </row>
    <row r="14" spans="1:10" x14ac:dyDescent="0.15">
      <c r="A14" s="1" t="s">
        <v>41</v>
      </c>
      <c r="B14" s="3">
        <f>1-B13</f>
        <v>0.9</v>
      </c>
      <c r="H14" s="2"/>
      <c r="I14" s="2"/>
      <c r="J14" s="2"/>
    </row>
    <row r="15" spans="1:10" x14ac:dyDescent="0.15">
      <c r="A15" s="1" t="s">
        <v>8</v>
      </c>
      <c r="B15" s="3">
        <v>1.5</v>
      </c>
      <c r="H15" s="2"/>
      <c r="I15" s="2"/>
      <c r="J15" s="2"/>
    </row>
    <row r="16" spans="1:10" x14ac:dyDescent="0.15">
      <c r="A16" s="1" t="s">
        <v>9</v>
      </c>
      <c r="B16" s="4">
        <v>10</v>
      </c>
      <c r="H16" s="2"/>
      <c r="I16" s="2"/>
      <c r="J16" s="2"/>
    </row>
    <row r="17" spans="1:26" x14ac:dyDescent="0.15">
      <c r="A17" s="1" t="s">
        <v>10</v>
      </c>
      <c r="B17" s="1">
        <f>(1-B18)/B18*B16</f>
        <v>90</v>
      </c>
      <c r="H17" s="2"/>
      <c r="I17" s="2"/>
      <c r="J17" s="2"/>
    </row>
    <row r="18" spans="1:26" x14ac:dyDescent="0.15">
      <c r="A18" s="1" t="s">
        <v>14</v>
      </c>
      <c r="B18" s="3">
        <v>0.1</v>
      </c>
      <c r="H18" s="2"/>
      <c r="I18" s="2"/>
      <c r="J18" s="2"/>
    </row>
    <row r="19" spans="1:26" x14ac:dyDescent="0.15">
      <c r="A19" s="1" t="s">
        <v>40</v>
      </c>
      <c r="B19" s="3">
        <f>1-B18</f>
        <v>0.9</v>
      </c>
      <c r="H19" s="2"/>
      <c r="I19" s="2"/>
      <c r="J19" s="2"/>
    </row>
    <row r="20" spans="1:26" x14ac:dyDescent="0.15">
      <c r="A20" s="1" t="s">
        <v>15</v>
      </c>
      <c r="B20" s="3">
        <v>1.2</v>
      </c>
      <c r="C20" s="1" t="s">
        <v>56</v>
      </c>
      <c r="H20" s="2"/>
      <c r="I20" s="2"/>
      <c r="J20" s="2"/>
    </row>
    <row r="21" spans="1:26" x14ac:dyDescent="0.15">
      <c r="C21" s="2"/>
      <c r="D21" s="2"/>
      <c r="E21" s="2"/>
      <c r="F21" s="2"/>
      <c r="G21" s="2"/>
      <c r="H21" s="2"/>
      <c r="I21" s="2"/>
      <c r="J21" s="2"/>
      <c r="L21" s="1">
        <v>7</v>
      </c>
      <c r="M21" s="1">
        <f>M22*O$23</f>
        <v>1.4641000000000006</v>
      </c>
    </row>
    <row r="22" spans="1:26" x14ac:dyDescent="0.15">
      <c r="L22" s="1">
        <v>6</v>
      </c>
      <c r="M22" s="1">
        <f>M23*O$23</f>
        <v>1.3310000000000004</v>
      </c>
      <c r="T22" s="1" t="s">
        <v>47</v>
      </c>
    </row>
    <row r="23" spans="1:26" x14ac:dyDescent="0.15">
      <c r="A23" s="1" t="s">
        <v>37</v>
      </c>
      <c r="B23" s="1" t="s">
        <v>0</v>
      </c>
      <c r="C23" s="1" t="s">
        <v>1</v>
      </c>
      <c r="D23" s="1" t="s">
        <v>45</v>
      </c>
      <c r="E23" s="1" t="s">
        <v>30</v>
      </c>
      <c r="F23" s="1" t="s">
        <v>31</v>
      </c>
      <c r="G23" s="1" t="s">
        <v>32</v>
      </c>
      <c r="H23" s="1" t="s">
        <v>41</v>
      </c>
      <c r="I23" s="1" t="s">
        <v>33</v>
      </c>
      <c r="J23" s="1" t="s">
        <v>34</v>
      </c>
      <c r="L23" s="1">
        <v>5</v>
      </c>
      <c r="M23" s="1">
        <f>M24*O$23</f>
        <v>1.2100000000000002</v>
      </c>
      <c r="N23" s="1" t="s">
        <v>35</v>
      </c>
      <c r="O23" s="1">
        <v>1.1000000000000001</v>
      </c>
      <c r="Q23" s="1" t="s">
        <v>38</v>
      </c>
      <c r="R23" s="1" t="s">
        <v>0</v>
      </c>
      <c r="S23" s="1" t="s">
        <v>1</v>
      </c>
      <c r="T23" s="1" t="s">
        <v>44</v>
      </c>
      <c r="U23" s="1" t="s">
        <v>30</v>
      </c>
      <c r="V23" s="1" t="s">
        <v>31</v>
      </c>
      <c r="W23" s="1" t="s">
        <v>32</v>
      </c>
      <c r="X23" s="1" t="s">
        <v>41</v>
      </c>
      <c r="Y23" s="1" t="s">
        <v>33</v>
      </c>
      <c r="Z23" s="1" t="s">
        <v>34</v>
      </c>
    </row>
    <row r="24" spans="1:26" x14ac:dyDescent="0.15">
      <c r="A24" s="1" t="s">
        <v>28</v>
      </c>
      <c r="B24" s="1">
        <v>5</v>
      </c>
      <c r="C24" s="1">
        <v>1</v>
      </c>
      <c r="D24" s="1">
        <v>3</v>
      </c>
      <c r="E24" s="1">
        <v>4</v>
      </c>
      <c r="F24" s="1">
        <v>1</v>
      </c>
      <c r="G24" s="1">
        <v>1</v>
      </c>
      <c r="H24" s="1">
        <v>3</v>
      </c>
      <c r="I24" s="1">
        <v>1</v>
      </c>
      <c r="J24" s="1">
        <v>3</v>
      </c>
      <c r="L24" s="1">
        <v>4</v>
      </c>
      <c r="M24" s="1">
        <f>M25*O$23</f>
        <v>1.1000000000000001</v>
      </c>
      <c r="Q24" s="1" t="s">
        <v>28</v>
      </c>
      <c r="R24" s="1">
        <f>VLOOKUP(B24,$L$21:$M$27,2,0)</f>
        <v>1.2100000000000002</v>
      </c>
      <c r="S24" s="1">
        <f t="shared" ref="S24:Z24" si="0">VLOOKUP(C24,$L$21:$M$27,2,0)</f>
        <v>0.82644628099173545</v>
      </c>
      <c r="T24" s="1">
        <f t="shared" si="0"/>
        <v>1</v>
      </c>
      <c r="U24" s="1">
        <f t="shared" si="0"/>
        <v>1.1000000000000001</v>
      </c>
      <c r="V24" s="1">
        <f t="shared" si="0"/>
        <v>0.82644628099173545</v>
      </c>
      <c r="W24" s="1">
        <f t="shared" si="0"/>
        <v>0.82644628099173545</v>
      </c>
      <c r="X24" s="1">
        <f t="shared" si="0"/>
        <v>1</v>
      </c>
      <c r="Y24" s="1">
        <f t="shared" si="0"/>
        <v>0.82644628099173545</v>
      </c>
      <c r="Z24" s="1">
        <f t="shared" si="0"/>
        <v>1</v>
      </c>
    </row>
    <row r="25" spans="1:26" x14ac:dyDescent="0.15">
      <c r="A25" s="1" t="s">
        <v>29</v>
      </c>
      <c r="B25" s="1">
        <v>3</v>
      </c>
      <c r="C25" s="1">
        <v>5</v>
      </c>
      <c r="D25" s="1">
        <v>2</v>
      </c>
      <c r="E25" s="1">
        <v>4</v>
      </c>
      <c r="F25" s="1">
        <v>2</v>
      </c>
      <c r="G25" s="1">
        <v>7</v>
      </c>
      <c r="H25" s="1">
        <v>2</v>
      </c>
      <c r="I25" s="1">
        <v>1</v>
      </c>
      <c r="J25" s="1">
        <v>1</v>
      </c>
      <c r="L25" s="1">
        <v>3</v>
      </c>
      <c r="M25" s="1">
        <v>1</v>
      </c>
      <c r="Q25" s="1" t="s">
        <v>29</v>
      </c>
      <c r="R25" s="1">
        <f t="shared" ref="R25:R27" si="1">VLOOKUP(B25,$L$21:$M$27,2,0)</f>
        <v>1</v>
      </c>
      <c r="S25" s="1">
        <f t="shared" ref="S25:S27" si="2">VLOOKUP(C25,$L$21:$M$27,2,0)</f>
        <v>1.2100000000000002</v>
      </c>
      <c r="T25" s="1">
        <f t="shared" ref="T25:T27" si="3">VLOOKUP(D25,$L$21:$M$27,2,0)</f>
        <v>0.90909090909090906</v>
      </c>
      <c r="U25" s="1">
        <f t="shared" ref="U25:U27" si="4">VLOOKUP(E25,$L$21:$M$27,2,0)</f>
        <v>1.1000000000000001</v>
      </c>
      <c r="V25" s="1">
        <f t="shared" ref="V25:V27" si="5">VLOOKUP(F25,$L$21:$M$27,2,0)</f>
        <v>0.90909090909090906</v>
      </c>
      <c r="W25" s="1">
        <f t="shared" ref="W25:W27" si="6">VLOOKUP(G25,$L$21:$M$27,2,0)</f>
        <v>1.4641000000000006</v>
      </c>
      <c r="X25" s="1">
        <f t="shared" ref="X25:X27" si="7">VLOOKUP(H25,$L$21:$M$27,2,0)</f>
        <v>0.90909090909090906</v>
      </c>
      <c r="Y25" s="1">
        <f t="shared" ref="Y25:Y27" si="8">VLOOKUP(I25,$L$21:$M$27,2,0)</f>
        <v>0.82644628099173545</v>
      </c>
      <c r="Z25" s="1">
        <f t="shared" ref="Z25:Z27" si="9">VLOOKUP(J25,$L$21:$M$27,2,0)</f>
        <v>0.82644628099173545</v>
      </c>
    </row>
    <row r="26" spans="1:26" x14ac:dyDescent="0.15">
      <c r="A26" s="1" t="s">
        <v>64</v>
      </c>
      <c r="B26" s="1">
        <v>3</v>
      </c>
      <c r="C26" s="1">
        <v>4</v>
      </c>
      <c r="D26" s="1">
        <v>1</v>
      </c>
      <c r="E26" s="1">
        <v>4</v>
      </c>
      <c r="F26" s="1">
        <v>2</v>
      </c>
      <c r="G26" s="1">
        <v>2</v>
      </c>
      <c r="H26" s="1">
        <v>3</v>
      </c>
      <c r="I26" s="1">
        <v>7</v>
      </c>
      <c r="J26" s="1">
        <v>1</v>
      </c>
      <c r="L26" s="1">
        <v>2</v>
      </c>
      <c r="M26" s="1">
        <f>M25/O$23</f>
        <v>0.90909090909090906</v>
      </c>
      <c r="Q26" s="1" t="s">
        <v>64</v>
      </c>
      <c r="R26" s="1">
        <f t="shared" si="1"/>
        <v>1</v>
      </c>
      <c r="S26" s="1">
        <f t="shared" si="2"/>
        <v>1.1000000000000001</v>
      </c>
      <c r="T26" s="1">
        <f t="shared" si="3"/>
        <v>0.82644628099173545</v>
      </c>
      <c r="U26" s="1">
        <f t="shared" si="4"/>
        <v>1.1000000000000001</v>
      </c>
      <c r="V26" s="1">
        <f t="shared" si="5"/>
        <v>0.90909090909090906</v>
      </c>
      <c r="W26" s="1">
        <f t="shared" si="6"/>
        <v>0.90909090909090906</v>
      </c>
      <c r="X26" s="1">
        <f t="shared" si="7"/>
        <v>1</v>
      </c>
      <c r="Y26" s="1">
        <f t="shared" si="8"/>
        <v>1.4641000000000006</v>
      </c>
      <c r="Z26" s="1">
        <f t="shared" si="9"/>
        <v>0.82644628099173545</v>
      </c>
    </row>
    <row r="27" spans="1:26" x14ac:dyDescent="0.15">
      <c r="A27" s="1" t="s">
        <v>65</v>
      </c>
      <c r="B27" s="1">
        <v>2</v>
      </c>
      <c r="C27" s="1">
        <v>3</v>
      </c>
      <c r="D27" s="1">
        <v>3</v>
      </c>
      <c r="E27" s="1">
        <v>4</v>
      </c>
      <c r="F27" s="1">
        <v>5</v>
      </c>
      <c r="G27" s="1">
        <v>2</v>
      </c>
      <c r="H27" s="1">
        <v>3</v>
      </c>
      <c r="I27" s="1">
        <v>2</v>
      </c>
      <c r="J27" s="1">
        <v>3</v>
      </c>
      <c r="L27" s="1">
        <v>1</v>
      </c>
      <c r="M27" s="1">
        <f>M26/O$23</f>
        <v>0.82644628099173545</v>
      </c>
      <c r="Q27" s="1" t="s">
        <v>65</v>
      </c>
      <c r="R27" s="1">
        <f t="shared" si="1"/>
        <v>0.90909090909090906</v>
      </c>
      <c r="S27" s="1">
        <f t="shared" si="2"/>
        <v>1</v>
      </c>
      <c r="T27" s="1">
        <f t="shared" si="3"/>
        <v>1</v>
      </c>
      <c r="U27" s="1">
        <f t="shared" si="4"/>
        <v>1.1000000000000001</v>
      </c>
      <c r="V27" s="1">
        <f t="shared" si="5"/>
        <v>1.2100000000000002</v>
      </c>
      <c r="W27" s="1">
        <f t="shared" si="6"/>
        <v>0.90909090909090906</v>
      </c>
      <c r="X27" s="1">
        <f t="shared" si="7"/>
        <v>1</v>
      </c>
      <c r="Y27" s="1">
        <f t="shared" si="8"/>
        <v>0.90909090909090906</v>
      </c>
      <c r="Z27" s="1">
        <f t="shared" si="9"/>
        <v>1</v>
      </c>
    </row>
    <row r="30" spans="1:26" x14ac:dyDescent="0.15">
      <c r="A30" s="1" t="s">
        <v>42</v>
      </c>
    </row>
    <row r="31" spans="1:26" x14ac:dyDescent="0.15">
      <c r="A31" s="1" t="s">
        <v>36</v>
      </c>
      <c r="B31" s="1" t="s">
        <v>0</v>
      </c>
      <c r="C31" s="1" t="s">
        <v>1</v>
      </c>
      <c r="D31" s="1" t="s">
        <v>44</v>
      </c>
      <c r="E31" s="1" t="s">
        <v>43</v>
      </c>
      <c r="F31" s="1" t="s">
        <v>30</v>
      </c>
      <c r="G31" s="1" t="s">
        <v>49</v>
      </c>
      <c r="H31" s="1" t="s">
        <v>31</v>
      </c>
      <c r="I31" s="1" t="s">
        <v>50</v>
      </c>
      <c r="J31" s="1" t="s">
        <v>32</v>
      </c>
      <c r="K31" s="1" t="s">
        <v>51</v>
      </c>
      <c r="L31" s="1" t="s">
        <v>41</v>
      </c>
      <c r="M31" s="1" t="s">
        <v>52</v>
      </c>
      <c r="N31" s="1" t="s">
        <v>33</v>
      </c>
      <c r="O31" s="1" t="s">
        <v>53</v>
      </c>
      <c r="P31" s="1" t="s">
        <v>34</v>
      </c>
      <c r="Q31" s="1" t="s">
        <v>54</v>
      </c>
    </row>
    <row r="32" spans="1:26" x14ac:dyDescent="0.15">
      <c r="A32" s="1" t="s">
        <v>28</v>
      </c>
      <c r="B32" s="1">
        <f>VLOOKUP(B$31,$A$2:$B$20,2,0)*VLOOKUP($A32,$Q$23:$Z$27,MATCH(B$31,$Q$23:$Z$23,0),0)</f>
        <v>363.00000000000006</v>
      </c>
      <c r="C32" s="1">
        <f t="shared" ref="C32:F32" si="10">VLOOKUP(C$31,$A$2:$B$20,2,0)*VLOOKUP($A32,$Q$23:$Z$27,MATCH(C$31,$Q$23:$Z$23,0),0)</f>
        <v>3.6171493390744733</v>
      </c>
      <c r="D32" s="1">
        <f>VLOOKUP(D$31,$A$2:$B$20,2,0)/VLOOKUP($A32,$Q$23:$Z$27,MATCH(D$31,$Q$23:$Z$23,0),0)</f>
        <v>0.8</v>
      </c>
      <c r="E32" s="1">
        <f>((1-D32)+D$4)*F$4/(H$4-(1-D32)-D$4)*J$4</f>
        <v>2.1428571428571419</v>
      </c>
      <c r="F32" s="1">
        <f t="shared" si="10"/>
        <v>0.88000000000000012</v>
      </c>
      <c r="G32" s="1">
        <f>(F32-D$8)/(F$8-F32+D$8)*B$8</f>
        <v>100.00000000000007</v>
      </c>
      <c r="H32" s="1">
        <f>VLOOKUP(H$31,$A$2:$B$20,2,0)*VLOOKUP($A32,$Q$23:$Z$27,MATCH(H$31,$Q$23:$Z$23,0),0)</f>
        <v>0.16528925619834706</v>
      </c>
      <c r="I32" s="1">
        <f>(B$7*F$8/(1-H32-D$8)-1)</f>
        <v>68.011406844106446</v>
      </c>
      <c r="J32" s="1">
        <f>VLOOKUP(J$31,$A$2:$B$20,2,0)*VLOOKUP($A32,$Q$23:$Z$27,MATCH(J$31,$Q$23:$Z$23,0),0)/F32</f>
        <v>9.3914350112697206E-2</v>
      </c>
      <c r="K32" s="1">
        <f>J32/(1-J32)*B$12</f>
        <v>4.6641791044776113</v>
      </c>
      <c r="L32" s="1">
        <f>VLOOKUP(L$31,$A$2:$B$20,2,0)*VLOOKUP($A32,$Q$23:$Z$27,MATCH(L$31,$Q$23:$Z$23,0),0)</f>
        <v>0.9</v>
      </c>
      <c r="M32" s="1">
        <f>(L32)/(1-L32)*B$11</f>
        <v>45.000000000000007</v>
      </c>
      <c r="N32" s="1">
        <f>VLOOKUP(N$31,$A$2:$B$20,2,0)*VLOOKUP($A32,$Q$23:$Z$27,MATCH(N$31,$Q$23:$Z$23,0),0)</f>
        <v>8.2644628099173556E-2</v>
      </c>
      <c r="O32" s="1">
        <f>N32/(1-N32)*B$17</f>
        <v>8.108108108108107</v>
      </c>
      <c r="P32" s="1">
        <f>VLOOKUP(P$31,$A$2:$B$20,2,0)*VLOOKUP($A32,$Q$23:$Z$27,MATCH(P$31,$Q$23:$Z$23,0),0)</f>
        <v>0.9</v>
      </c>
      <c r="Q32" s="1">
        <f>P32/(1-P32)*B$16</f>
        <v>90.000000000000014</v>
      </c>
    </row>
    <row r="33" spans="1:17" x14ac:dyDescent="0.15">
      <c r="A33" s="1" t="s">
        <v>29</v>
      </c>
      <c r="B33" s="1">
        <f t="shared" ref="B33:B35" si="11">VLOOKUP(B$31,$A$2:$B$20,2,0)*VLOOKUP($A33,$Q$23:$Z$27,MATCH(B$31,$Q$23:$Z$23,0),0)</f>
        <v>300</v>
      </c>
      <c r="C33" s="1">
        <f t="shared" ref="C33:C35" si="12">VLOOKUP(C$31,$A$2:$B$20,2,0)*VLOOKUP($A33,$Q$23:$Z$27,MATCH(C$31,$Q$23:$Z$23,0),0)</f>
        <v>5.2958683473389376</v>
      </c>
      <c r="D33" s="1">
        <f t="shared" ref="D33:D35" si="13">VLOOKUP(D$31,$A$2:$B$20,2,0)/VLOOKUP($A33,$Q$23:$Z$27,MATCH(D$31,$Q$23:$Z$23,0),0)</f>
        <v>0.88000000000000012</v>
      </c>
      <c r="E33" s="1">
        <f t="shared" ref="E33:E35" si="14">((1-D33)+D$4)*F$4/(H$4-(1-D33)-D$4)*J$4</f>
        <v>1.4102564102564092</v>
      </c>
      <c r="F33" s="1">
        <f>VLOOKUP(F$31,$A$2:$B$20,2,0)*VLOOKUP($A33,$Q$23:$Z$27,MATCH(F$31,$Q$23:$Z$23,0),0)</f>
        <v>0.88000000000000012</v>
      </c>
      <c r="G33" s="1">
        <f t="shared" ref="G33:G35" si="15">(F33-D$8)/(F$8-F33+D$8)*B$8</f>
        <v>100.00000000000007</v>
      </c>
      <c r="H33" s="1">
        <f>VLOOKUP(H$31,$A$2:$B$20,2,0)*VLOOKUP($A33,$Q$23:$Z$27,MATCH(H$31,$Q$23:$Z$23,0),0)</f>
        <v>0.18181818181818177</v>
      </c>
      <c r="I33" s="1">
        <f t="shared" ref="I33:I35" si="16">(B$7*F$8/(1-H33-D$8)-1)</f>
        <v>70.739130434782609</v>
      </c>
      <c r="J33" s="1">
        <f t="shared" ref="J33:J35" si="17">VLOOKUP(J$31,$A$2:$B$20,2,0)*VLOOKUP($A33,$Q$23:$Z$27,MATCH(J$31,$Q$23:$Z$23,0),0)/F33</f>
        <v>0.16637500000000005</v>
      </c>
      <c r="K33" s="1">
        <f t="shared" ref="K33:K35" si="18">J33/(1-J33)*B$12</f>
        <v>8.9811066126855632</v>
      </c>
      <c r="L33" s="1">
        <f>VLOOKUP(L$31,$A$2:$B$20,2,0)*VLOOKUP($A33,$Q$23:$Z$27,MATCH(L$31,$Q$23:$Z$23,0),0)</f>
        <v>0.81818181818181812</v>
      </c>
      <c r="M33" s="1">
        <f t="shared" ref="M33:M35" si="19">(L33)/(1-L33)*B$11</f>
        <v>22.499999999999993</v>
      </c>
      <c r="N33" s="1">
        <f>VLOOKUP(N$31,$A$2:$B$20,2,0)*VLOOKUP($A33,$Q$23:$Z$27,MATCH(N$31,$Q$23:$Z$23,0),0)</f>
        <v>8.2644628099173556E-2</v>
      </c>
      <c r="O33" s="1">
        <f t="shared" ref="O33:O35" si="20">N33/(1-N33)*B$17</f>
        <v>8.108108108108107</v>
      </c>
      <c r="P33" s="1">
        <f>VLOOKUP(P$31,$A$2:$B$20,2,0)*VLOOKUP($A33,$Q$23:$Z$27,MATCH(P$31,$Q$23:$Z$23,0),0)</f>
        <v>0.74380165289256195</v>
      </c>
      <c r="Q33" s="1">
        <f t="shared" ref="Q33:Q35" si="21">P33/(1-P33)*B$16</f>
        <v>29.032258064516125</v>
      </c>
    </row>
    <row r="34" spans="1:17" x14ac:dyDescent="0.15">
      <c r="A34" s="1" t="s">
        <v>64</v>
      </c>
      <c r="B34" s="1">
        <f t="shared" si="11"/>
        <v>300</v>
      </c>
      <c r="C34" s="1">
        <f t="shared" si="12"/>
        <v>4.8144257703081248</v>
      </c>
      <c r="D34" s="1">
        <f t="shared" si="13"/>
        <v>0.96800000000000019</v>
      </c>
      <c r="E34" s="1">
        <f t="shared" si="14"/>
        <v>0.76036866359446875</v>
      </c>
      <c r="F34" s="1">
        <f>VLOOKUP(F$31,$A$2:$B$20,2,0)*VLOOKUP($A34,$Q$23:$Z$27,MATCH(F$31,$Q$23:$Z$23,0),0)</f>
        <v>0.88000000000000012</v>
      </c>
      <c r="G34" s="1">
        <f t="shared" si="15"/>
        <v>100.00000000000007</v>
      </c>
      <c r="H34" s="1">
        <f>VLOOKUP(H$31,$A$2:$B$20,2,0)*VLOOKUP($A34,$Q$23:$Z$27,MATCH(H$31,$Q$23:$Z$23,0),0)</f>
        <v>0.18181818181818177</v>
      </c>
      <c r="I34" s="1">
        <f t="shared" si="16"/>
        <v>70.739130434782609</v>
      </c>
      <c r="J34" s="1">
        <f t="shared" si="17"/>
        <v>0.10330578512396693</v>
      </c>
      <c r="K34" s="1">
        <f t="shared" si="18"/>
        <v>5.1843317972350222</v>
      </c>
      <c r="L34" s="1">
        <f>VLOOKUP(L$31,$A$2:$B$20,2,0)*VLOOKUP($A34,$Q$23:$Z$27,MATCH(L$31,$Q$23:$Z$23,0),0)</f>
        <v>0.9</v>
      </c>
      <c r="M34" s="1">
        <f t="shared" si="19"/>
        <v>45.000000000000007</v>
      </c>
      <c r="N34" s="1">
        <f>VLOOKUP(N$31,$A$2:$B$20,2,0)*VLOOKUP($A34,$Q$23:$Z$27,MATCH(N$31,$Q$23:$Z$23,0),0)</f>
        <v>0.14641000000000007</v>
      </c>
      <c r="O34" s="1">
        <f t="shared" si="20"/>
        <v>15.437036516360322</v>
      </c>
      <c r="P34" s="1">
        <f>VLOOKUP(P$31,$A$2:$B$20,2,0)*VLOOKUP($A34,$Q$23:$Z$27,MATCH(P$31,$Q$23:$Z$23,0),0)</f>
        <v>0.74380165289256195</v>
      </c>
      <c r="Q34" s="1">
        <f t="shared" si="21"/>
        <v>29.032258064516125</v>
      </c>
    </row>
    <row r="35" spans="1:17" x14ac:dyDescent="0.15">
      <c r="A35" s="1" t="s">
        <v>65</v>
      </c>
      <c r="B35" s="1">
        <f t="shared" si="11"/>
        <v>272.72727272727269</v>
      </c>
      <c r="C35" s="1">
        <f t="shared" si="12"/>
        <v>4.3767507002801134</v>
      </c>
      <c r="D35" s="1">
        <f t="shared" si="13"/>
        <v>0.8</v>
      </c>
      <c r="E35" s="1">
        <f t="shared" si="14"/>
        <v>2.1428571428571419</v>
      </c>
      <c r="F35" s="1">
        <f>VLOOKUP(F$31,$A$2:$B$20,2,0)*VLOOKUP($A35,$Q$23:$Z$27,MATCH(F$31,$Q$23:$Z$23,0),0)</f>
        <v>0.88000000000000012</v>
      </c>
      <c r="G35" s="1">
        <f t="shared" si="15"/>
        <v>100.00000000000007</v>
      </c>
      <c r="H35" s="1">
        <f>VLOOKUP(H$31,$A$2:$B$20,2,0)*VLOOKUP($A35,$Q$23:$Z$27,MATCH(H$31,$Q$23:$Z$23,0),0)</f>
        <v>0.24199999999999999</v>
      </c>
      <c r="I35" s="1">
        <f t="shared" si="16"/>
        <v>82.798882681564251</v>
      </c>
      <c r="J35" s="1">
        <f t="shared" si="17"/>
        <v>0.10330578512396693</v>
      </c>
      <c r="K35" s="1">
        <f t="shared" si="18"/>
        <v>5.1843317972350222</v>
      </c>
      <c r="L35" s="1">
        <f>VLOOKUP(L$31,$A$2:$B$20,2,0)*VLOOKUP($A35,$Q$23:$Z$27,MATCH(L$31,$Q$23:$Z$23,0),0)</f>
        <v>0.9</v>
      </c>
      <c r="M35" s="1">
        <f t="shared" si="19"/>
        <v>45.000000000000007</v>
      </c>
      <c r="N35" s="1">
        <f>VLOOKUP(N$31,$A$2:$B$20,2,0)*VLOOKUP($A35,$Q$23:$Z$27,MATCH(N$31,$Q$23:$Z$23,0),0)</f>
        <v>9.0909090909090912E-2</v>
      </c>
      <c r="O35" s="1">
        <f t="shared" si="20"/>
        <v>9</v>
      </c>
      <c r="P35" s="1">
        <f>VLOOKUP(P$31,$A$2:$B$20,2,0)*VLOOKUP($A35,$Q$23:$Z$27,MATCH(P$31,$Q$23:$Z$23,0),0)</f>
        <v>0.9</v>
      </c>
      <c r="Q35" s="1">
        <f t="shared" si="21"/>
        <v>90.000000000000014</v>
      </c>
    </row>
    <row r="38" spans="1:17" hidden="1" x14ac:dyDescent="0.15">
      <c r="A38" s="1" t="s">
        <v>59</v>
      </c>
      <c r="D38" s="1" t="s">
        <v>78</v>
      </c>
      <c r="G38" s="1" t="s">
        <v>79</v>
      </c>
    </row>
    <row r="39" spans="1:17" hidden="1" x14ac:dyDescent="0.15">
      <c r="A39" s="1" t="s">
        <v>60</v>
      </c>
      <c r="B39" s="1">
        <f>VLOOKUP(LEFT(A39,2),$A$31:$Q$35,7,0)/(VLOOKUP(LEFT(A39,2),$A$31:$Q$35,7,0)+VLOOKUP(RIGHT(A39,2),$A$31:$Q$35,9,0))*$F$8+$D$8</f>
        <v>0.75711860954579413</v>
      </c>
      <c r="D39" s="1" t="s">
        <v>60</v>
      </c>
      <c r="E39" s="1">
        <f>VLOOKUP(LEFT(D39,2),$A$31:$Q$35,11,0)/(VLOOKUP(LEFT(D39,2),$A$31:$Q$35,11,0)+VLOOKUP(RIGHT(D39,2),$A$31:$Q$35,13,0))</f>
        <v>9.3914350112697192E-2</v>
      </c>
      <c r="G39" s="1" t="s">
        <v>60</v>
      </c>
      <c r="H39" s="1">
        <f>VLOOKUP(LEFT(G39,2),$A$31:$Q$35,15,0)/(VLOOKUP(LEFT(G39,2),$A$31:$Q$35,15,0)+VLOOKUP(RIGHT(G39,2),$A$31:$Q$35,17,0))</f>
        <v>8.2644628099173528E-2</v>
      </c>
    </row>
    <row r="40" spans="1:17" hidden="1" x14ac:dyDescent="0.15">
      <c r="A40" s="1" t="s">
        <v>61</v>
      </c>
      <c r="B40" s="1">
        <f t="shared" ref="B40:B54" si="22">VLOOKUP(LEFT(A40,2),$A$31:$Q$35,7,0)/(VLOOKUP(LEFT(A40,2),$A$31:$Q$35,7,0)+VLOOKUP(RIGHT(A40,2),$A$31:$Q$35,9,0))*$F$8+$D$8</f>
        <v>0.7514132925897633</v>
      </c>
      <c r="D40" s="1" t="s">
        <v>61</v>
      </c>
      <c r="E40" s="1">
        <f t="shared" ref="E40:E54" si="23">VLOOKUP(LEFT(D40,2),$A$31:$Q$35,11,0)/(VLOOKUP(LEFT(D40,2),$A$31:$Q$35,11,0)+VLOOKUP(RIGHT(D40,2),$A$31:$Q$35,13,0))</f>
        <v>0.17170329670329673</v>
      </c>
      <c r="G40" s="1" t="s">
        <v>61</v>
      </c>
      <c r="H40" s="1">
        <f t="shared" ref="H40:H54" si="24">VLOOKUP(LEFT(G40,2),$A$31:$Q$35,15,0)/(VLOOKUP(LEFT(G40,2),$A$31:$Q$35,15,0)+VLOOKUP(RIGHT(G40,2),$A$31:$Q$35,17,0))</f>
        <v>0.21830985915492956</v>
      </c>
    </row>
    <row r="41" spans="1:17" hidden="1" x14ac:dyDescent="0.15">
      <c r="A41" s="1" t="s">
        <v>66</v>
      </c>
      <c r="B41" s="1">
        <f t="shared" si="22"/>
        <v>0.7514132925897633</v>
      </c>
      <c r="D41" s="1" t="s">
        <v>66</v>
      </c>
      <c r="E41" s="1">
        <f t="shared" si="23"/>
        <v>9.3914350112697192E-2</v>
      </c>
      <c r="G41" s="1" t="s">
        <v>66</v>
      </c>
      <c r="H41" s="1">
        <f t="shared" si="24"/>
        <v>0.21830985915492956</v>
      </c>
    </row>
    <row r="42" spans="1:17" hidden="1" x14ac:dyDescent="0.15">
      <c r="A42" s="1" t="s">
        <v>67</v>
      </c>
      <c r="B42" s="1">
        <f t="shared" si="22"/>
        <v>0.72822957733565619</v>
      </c>
      <c r="D42" s="1" t="s">
        <v>67</v>
      </c>
      <c r="E42" s="1">
        <f t="shared" si="23"/>
        <v>9.3914350112697192E-2</v>
      </c>
      <c r="G42" s="1" t="s">
        <v>67</v>
      </c>
      <c r="H42" s="1">
        <f t="shared" si="24"/>
        <v>8.2644628099173528E-2</v>
      </c>
    </row>
    <row r="43" spans="1:17" hidden="1" x14ac:dyDescent="0.15">
      <c r="A43" s="1" t="s">
        <v>62</v>
      </c>
      <c r="B43" s="1">
        <f t="shared" si="22"/>
        <v>0.75711860954579413</v>
      </c>
      <c r="D43" s="1" t="s">
        <v>62</v>
      </c>
      <c r="E43" s="1">
        <f t="shared" si="23"/>
        <v>0.16637500000000002</v>
      </c>
      <c r="G43" s="1" t="s">
        <v>62</v>
      </c>
      <c r="H43" s="1">
        <f t="shared" si="24"/>
        <v>8.2644628099173528E-2</v>
      </c>
    </row>
    <row r="44" spans="1:17" hidden="1" x14ac:dyDescent="0.15">
      <c r="A44" s="1" t="s">
        <v>63</v>
      </c>
      <c r="B44" s="1">
        <f t="shared" si="22"/>
        <v>0.7514132925897633</v>
      </c>
      <c r="D44" s="1" t="s">
        <v>63</v>
      </c>
      <c r="E44" s="1">
        <f t="shared" si="23"/>
        <v>0.28528560711606488</v>
      </c>
      <c r="G44" s="1" t="s">
        <v>63</v>
      </c>
      <c r="H44" s="1">
        <f t="shared" si="24"/>
        <v>0.21830985915492956</v>
      </c>
    </row>
    <row r="45" spans="1:17" hidden="1" x14ac:dyDescent="0.15">
      <c r="A45" s="1" t="s">
        <v>68</v>
      </c>
      <c r="B45" s="1">
        <f t="shared" si="22"/>
        <v>0.7514132925897633</v>
      </c>
      <c r="D45" s="1" t="s">
        <v>68</v>
      </c>
      <c r="E45" s="1">
        <f t="shared" si="23"/>
        <v>0.16637500000000002</v>
      </c>
      <c r="G45" s="1" t="s">
        <v>68</v>
      </c>
      <c r="H45" s="1">
        <f t="shared" si="24"/>
        <v>0.21830985915492956</v>
      </c>
    </row>
    <row r="46" spans="1:17" hidden="1" x14ac:dyDescent="0.15">
      <c r="A46" s="1" t="s">
        <v>69</v>
      </c>
      <c r="B46" s="1">
        <f t="shared" si="22"/>
        <v>0.72822957733565619</v>
      </c>
      <c r="D46" s="1" t="s">
        <v>69</v>
      </c>
      <c r="E46" s="1">
        <f t="shared" si="23"/>
        <v>0.16637500000000002</v>
      </c>
      <c r="G46" s="1" t="s">
        <v>69</v>
      </c>
      <c r="H46" s="1">
        <f t="shared" si="24"/>
        <v>8.2644628099173528E-2</v>
      </c>
    </row>
    <row r="47" spans="1:17" hidden="1" x14ac:dyDescent="0.15">
      <c r="A47" s="1" t="s">
        <v>70</v>
      </c>
      <c r="B47" s="1">
        <f t="shared" si="22"/>
        <v>0.75711860954579413</v>
      </c>
      <c r="D47" s="1" t="s">
        <v>70</v>
      </c>
      <c r="E47" s="1">
        <f t="shared" si="23"/>
        <v>0.1033057851239669</v>
      </c>
      <c r="G47" s="1" t="s">
        <v>70</v>
      </c>
      <c r="H47" s="1">
        <f t="shared" si="24"/>
        <v>0.14641000000000004</v>
      </c>
    </row>
    <row r="48" spans="1:17" hidden="1" x14ac:dyDescent="0.15">
      <c r="A48" s="1" t="s">
        <v>71</v>
      </c>
      <c r="B48" s="1">
        <f t="shared" si="22"/>
        <v>0.7514132925897633</v>
      </c>
      <c r="D48" s="1" t="s">
        <v>71</v>
      </c>
      <c r="E48" s="1">
        <f t="shared" si="23"/>
        <v>0.1872659176029963</v>
      </c>
      <c r="G48" s="1" t="s">
        <v>71</v>
      </c>
      <c r="H48" s="1">
        <f t="shared" si="24"/>
        <v>0.34713922633256378</v>
      </c>
    </row>
    <row r="49" spans="1:8" hidden="1" x14ac:dyDescent="0.15">
      <c r="A49" s="1" t="s">
        <v>77</v>
      </c>
      <c r="B49" s="1">
        <f t="shared" si="22"/>
        <v>0.7514132925897633</v>
      </c>
      <c r="D49" s="1" t="s">
        <v>77</v>
      </c>
      <c r="E49" s="1">
        <f t="shared" si="23"/>
        <v>0.1033057851239669</v>
      </c>
      <c r="G49" s="1" t="s">
        <v>77</v>
      </c>
      <c r="H49" s="1">
        <f t="shared" si="24"/>
        <v>0.34713922633256378</v>
      </c>
    </row>
    <row r="50" spans="1:8" hidden="1" x14ac:dyDescent="0.15">
      <c r="A50" s="1" t="s">
        <v>72</v>
      </c>
      <c r="B50" s="1">
        <f t="shared" si="22"/>
        <v>0.72822957733565619</v>
      </c>
      <c r="D50" s="1" t="s">
        <v>72</v>
      </c>
      <c r="E50" s="1">
        <f t="shared" si="23"/>
        <v>0.1033057851239669</v>
      </c>
      <c r="G50" s="1" t="s">
        <v>72</v>
      </c>
      <c r="H50" s="1">
        <f t="shared" si="24"/>
        <v>0.14641000000000004</v>
      </c>
    </row>
    <row r="51" spans="1:8" hidden="1" x14ac:dyDescent="0.15">
      <c r="A51" s="1" t="s">
        <v>73</v>
      </c>
      <c r="B51" s="1">
        <f t="shared" si="22"/>
        <v>0.75711860954579413</v>
      </c>
      <c r="D51" s="1" t="s">
        <v>73</v>
      </c>
      <c r="E51" s="1">
        <f t="shared" si="23"/>
        <v>0.1033057851239669</v>
      </c>
      <c r="G51" s="1" t="s">
        <v>73</v>
      </c>
      <c r="H51" s="1">
        <f t="shared" si="24"/>
        <v>9.0909090909090898E-2</v>
      </c>
    </row>
    <row r="52" spans="1:8" hidden="1" x14ac:dyDescent="0.15">
      <c r="A52" s="1" t="s">
        <v>74</v>
      </c>
      <c r="B52" s="1">
        <f t="shared" si="22"/>
        <v>0.7514132925897633</v>
      </c>
      <c r="D52" s="1" t="s">
        <v>74</v>
      </c>
      <c r="E52" s="1">
        <f t="shared" si="23"/>
        <v>0.1872659176029963</v>
      </c>
      <c r="G52" s="1" t="s">
        <v>74</v>
      </c>
      <c r="H52" s="1">
        <f t="shared" si="24"/>
        <v>0.23664122137404581</v>
      </c>
    </row>
    <row r="53" spans="1:8" hidden="1" x14ac:dyDescent="0.15">
      <c r="A53" s="1" t="s">
        <v>75</v>
      </c>
      <c r="B53" s="1">
        <f t="shared" si="22"/>
        <v>0.7514132925897633</v>
      </c>
      <c r="D53" s="1" t="s">
        <v>75</v>
      </c>
      <c r="E53" s="1">
        <f t="shared" si="23"/>
        <v>0.1033057851239669</v>
      </c>
      <c r="G53" s="1" t="s">
        <v>75</v>
      </c>
      <c r="H53" s="1">
        <f t="shared" si="24"/>
        <v>0.23664122137404581</v>
      </c>
    </row>
    <row r="54" spans="1:8" hidden="1" x14ac:dyDescent="0.15">
      <c r="A54" s="1" t="s">
        <v>76</v>
      </c>
      <c r="B54" s="1">
        <f t="shared" si="22"/>
        <v>0.72822957733565619</v>
      </c>
      <c r="D54" s="1" t="s">
        <v>76</v>
      </c>
      <c r="E54" s="1">
        <f t="shared" si="23"/>
        <v>0.1033057851239669</v>
      </c>
      <c r="G54" s="1" t="s">
        <v>76</v>
      </c>
      <c r="H54" s="1">
        <f t="shared" si="24"/>
        <v>9.0909090909090898E-2</v>
      </c>
    </row>
    <row r="55" spans="1:8" hidden="1" x14ac:dyDescent="0.15"/>
    <row r="56" spans="1:8" hidden="1" x14ac:dyDescent="0.15"/>
    <row r="57" spans="1:8" x14ac:dyDescent="0.15">
      <c r="A57" s="1" t="s">
        <v>57</v>
      </c>
      <c r="B57" s="1" t="s">
        <v>28</v>
      </c>
      <c r="C57" s="1" t="s">
        <v>29</v>
      </c>
      <c r="D57" s="1" t="s">
        <v>64</v>
      </c>
      <c r="E57" s="1" t="s">
        <v>65</v>
      </c>
      <c r="G57" s="1" t="s">
        <v>80</v>
      </c>
      <c r="H57" s="1">
        <f>MAX(A57:E61)</f>
        <v>1.1326631661935425</v>
      </c>
    </row>
    <row r="58" spans="1:8" x14ac:dyDescent="0.15">
      <c r="A58" s="1" t="s">
        <v>28</v>
      </c>
      <c r="B58" s="1">
        <f>VLOOKUP($A58,$A$31:$Q$35,2,0)/VLOOKUP($A58,$A$31:$Q$35,4,0)/VLOOKUP(B$57,$A$31:$Q$35,3,0)/VLOOKUP(B$57&amp;$A58,$A$39:$B$54,2,0)/(VLOOKUP(B$57&amp;$A58,$D$39:$E$54,2,0)*$B$15+1-VLOOKUP(B$57&amp;$A58,$D$39:$E$54,2,0))/(VLOOKUP(B$57&amp;$A58,$G$39:$H54,2,0)*$B$15+1-VLOOKUP(B$57&amp;$A58,$G$39:$H$54,2,0))/(VLOOKUP(B$57,$A$31:$Q$35,2,0)/VLOOKUP(B$57,$A$31:$Q$35,4,0)/VLOOKUP($A58,$A$31:$Q$35,3,0)/VLOOKUP($A58&amp;B$57,$A$39:$B$54,2,0)/(VLOOKUP($A58&amp;B$57,$D$39:$E$54,2,0)*$B$15+1-VLOOKUP($A58&amp;B$57,$D$39:$E$54,2,0))/(VLOOKUP($A58&amp;B$57,$G$39:$H54,2,0)*$B$15+1-VLOOKUP($A58&amp;B$57,$G$39:$H$54,2,0)))</f>
        <v>1</v>
      </c>
      <c r="C58" s="1">
        <f>VLOOKUP($A58,$A$31:$Q$35,2,0)/VLOOKUP($A58,$A$31:$Q$35,4,0)/VLOOKUP(C$57,$A$31:$Q$35,3,0)/VLOOKUP(C$57&amp;$A58,$A$39:$B$54,2,0)/(VLOOKUP(C$57&amp;$A58,$D$39:$E$54,2,0)*$B$15+1-VLOOKUP(C$57&amp;$A58,$D$39:$E$54,2,0))/(VLOOKUP(C$57&amp;$A58,$G$39:$H54,2,0)*$B$15+1-VLOOKUP(C$57&amp;$A58,$G$39:$H$54,2,0))/(VLOOKUP(C$57,$A$31:$Q$35,2,0)/VLOOKUP(C$57,$A$31:$Q$35,4,0)/VLOOKUP($A58,$A$31:$Q$35,3,0)/VLOOKUP($A58&amp;C$57,$A$39:$B$54,2,0)/(VLOOKUP($A58&amp;C$57,$D$39:$E$54,2,0)*$B$15+1-VLOOKUP($A58&amp;C$57,$D$39:$E$54,2,0))/(VLOOKUP($A58&amp;C$57,$G$39:$H54,2,0)*$B$15+1-VLOOKUP($A58&amp;C$57,$G$39:$H$54,2,0)))</f>
        <v>0.96337675159567793</v>
      </c>
      <c r="D58" s="1">
        <f>VLOOKUP($A58,$A$31:$Q$35,2,0)/VLOOKUP($A58,$A$31:$Q$35,4,0)/VLOOKUP(D$57,$A$31:$Q$35,3,0)/VLOOKUP(D$57&amp;$A58,$A$39:$B$54,2,0)/(VLOOKUP(D$57&amp;$A58,$D$39:$E$54,2,0)*$B$15+1-VLOOKUP(D$57&amp;$A58,$D$39:$E$54,2,0))/(VLOOKUP(D$57&amp;$A58,$G$39:$H54,2,0)*$B$15+1-VLOOKUP(D$57&amp;$A58,$G$39:$H$54,2,0))/(VLOOKUP(D$57,$A$31:$Q$35,2,0)/VLOOKUP(D$57,$A$31:$Q$35,4,0)/VLOOKUP($A58,$A$31:$Q$35,3,0)/VLOOKUP($A58&amp;D$57,$A$39:$B$54,2,0)/(VLOOKUP($A58&amp;D$57,$D$39:$E$54,2,0)*$B$15+1-VLOOKUP($A58&amp;D$57,$D$39:$E$54,2,0))/(VLOOKUP($A58&amp;D$57,$G$39:$H54,2,0)*$B$15+1-VLOOKUP($A58&amp;D$57,$G$39:$H$54,2,0)))</f>
        <v>1.1232428451917555</v>
      </c>
      <c r="E58" s="1">
        <f>VLOOKUP($A58,$A$31:$Q$35,2,0)/VLOOKUP($A58,$A$31:$Q$35,4,0)/VLOOKUP(E$57,$A$31:$Q$35,3,0)/VLOOKUP(E$57&amp;$A58,$A$39:$B$54,2,0)/(VLOOKUP(E$57&amp;$A58,$D$39:$E$54,2,0)*$B$15+1-VLOOKUP(E$57&amp;$A58,$D$39:$E$54,2,0))/(VLOOKUP(E$57&amp;$A58,$G$39:$H54,2,0)*$B$15+1-VLOOKUP(E$57&amp;$A58,$G$39:$H$54,2,0))/(VLOOKUP(E$57,$A$31:$Q$35,2,0)/VLOOKUP(E$57,$A$31:$Q$35,4,0)/VLOOKUP($A58,$A$31:$Q$35,3,0)/VLOOKUP($A58&amp;E$57,$A$39:$B$54,2,0)/(VLOOKUP($A58&amp;E$57,$D$39:$E$54,2,0)*$B$15+1-VLOOKUP($A58&amp;E$57,$D$39:$E$54,2,0))/(VLOOKUP($A58&amp;E$57,$G$39:$H54,2,0)*$B$15+1-VLOOKUP($A58&amp;E$57,$G$39:$H$54,2,0)))</f>
        <v>1.0491403603334806</v>
      </c>
    </row>
    <row r="59" spans="1:8" x14ac:dyDescent="0.15">
      <c r="A59" s="1" t="s">
        <v>29</v>
      </c>
      <c r="B59" s="1">
        <f>VLOOKUP($A59,$A$31:$Q$35,2,0)/VLOOKUP($A59,$A$31:$Q$35,4,0)/VLOOKUP(B$57,$A$31:$Q$35,3,0)/VLOOKUP(B$57&amp;$A59,$A$39:$B$54,2,0)/(VLOOKUP(B$57&amp;$A59,$D$39:$E$54,2,0)*$B$15+1-VLOOKUP(B$57&amp;$A59,$D$39:$E$54,2,0))/(VLOOKUP(B$57&amp;$A59,$G$39:$H55,2,0)*$B$15+1-VLOOKUP(B$57&amp;$A59,$G$39:$H$54,2,0))/(VLOOKUP(B$57,$A$31:$Q$35,2,0)/VLOOKUP(B$57,$A$31:$Q$35,4,0)/VLOOKUP($A59,$A$31:$Q$35,3,0)/VLOOKUP($A59&amp;B$57,$A$39:$B$54,2,0)/(VLOOKUP($A59&amp;B$57,$D$39:$E$54,2,0)*$B$15+1-VLOOKUP($A59&amp;B$57,$D$39:$E$54,2,0))/(VLOOKUP($A59&amp;B$57,$G$39:$H55,2,0)*$B$15+1-VLOOKUP($A59&amp;B$57,$G$39:$H$54,2,0)))</f>
        <v>1.0380154994851822</v>
      </c>
      <c r="C59" s="1">
        <f>VLOOKUP($A59,$A$31:$Q$35,2,0)/VLOOKUP($A59,$A$31:$Q$35,4,0)/VLOOKUP(C$57,$A$31:$Q$35,3,0)/VLOOKUP(C$57&amp;$A59,$A$39:$B$54,2,0)/(VLOOKUP(C$57&amp;$A59,$D$39:$E$54,2,0)*$B$15+1-VLOOKUP(C$57&amp;$A59,$D$39:$E$54,2,0))/(VLOOKUP(C$57&amp;$A59,$G$39:$H55,2,0)*$B$15+1-VLOOKUP(C$57&amp;$A59,$G$39:$H$54,2,0))/(VLOOKUP(C$57,$A$31:$Q$35,2,0)/VLOOKUP(C$57,$A$31:$Q$35,4,0)/VLOOKUP($A59,$A$31:$Q$35,3,0)/VLOOKUP($A59&amp;C$57,$A$39:$B$54,2,0)/(VLOOKUP($A59&amp;C$57,$D$39:$E$54,2,0)*$B$15+1-VLOOKUP($A59&amp;C$57,$D$39:$E$54,2,0))/(VLOOKUP($A59&amp;C$57,$G$39:$H55,2,0)*$B$15+1-VLOOKUP($A59&amp;C$57,$G$39:$H$54,2,0)))</f>
        <v>1</v>
      </c>
      <c r="D59" s="1">
        <f>VLOOKUP($A59,$A$31:$Q$35,2,0)/VLOOKUP($A59,$A$31:$Q$35,4,0)/VLOOKUP(D$57,$A$31:$Q$35,3,0)/VLOOKUP(D$57&amp;$A59,$A$39:$B$54,2,0)/(VLOOKUP(D$57&amp;$A59,$D$39:$E$54,2,0)*$B$15+1-VLOOKUP(D$57&amp;$A59,$D$39:$E$54,2,0))/(VLOOKUP(D$57&amp;$A59,$G$39:$H55,2,0)*$B$15+1-VLOOKUP(D$57&amp;$A59,$G$39:$H$54,2,0))/(VLOOKUP(D$57,$A$31:$Q$35,2,0)/VLOOKUP(D$57,$A$31:$Q$35,4,0)/VLOOKUP($A59,$A$31:$Q$35,3,0)/VLOOKUP($A59&amp;D$57,$A$39:$B$54,2,0)/(VLOOKUP($A59&amp;D$57,$D$39:$E$54,2,0)*$B$15+1-VLOOKUP($A59&amp;D$57,$D$39:$E$54,2,0))/(VLOOKUP($A59&amp;D$57,$G$39:$H55,2,0)*$B$15+1-VLOOKUP($A59&amp;D$57,$G$39:$H$54,2,0)))</f>
        <v>1.1326631661935425</v>
      </c>
      <c r="E59" s="1">
        <f>VLOOKUP($A59,$A$31:$Q$35,2,0)/VLOOKUP($A59,$A$31:$Q$35,4,0)/VLOOKUP(E$57,$A$31:$Q$35,3,0)/VLOOKUP(E$57&amp;$A59,$A$39:$B$54,2,0)/(VLOOKUP(E$57&amp;$A59,$D$39:$E$54,2,0)*$B$15+1-VLOOKUP(E$57&amp;$A59,$D$39:$E$54,2,0))/(VLOOKUP(E$57&amp;$A59,$G$39:$H55,2,0)*$B$15+1-VLOOKUP(E$57&amp;$A59,$G$39:$H$54,2,0))/(VLOOKUP(E$57,$A$31:$Q$35,2,0)/VLOOKUP(E$57,$A$31:$Q$35,4,0)/VLOOKUP($A59,$A$31:$Q$35,3,0)/VLOOKUP($A59&amp;E$57,$A$39:$B$54,2,0)/(VLOOKUP($A59&amp;E$57,$D$39:$E$54,2,0)*$B$15+1-VLOOKUP($A59&amp;E$57,$D$39:$E$54,2,0))/(VLOOKUP($A59&amp;E$57,$G$39:$H55,2,0)*$B$15+1-VLOOKUP($A59&amp;E$57,$G$39:$H$54,2,0)))</f>
        <v>1.0814979637622197</v>
      </c>
    </row>
    <row r="60" spans="1:8" x14ac:dyDescent="0.15">
      <c r="A60" s="1" t="s">
        <v>64</v>
      </c>
      <c r="B60" s="1">
        <f>VLOOKUP($A60,$A$31:$Q$35,2,0)/VLOOKUP($A60,$A$31:$Q$35,4,0)/VLOOKUP(B$57,$A$31:$Q$35,3,0)/VLOOKUP(B$57&amp;$A60,$A$39:$B$54,2,0)/(VLOOKUP(B$57&amp;$A60,$D$39:$E$54,2,0)*$B$15+1-VLOOKUP(B$57&amp;$A60,$D$39:$E$54,2,0))/(VLOOKUP(B$57&amp;$A60,$G$39:$H56,2,0)*$B$15+1-VLOOKUP(B$57&amp;$A60,$G$39:$H$54,2,0))/(VLOOKUP(B$57,$A$31:$Q$35,2,0)/VLOOKUP(B$57,$A$31:$Q$35,4,0)/VLOOKUP($A60,$A$31:$Q$35,3,0)/VLOOKUP($A60&amp;B$57,$A$39:$B$54,2,0)/(VLOOKUP($A60&amp;B$57,$D$39:$E$54,2,0)*$B$15+1-VLOOKUP($A60&amp;B$57,$D$39:$E$54,2,0))/(VLOOKUP($A60&amp;B$57,$G$39:$H56,2,0)*$B$15+1-VLOOKUP($A60&amp;B$57,$G$39:$H$54,2,0)))</f>
        <v>0.89027943002769272</v>
      </c>
      <c r="C60" s="1">
        <f>VLOOKUP($A60,$A$31:$Q$35,2,0)/VLOOKUP($A60,$A$31:$Q$35,4,0)/VLOOKUP(C$57,$A$31:$Q$35,3,0)/VLOOKUP(C$57&amp;$A60,$A$39:$B$54,2,0)/(VLOOKUP(C$57&amp;$A60,$D$39:$E$54,2,0)*$B$15+1-VLOOKUP(C$57&amp;$A60,$D$39:$E$54,2,0))/(VLOOKUP(C$57&amp;$A60,$G$39:$H56,2,0)*$B$15+1-VLOOKUP(C$57&amp;$A60,$G$39:$H$54,2,0))/(VLOOKUP(C$57,$A$31:$Q$35,2,0)/VLOOKUP(C$57,$A$31:$Q$35,4,0)/VLOOKUP($A60,$A$31:$Q$35,3,0)/VLOOKUP($A60&amp;C$57,$A$39:$B$54,2,0)/(VLOOKUP($A60&amp;C$57,$D$39:$E$54,2,0)*$B$15+1-VLOOKUP($A60&amp;C$57,$D$39:$E$54,2,0))/(VLOOKUP($A60&amp;C$57,$G$39:$H56,2,0)*$B$15+1-VLOOKUP($A60&amp;C$57,$G$39:$H$54,2,0)))</f>
        <v>0.88287500630979843</v>
      </c>
      <c r="D60" s="1">
        <f>VLOOKUP($A60,$A$31:$Q$35,2,0)/VLOOKUP($A60,$A$31:$Q$35,4,0)/VLOOKUP(D$57,$A$31:$Q$35,3,0)/VLOOKUP(D$57&amp;$A60,$A$39:$B$54,2,0)/(VLOOKUP(D$57&amp;$A60,$D$39:$E$54,2,0)*$B$15+1-VLOOKUP(D$57&amp;$A60,$D$39:$E$54,2,0))/(VLOOKUP(D$57&amp;$A60,$G$39:$H56,2,0)*$B$15+1-VLOOKUP(D$57&amp;$A60,$G$39:$H$54,2,0))/(VLOOKUP(D$57,$A$31:$Q$35,2,0)/VLOOKUP(D$57,$A$31:$Q$35,4,0)/VLOOKUP($A60,$A$31:$Q$35,3,0)/VLOOKUP($A60&amp;D$57,$A$39:$B$54,2,0)/(VLOOKUP($A60&amp;D$57,$D$39:$E$54,2,0)*$B$15+1-VLOOKUP($A60&amp;D$57,$D$39:$E$54,2,0))/(VLOOKUP($A60&amp;D$57,$G$39:$H56,2,0)*$B$15+1-VLOOKUP($A60&amp;D$57,$G$39:$H$54,2,0)))</f>
        <v>1</v>
      </c>
      <c r="E60" s="1">
        <f>VLOOKUP($A60,$A$31:$Q$35,2,0)/VLOOKUP($A60,$A$31:$Q$35,4,0)/VLOOKUP(E$57,$A$31:$Q$35,3,0)/VLOOKUP(E$57&amp;$A60,$A$39:$B$54,2,0)/(VLOOKUP(E$57&amp;$A60,$D$39:$E$54,2,0)*$B$15+1-VLOOKUP(E$57&amp;$A60,$D$39:$E$54,2,0))/(VLOOKUP(E$57&amp;$A60,$G$39:$H56,2,0)*$B$15+1-VLOOKUP(E$57&amp;$A60,$G$39:$H$54,2,0))/(VLOOKUP(E$57,$A$31:$Q$35,2,0)/VLOOKUP(E$57,$A$31:$Q$35,4,0)/VLOOKUP($A60,$A$31:$Q$35,3,0)/VLOOKUP($A60&amp;E$57,$A$39:$B$54,2,0)/(VLOOKUP($A60&amp;E$57,$D$39:$E$54,2,0)*$B$15+1-VLOOKUP($A60&amp;E$57,$D$39:$E$54,2,0))/(VLOOKUP($A60&amp;E$57,$G$39:$H56,2,0)*$B$15+1-VLOOKUP($A60&amp;E$57,$G$39:$H$54,2,0)))</f>
        <v>0.93004893291474744</v>
      </c>
    </row>
    <row r="61" spans="1:8" x14ac:dyDescent="0.15">
      <c r="A61" s="1" t="s">
        <v>65</v>
      </c>
      <c r="B61" s="1">
        <f>VLOOKUP($A61,$A$31:$Q$35,2,0)/VLOOKUP($A61,$A$31:$Q$35,4,0)/VLOOKUP(B$57,$A$31:$Q$35,3,0)/VLOOKUP(B$57&amp;$A61,$A$39:$B$54,2,0)/(VLOOKUP(B$57&amp;$A61,$D$39:$E$54,2,0)*$B$15+1-VLOOKUP(B$57&amp;$A61,$D$39:$E$54,2,0))/(VLOOKUP(B$57&amp;$A61,$G$39:$H57,2,0)*$B$15+1-VLOOKUP(B$57&amp;$A61,$G$39:$H$54,2,0))/(VLOOKUP(B$57,$A$31:$Q$35,2,0)/VLOOKUP(B$57,$A$31:$Q$35,4,0)/VLOOKUP($A61,$A$31:$Q$35,3,0)/VLOOKUP($A61&amp;B$57,$A$39:$B$54,2,0)/(VLOOKUP($A61&amp;B$57,$D$39:$E$54,2,0)*$B$15+1-VLOOKUP($A61&amp;B$57,$D$39:$E$54,2,0))/(VLOOKUP($A61&amp;B$57,$G$39:$H57,2,0)*$B$15+1-VLOOKUP($A61&amp;B$57,$G$39:$H$54,2,0)))</f>
        <v>0.95316130978140923</v>
      </c>
      <c r="C61" s="1">
        <f>VLOOKUP($A61,$A$31:$Q$35,2,0)/VLOOKUP($A61,$A$31:$Q$35,4,0)/VLOOKUP(C$57,$A$31:$Q$35,3,0)/VLOOKUP(C$57&amp;$A61,$A$39:$B$54,2,0)/(VLOOKUP(C$57&amp;$A61,$D$39:$E$54,2,0)*$B$15+1-VLOOKUP(C$57&amp;$A61,$D$39:$E$54,2,0))/(VLOOKUP(C$57&amp;$A61,$G$39:$H57,2,0)*$B$15+1-VLOOKUP(C$57&amp;$A61,$G$39:$H$54,2,0))/(VLOOKUP(C$57,$A$31:$Q$35,2,0)/VLOOKUP(C$57,$A$31:$Q$35,4,0)/VLOOKUP($A61,$A$31:$Q$35,3,0)/VLOOKUP($A61&amp;C$57,$A$39:$B$54,2,0)/(VLOOKUP($A61&amp;C$57,$D$39:$E$54,2,0)*$B$15+1-VLOOKUP($A61&amp;C$57,$D$39:$E$54,2,0))/(VLOOKUP($A61&amp;C$57,$G$39:$H57,2,0)*$B$15+1-VLOOKUP($A61&amp;C$57,$G$39:$H$54,2,0)))</f>
        <v>0.924643442250495</v>
      </c>
      <c r="D61" s="1">
        <f>VLOOKUP($A61,$A$31:$Q$35,2,0)/VLOOKUP($A61,$A$31:$Q$35,4,0)/VLOOKUP(D$57,$A$31:$Q$35,3,0)/VLOOKUP(D$57&amp;$A61,$A$39:$B$54,2,0)/(VLOOKUP(D$57&amp;$A61,$D$39:$E$54,2,0)*$B$15+1-VLOOKUP(D$57&amp;$A61,$D$39:$E$54,2,0))/(VLOOKUP(D$57&amp;$A61,$G$39:$H57,2,0)*$B$15+1-VLOOKUP(D$57&amp;$A61,$G$39:$H$54,2,0))/(VLOOKUP(D$57,$A$31:$Q$35,2,0)/VLOOKUP(D$57,$A$31:$Q$35,4,0)/VLOOKUP($A61,$A$31:$Q$35,3,0)/VLOOKUP($A61&amp;D$57,$A$39:$B$54,2,0)/(VLOOKUP($A61&amp;D$57,$D$39:$E$54,2,0)*$B$15+1-VLOOKUP($A61&amp;D$57,$D$39:$E$54,2,0))/(VLOOKUP($A61&amp;D$57,$G$39:$H57,2,0)*$B$15+1-VLOOKUP($A61&amp;D$57,$G$39:$H$54,2,0)))</f>
        <v>1.0752122437967084</v>
      </c>
      <c r="E61" s="1">
        <f>VLOOKUP($A61,$A$31:$Q$35,2,0)/VLOOKUP($A61,$A$31:$Q$35,4,0)/VLOOKUP(E$57,$A$31:$Q$35,3,0)/VLOOKUP(E$57&amp;$A61,$A$39:$B$54,2,0)/(VLOOKUP(E$57&amp;$A61,$D$39:$E$54,2,0)*$B$15+1-VLOOKUP(E$57&amp;$A61,$D$39:$E$54,2,0))/(VLOOKUP(E$57&amp;$A61,$G$39:$H57,2,0)*$B$15+1-VLOOKUP(E$57&amp;$A61,$G$39:$H$54,2,0))/(VLOOKUP(E$57,$A$31:$Q$35,2,0)/VLOOKUP(E$57,$A$31:$Q$35,4,0)/VLOOKUP($A61,$A$31:$Q$35,3,0)/VLOOKUP($A61&amp;E$57,$A$39:$B$54,2,0)/(VLOOKUP($A61&amp;E$57,$D$39:$E$54,2,0)*$B$15+1-VLOOKUP($A61&amp;E$57,$D$39:$E$54,2,0))/(VLOOKUP($A61&amp;E$57,$G$39:$H57,2,0)*$B$15+1-VLOOKUP($A61&amp;E$57,$G$39:$H$54,2,0)))</f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"/>
  <sheetViews>
    <sheetView tabSelected="1" workbookViewId="0">
      <selection activeCell="H17" sqref="H17"/>
    </sheetView>
  </sheetViews>
  <sheetFormatPr defaultRowHeight="13.5" x14ac:dyDescent="0.15"/>
  <sheetData>
    <row r="1" spans="1:11" ht="16.5" x14ac:dyDescent="0.15">
      <c r="A1" t="s">
        <v>84</v>
      </c>
      <c r="B1" t="s">
        <v>81</v>
      </c>
      <c r="C1" s="1" t="s">
        <v>0</v>
      </c>
      <c r="D1" s="1" t="s">
        <v>1</v>
      </c>
      <c r="E1" s="1" t="s">
        <v>44</v>
      </c>
      <c r="F1" s="1" t="s">
        <v>4</v>
      </c>
      <c r="G1" s="1" t="s">
        <v>5</v>
      </c>
      <c r="H1" s="1" t="s">
        <v>12</v>
      </c>
      <c r="I1" s="1" t="s">
        <v>52</v>
      </c>
      <c r="J1" s="1" t="s">
        <v>9</v>
      </c>
      <c r="K1" s="1" t="s">
        <v>10</v>
      </c>
    </row>
    <row r="2" spans="1:11" x14ac:dyDescent="0.15">
      <c r="A2" t="s">
        <v>82</v>
      </c>
      <c r="C2">
        <f>VLOOKUP($A$2,职业设定!$A$31:$Q$35,MATCH(C1,职业设定!$A$31:$Q$31,0),0)</f>
        <v>300</v>
      </c>
      <c r="D2">
        <f>VLOOKUP($A$2,职业设定!$A$31:$Q$35,MATCH(D1,职业设定!$A$31:$Q$31,0),0)</f>
        <v>5.2958683473389376</v>
      </c>
      <c r="E2">
        <f>VLOOKUP($A$2,职业设定!$A$31:$Q$35,MATCH(E1,职业设定!$A$31:$Q$31,0),0)</f>
        <v>0.88000000000000012</v>
      </c>
      <c r="F2">
        <f>VLOOKUP($A$2,职业设定!$A$31:$Q$35,MATCH(F1,职业设定!$A$31:$Q$31,0),0)</f>
        <v>100.00000000000007</v>
      </c>
      <c r="G2">
        <f>VLOOKUP($A$2,职业设定!$A$31:$Q$35,MATCH(G1,职业设定!$A$31:$Q$31,0),0)</f>
        <v>70.739130434782609</v>
      </c>
      <c r="H2">
        <f>VLOOKUP($A$2,职业设定!$A$31:$Q$35,MATCH(H1,职业设定!$A$31:$Q$31,0),0)</f>
        <v>8.9811066126855632</v>
      </c>
      <c r="I2">
        <f>VLOOKUP($A$2,职业设定!$A$31:$Q$35,MATCH(I1,职业设定!$A$31:$Q$31,0),0)</f>
        <v>22.499999999999993</v>
      </c>
      <c r="J2">
        <f>VLOOKUP($A$2,职业设定!$A$31:$Q$35,MATCH(J1,职业设定!$A$31:$Q$31,0),0)</f>
        <v>8.108108108108107</v>
      </c>
      <c r="K2">
        <f>VLOOKUP($A$2,职业设定!$A$31:$Q$35,MATCH(K1,职业设定!$A$31:$Q$31,0),0)</f>
        <v>29.032258064516125</v>
      </c>
    </row>
    <row r="15" spans="1:11" x14ac:dyDescent="0.15">
      <c r="A15" t="s">
        <v>83</v>
      </c>
      <c r="B15">
        <v>100</v>
      </c>
    </row>
    <row r="16" spans="1:11" x14ac:dyDescent="0.15">
      <c r="A16" t="s">
        <v>86</v>
      </c>
      <c r="B16">
        <v>100</v>
      </c>
    </row>
    <row r="17" spans="1:11" x14ac:dyDescent="0.15">
      <c r="A17" t="s">
        <v>87</v>
      </c>
      <c r="B17">
        <v>0</v>
      </c>
    </row>
    <row r="29" spans="1:11" x14ac:dyDescent="0.15">
      <c r="C29">
        <v>1</v>
      </c>
      <c r="D29">
        <v>2</v>
      </c>
      <c r="E29">
        <v>3</v>
      </c>
      <c r="F29">
        <v>4</v>
      </c>
      <c r="G29">
        <v>5</v>
      </c>
      <c r="H29">
        <v>6</v>
      </c>
      <c r="I29">
        <v>7</v>
      </c>
      <c r="J29">
        <v>8</v>
      </c>
      <c r="K29">
        <v>9</v>
      </c>
    </row>
    <row r="30" spans="1:11" ht="16.5" x14ac:dyDescent="0.15">
      <c r="A30" t="s">
        <v>85</v>
      </c>
      <c r="B30" t="s">
        <v>81</v>
      </c>
      <c r="C30" s="1" t="s">
        <v>0</v>
      </c>
      <c r="D30" s="1" t="s">
        <v>1</v>
      </c>
      <c r="E30" s="1" t="s">
        <v>44</v>
      </c>
      <c r="F30" s="1" t="s">
        <v>4</v>
      </c>
      <c r="G30" s="1" t="s">
        <v>5</v>
      </c>
      <c r="H30" s="1" t="s">
        <v>12</v>
      </c>
      <c r="I30" s="1" t="s">
        <v>52</v>
      </c>
      <c r="J30" s="1" t="s">
        <v>9</v>
      </c>
      <c r="K30" s="1" t="s">
        <v>10</v>
      </c>
    </row>
    <row r="31" spans="1:11" x14ac:dyDescent="0.15">
      <c r="A31" t="s">
        <v>82</v>
      </c>
      <c r="C31">
        <f>VLOOKUP($A$31,职业设定!$A$31:$Q$35,MATCH(C30,职业设定!$A$31:$Q$31,0),0)</f>
        <v>300</v>
      </c>
      <c r="D31">
        <f>VLOOKUP($A$31,职业设定!$A$31:$Q$35,MATCH(D30,职业设定!$A$31:$Q$31,0),0)</f>
        <v>5.2958683473389376</v>
      </c>
      <c r="E31">
        <f>VLOOKUP($A$31,职业设定!$A$31:$Q$35,MATCH(E30,职业设定!$A$31:$Q$31,0),0)</f>
        <v>0.88000000000000012</v>
      </c>
      <c r="F31">
        <f>VLOOKUP($A$31,职业设定!$A$31:$Q$35,MATCH(F30,职业设定!$A$31:$Q$31,0),0)</f>
        <v>100.00000000000007</v>
      </c>
      <c r="G31">
        <f>VLOOKUP($A$31,职业设定!$A$31:$Q$35,MATCH(G30,职业设定!$A$31:$Q$31,0),0)</f>
        <v>70.739130434782609</v>
      </c>
      <c r="H31">
        <f>VLOOKUP($A$31,职业设定!$A$31:$Q$35,MATCH(H30,职业设定!$A$31:$Q$31,0),0)</f>
        <v>8.9811066126855632</v>
      </c>
      <c r="I31">
        <f>VLOOKUP($A$31,职业设定!$A$31:$Q$35,MATCH(I30,职业设定!$A$31:$Q$31,0),0)</f>
        <v>22.499999999999993</v>
      </c>
      <c r="J31">
        <f>VLOOKUP($A$31,职业设定!$A$31:$Q$35,MATCH(J30,职业设定!$A$31:$Q$31,0),0)</f>
        <v>8.108108108108107</v>
      </c>
      <c r="K31">
        <f>VLOOKUP($A$31,职业设定!$A$31:$Q$35,MATCH(K30,职业设定!$A$31:$Q$31,0),0)</f>
        <v>29.032258064516125</v>
      </c>
    </row>
  </sheetData>
  <dataConsolidate/>
  <phoneticPr fontId="1" type="noConversion"/>
  <dataValidations count="2">
    <dataValidation type="whole" allowBlank="1" showInputMessage="1" showErrorMessage="1" sqref="B2 B31">
      <formula1>1</formula1>
      <formula2>99</formula2>
    </dataValidation>
    <dataValidation type="whole" allowBlank="1" showInputMessage="1" showErrorMessage="1" sqref="B15">
      <formula1>1</formula1>
      <formula2>9999999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职业设定!$A$32:$A$35</xm:f>
          </x14:formula1>
          <xm:sqref>A2 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职业设定</vt:lpstr>
      <vt:lpstr>战斗模拟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2017-11-13T06:11:27Z</dcterms:created>
  <dcterms:modified xsi:type="dcterms:W3CDTF">2017-11-14T11:20:30Z</dcterms:modified>
</cp:coreProperties>
</file>