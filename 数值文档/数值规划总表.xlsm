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工作\"/>
    </mc:Choice>
  </mc:AlternateContent>
  <bookViews>
    <workbookView xWindow="240" yWindow="105" windowWidth="14805" windowHeight="8010" activeTab="1"/>
  </bookViews>
  <sheets>
    <sheet name="规划" sheetId="1" r:id="rId1"/>
    <sheet name="模拟" sheetId="2" r:id="rId2"/>
    <sheet name="数据" sheetId="3" r:id="rId3"/>
  </sheets>
  <calcPr calcId="152511"/>
</workbook>
</file>

<file path=xl/calcChain.xml><?xml version="1.0" encoding="utf-8"?>
<calcChain xmlns="http://schemas.openxmlformats.org/spreadsheetml/2006/main">
  <c r="M6" i="3" l="1"/>
  <c r="P1" i="3"/>
  <c r="M11" i="3" l="1"/>
  <c r="M5" i="3"/>
  <c r="M10" i="3" s="1"/>
  <c r="M4" i="3"/>
  <c r="M9" i="3" s="1"/>
  <c r="M3" i="3"/>
  <c r="M2" i="3"/>
  <c r="M7" i="3" s="1"/>
  <c r="L8" i="3"/>
  <c r="L9" i="3"/>
  <c r="L10" i="3"/>
  <c r="L11" i="3"/>
  <c r="L7" i="3"/>
  <c r="M8" i="3" l="1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I3" i="3" l="1"/>
  <c r="I4" i="3" s="1"/>
  <c r="I5" i="3" s="1"/>
  <c r="I6" i="3" s="1"/>
  <c r="I7" i="3" s="1"/>
  <c r="I8" i="3" l="1"/>
  <c r="P27" i="3"/>
  <c r="P30" i="3"/>
  <c r="O30" i="3" s="1"/>
  <c r="P31" i="3"/>
  <c r="P16" i="3"/>
  <c r="O16" i="3" s="1"/>
  <c r="P33" i="3"/>
  <c r="P32" i="3"/>
  <c r="P29" i="3"/>
  <c r="P28" i="3"/>
  <c r="P26" i="3"/>
  <c r="P25" i="3"/>
  <c r="O25" i="3" s="1"/>
  <c r="P24" i="3"/>
  <c r="P23" i="3"/>
  <c r="P22" i="3"/>
  <c r="P21" i="3"/>
  <c r="P20" i="3"/>
  <c r="P19" i="3"/>
  <c r="O19" i="3" s="1"/>
  <c r="A19" i="3" s="1"/>
  <c r="P17" i="3"/>
  <c r="O27" i="3" l="1"/>
  <c r="O29" i="3"/>
  <c r="O33" i="3"/>
  <c r="O21" i="3"/>
  <c r="O31" i="3"/>
  <c r="I9" i="3"/>
  <c r="I10" i="3" s="1"/>
  <c r="I11" i="3" s="1"/>
  <c r="O28" i="3"/>
  <c r="O32" i="3"/>
  <c r="O26" i="3"/>
  <c r="O17" i="3"/>
  <c r="D15" i="3"/>
  <c r="P18" i="3"/>
  <c r="O18" i="3" s="1"/>
  <c r="P15" i="3" l="1"/>
  <c r="A9" i="3"/>
  <c r="B9" i="3" s="1"/>
  <c r="O9" i="3" s="1"/>
  <c r="A8" i="3"/>
  <c r="B8" i="3" s="1"/>
  <c r="O8" i="3" s="1"/>
  <c r="A11" i="3"/>
  <c r="B11" i="3" s="1"/>
  <c r="O11" i="3" s="1"/>
  <c r="A7" i="3"/>
  <c r="B7" i="3" s="1"/>
  <c r="O7" i="3" s="1"/>
  <c r="A10" i="3"/>
  <c r="B10" i="3" s="1"/>
  <c r="O10" i="3" s="1"/>
  <c r="O24" i="3"/>
  <c r="O22" i="3"/>
  <c r="O20" i="3"/>
  <c r="O23" i="3"/>
  <c r="K3" i="2"/>
  <c r="E2" i="3"/>
  <c r="E3" i="3"/>
  <c r="E4" i="3"/>
  <c r="E5" i="3"/>
  <c r="E6" i="3"/>
  <c r="E7" i="3"/>
  <c r="E8" i="3"/>
  <c r="E9" i="3"/>
  <c r="E10" i="3"/>
  <c r="E11" i="3"/>
  <c r="D7" i="3" l="1"/>
  <c r="N7" i="3" s="1"/>
  <c r="C7" i="3"/>
  <c r="D11" i="3"/>
  <c r="N11" i="3" s="1"/>
  <c r="C11" i="3"/>
  <c r="D8" i="3"/>
  <c r="N8" i="3" s="1"/>
  <c r="C8" i="3"/>
  <c r="D10" i="3"/>
  <c r="N10" i="3" s="1"/>
  <c r="C10" i="3"/>
  <c r="D9" i="3"/>
  <c r="N9" i="3" s="1"/>
  <c r="C9" i="3"/>
  <c r="A5" i="3"/>
  <c r="B5" i="3" s="1"/>
  <c r="O5" i="3" s="1"/>
  <c r="A3" i="3"/>
  <c r="B3" i="3" s="1"/>
  <c r="O3" i="3" s="1"/>
  <c r="A4" i="3"/>
  <c r="B4" i="3" s="1"/>
  <c r="O4" i="3" s="1"/>
  <c r="A2" i="3"/>
  <c r="B2" i="3" s="1"/>
  <c r="O2" i="3" s="1"/>
  <c r="A6" i="3"/>
  <c r="B6" i="3" s="1"/>
  <c r="E12" i="3"/>
  <c r="C6" i="3" l="1"/>
  <c r="O6" i="3"/>
  <c r="O1" i="3" s="1"/>
  <c r="P10" i="3" s="1"/>
  <c r="C2" i="3"/>
  <c r="D2" i="3"/>
  <c r="N2" i="3" s="1"/>
  <c r="D4" i="3"/>
  <c r="N4" i="3" s="1"/>
  <c r="C4" i="3"/>
  <c r="D6" i="3"/>
  <c r="N6" i="3" s="1"/>
  <c r="C3" i="3"/>
  <c r="D3" i="3"/>
  <c r="N3" i="3" s="1"/>
  <c r="D5" i="3"/>
  <c r="N5" i="3" s="1"/>
  <c r="C5" i="3"/>
  <c r="P3" i="3" l="1"/>
  <c r="Q3" i="3" s="1"/>
  <c r="P4" i="3"/>
  <c r="Q4" i="3" s="1"/>
  <c r="P6" i="3"/>
  <c r="Q6" i="3" s="1"/>
  <c r="P5" i="3"/>
  <c r="Q5" i="3" s="1"/>
  <c r="P2" i="3"/>
  <c r="Q2" i="3" s="1"/>
  <c r="P8" i="3"/>
  <c r="Q8" i="3" s="1"/>
  <c r="P9" i="3"/>
  <c r="Q9" i="3" s="1"/>
  <c r="P11" i="3"/>
  <c r="Q11" i="3" s="1"/>
  <c r="P7" i="3"/>
  <c r="Q7" i="3" s="1"/>
  <c r="Q10" i="3"/>
  <c r="E60" i="1" l="1"/>
  <c r="E59" i="1"/>
  <c r="E58" i="1"/>
  <c r="G16" i="1" l="1"/>
  <c r="G17" i="1" s="1"/>
  <c r="G15" i="1"/>
  <c r="G18" i="1" l="1"/>
  <c r="C10" i="1"/>
  <c r="C9" i="1"/>
  <c r="B6" i="1"/>
  <c r="C7" i="1"/>
  <c r="C8" i="1"/>
  <c r="C6" i="1"/>
  <c r="O14" i="1"/>
  <c r="P13" i="1" s="1"/>
  <c r="P14" i="1"/>
  <c r="G19" i="1" l="1"/>
  <c r="P25" i="1"/>
  <c r="G20" i="1" l="1"/>
  <c r="F25" i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K39" i="1"/>
  <c r="K40" i="1" s="1"/>
  <c r="K41" i="1" s="1"/>
  <c r="K42" i="1" s="1"/>
  <c r="K43" i="1" s="1"/>
  <c r="K15" i="1"/>
  <c r="K16" i="1" s="1"/>
  <c r="K17" i="1" s="1"/>
  <c r="K18" i="1" s="1"/>
  <c r="K19" i="1" s="1"/>
  <c r="O23" i="1" s="1"/>
  <c r="O24" i="1" s="1"/>
  <c r="G21" i="1" l="1"/>
  <c r="B13" i="1"/>
  <c r="G22" i="1" l="1"/>
  <c r="B7" i="1"/>
  <c r="B8" i="1"/>
  <c r="C15" i="1"/>
  <c r="C16" i="1"/>
  <c r="D8" i="1" s="1"/>
  <c r="C17" i="1"/>
  <c r="D9" i="1" s="1"/>
  <c r="E9" i="1" s="1"/>
  <c r="C18" i="1"/>
  <c r="C14" i="1"/>
  <c r="D6" i="1" s="1"/>
  <c r="E6" i="1" s="1"/>
  <c r="G23" i="1" l="1"/>
  <c r="D7" i="1"/>
  <c r="D10" i="1"/>
  <c r="E10" i="1" s="1"/>
  <c r="K8" i="1"/>
  <c r="L7" i="1" s="1"/>
  <c r="L9" i="1"/>
  <c r="E7" i="1"/>
  <c r="E8" i="1"/>
  <c r="G24" i="1" l="1"/>
  <c r="F8" i="1"/>
  <c r="K7" i="1"/>
  <c r="M7" i="1" s="1"/>
  <c r="N7" i="1" s="1"/>
  <c r="F7" i="1"/>
  <c r="M9" i="1"/>
  <c r="N9" i="1" s="1"/>
  <c r="G25" i="1" l="1"/>
  <c r="G26" i="1" l="1"/>
  <c r="G27" i="1" l="1"/>
  <c r="G28" i="1" l="1"/>
  <c r="G29" i="1" l="1"/>
  <c r="G30" i="1" l="1"/>
  <c r="G31" i="1" l="1"/>
  <c r="G32" i="1" l="1"/>
  <c r="G33" i="1" l="1"/>
  <c r="G34" i="1" l="1"/>
  <c r="G35" i="1" l="1"/>
  <c r="G36" i="1" l="1"/>
  <c r="G37" i="1" l="1"/>
  <c r="G38" i="1" l="1"/>
  <c r="G39" i="1" l="1"/>
  <c r="G40" i="1" l="1"/>
  <c r="G41" i="1" l="1"/>
  <c r="G42" i="1" l="1"/>
  <c r="G43" i="1" l="1"/>
  <c r="G44" i="1" l="1"/>
  <c r="G45" i="1" l="1"/>
  <c r="G46" i="1" l="1"/>
  <c r="G47" i="1" l="1"/>
  <c r="G13" i="1" l="1"/>
  <c r="H14" i="1" l="1"/>
  <c r="H17" i="1"/>
  <c r="H16" i="1"/>
  <c r="H15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K26" i="3"/>
  <c r="K29" i="3" s="1"/>
  <c r="K32" i="3" s="1"/>
  <c r="L27" i="3" l="1"/>
  <c r="L30" i="3" s="1"/>
  <c r="L33" i="3" s="1"/>
  <c r="A40" i="3"/>
  <c r="J48" i="3" s="1"/>
  <c r="J51" i="3" s="1"/>
  <c r="J54" i="3" s="1"/>
  <c r="F25" i="3"/>
  <c r="F28" i="3" s="1"/>
  <c r="F31" i="3" s="1"/>
  <c r="H46" i="3" l="1"/>
  <c r="H49" i="3" s="1"/>
  <c r="H52" i="3" s="1"/>
  <c r="J47" i="3"/>
  <c r="J50" i="3" s="1"/>
  <c r="J53" i="3" s="1"/>
  <c r="F19" i="2" l="1"/>
  <c r="B19" i="2"/>
  <c r="D16" i="2"/>
  <c r="F13" i="2"/>
  <c r="B13" i="2"/>
  <c r="F18" i="2"/>
  <c r="D19" i="2"/>
  <c r="F16" i="2"/>
  <c r="B16" i="2"/>
  <c r="D13" i="2"/>
  <c r="F21" i="2"/>
  <c r="F15" i="2"/>
  <c r="B15" i="2"/>
  <c r="B16" i="3"/>
  <c r="A16" i="3" s="1"/>
  <c r="B24" i="3"/>
  <c r="A24" i="3" s="1"/>
  <c r="B18" i="3"/>
  <c r="A18" i="3" s="1"/>
  <c r="B27" i="3"/>
  <c r="A27" i="3" s="1"/>
  <c r="B19" i="3"/>
  <c r="B29" i="3"/>
  <c r="A29" i="3" s="1"/>
  <c r="B21" i="3"/>
  <c r="A21" i="3" s="1"/>
  <c r="B30" i="3"/>
  <c r="A30" i="3" s="1"/>
  <c r="B33" i="3"/>
  <c r="B32" i="3"/>
  <c r="A32" i="3" s="1"/>
  <c r="B23" i="3"/>
  <c r="A23" i="3" s="1"/>
  <c r="B25" i="3"/>
  <c r="A25" i="3" s="1"/>
  <c r="B28" i="3"/>
  <c r="A28" i="3" s="1"/>
  <c r="B17" i="3"/>
  <c r="A17" i="3" s="1"/>
  <c r="B22" i="3"/>
  <c r="A22" i="3" s="1"/>
  <c r="B26" i="3"/>
  <c r="A26" i="3" s="1"/>
  <c r="B31" i="3"/>
  <c r="A31" i="3" s="1"/>
  <c r="B20" i="3"/>
  <c r="A20" i="3" s="1"/>
  <c r="L16" i="3" l="1"/>
  <c r="A51" i="3"/>
  <c r="F18" i="3"/>
  <c r="J17" i="3"/>
  <c r="D21" i="2"/>
  <c r="B21" i="2"/>
  <c r="D18" i="2"/>
  <c r="B18" i="2"/>
  <c r="G17" i="3"/>
  <c r="A48" i="3"/>
  <c r="E18" i="3"/>
  <c r="J16" i="3"/>
  <c r="A50" i="3"/>
  <c r="I16" i="3"/>
  <c r="I18" i="3"/>
  <c r="F17" i="3"/>
  <c r="M16" i="3"/>
  <c r="M22" i="3" s="1"/>
  <c r="A33" i="3"/>
  <c r="D15" i="2"/>
  <c r="A42" i="3"/>
  <c r="J26" i="3"/>
  <c r="J29" i="3" s="1"/>
  <c r="J32" i="3" s="1"/>
  <c r="F27" i="3"/>
  <c r="F30" i="3" s="1"/>
  <c r="F33" i="3" s="1"/>
  <c r="L25" i="3"/>
  <c r="L28" i="3" s="1"/>
  <c r="L31" i="3" s="1"/>
  <c r="E27" i="3"/>
  <c r="E30" i="3" s="1"/>
  <c r="E33" i="3" s="1"/>
  <c r="A45" i="3"/>
  <c r="G26" i="3"/>
  <c r="G29" i="3" s="1"/>
  <c r="G32" i="3" s="1"/>
  <c r="J25" i="3"/>
  <c r="J28" i="3" s="1"/>
  <c r="J31" i="3" s="1"/>
  <c r="A39" i="3"/>
  <c r="M25" i="3"/>
  <c r="M28" i="3" s="1"/>
  <c r="M31" i="3" s="1"/>
  <c r="L26" i="3"/>
  <c r="L29" i="3" s="1"/>
  <c r="L32" i="3" s="1"/>
  <c r="H27" i="3"/>
  <c r="H30" i="3" s="1"/>
  <c r="H33" i="3" s="1"/>
  <c r="D8" i="2"/>
  <c r="F5" i="2"/>
  <c r="B5" i="2"/>
  <c r="F2" i="2"/>
  <c r="F10" i="2"/>
  <c r="B10" i="2"/>
  <c r="D7" i="2"/>
  <c r="F8" i="2"/>
  <c r="B8" i="2"/>
  <c r="D5" i="2"/>
  <c r="D2" i="2"/>
  <c r="B2" i="2"/>
  <c r="D10" i="2"/>
  <c r="F7" i="2"/>
  <c r="B7" i="2"/>
  <c r="F4" i="2"/>
  <c r="D4" i="2"/>
  <c r="A41" i="3"/>
  <c r="I27" i="3"/>
  <c r="I30" i="3" s="1"/>
  <c r="I33" i="3" s="1"/>
  <c r="F26" i="3"/>
  <c r="F29" i="3" s="1"/>
  <c r="F32" i="3" s="1"/>
  <c r="I25" i="3"/>
  <c r="I28" i="3" s="1"/>
  <c r="I31" i="3" s="1"/>
  <c r="M18" i="3"/>
  <c r="H16" i="3"/>
  <c r="M17" i="3"/>
  <c r="A52" i="3"/>
  <c r="G27" i="3"/>
  <c r="G30" i="3" s="1"/>
  <c r="G33" i="3" s="1"/>
  <c r="E26" i="3"/>
  <c r="E29" i="3" s="1"/>
  <c r="E32" i="3" s="1"/>
  <c r="G25" i="3"/>
  <c r="G28" i="3" s="1"/>
  <c r="G31" i="3" s="1"/>
  <c r="A44" i="3"/>
  <c r="J18" i="3"/>
  <c r="A46" i="3"/>
  <c r="H17" i="3"/>
  <c r="E16" i="3"/>
  <c r="I17" i="3"/>
  <c r="A53" i="3"/>
  <c r="K16" i="3"/>
  <c r="K18" i="3"/>
  <c r="K27" i="3"/>
  <c r="K30" i="3" s="1"/>
  <c r="K33" i="3" s="1"/>
  <c r="A38" i="3"/>
  <c r="I26" i="3"/>
  <c r="I29" i="3" s="1"/>
  <c r="I32" i="3" s="1"/>
  <c r="K25" i="3"/>
  <c r="K28" i="3" s="1"/>
  <c r="K31" i="3" s="1"/>
  <c r="H26" i="3"/>
  <c r="H29" i="3" s="1"/>
  <c r="H32" i="3" s="1"/>
  <c r="A43" i="3"/>
  <c r="E25" i="3"/>
  <c r="E28" i="3" s="1"/>
  <c r="E31" i="3" s="1"/>
  <c r="J27" i="3"/>
  <c r="J30" i="3" s="1"/>
  <c r="J33" i="3" s="1"/>
  <c r="A49" i="3"/>
  <c r="F16" i="3"/>
  <c r="L18" i="3"/>
  <c r="K17" i="3"/>
  <c r="E17" i="3"/>
  <c r="G16" i="3"/>
  <c r="A47" i="3"/>
  <c r="G18" i="3"/>
  <c r="M27" i="3"/>
  <c r="M26" i="3"/>
  <c r="H25" i="3"/>
  <c r="A37" i="3"/>
  <c r="J23" i="3" l="1"/>
  <c r="J20" i="3"/>
  <c r="F21" i="3"/>
  <c r="F24" i="3"/>
  <c r="I38" i="3"/>
  <c r="H39" i="3"/>
  <c r="J37" i="3"/>
  <c r="L22" i="3"/>
  <c r="L19" i="3"/>
  <c r="J22" i="3"/>
  <c r="J19" i="3"/>
  <c r="E21" i="3"/>
  <c r="E24" i="3"/>
  <c r="F38" i="3"/>
  <c r="G37" i="3"/>
  <c r="E39" i="3"/>
  <c r="G20" i="3"/>
  <c r="G23" i="3"/>
  <c r="H38" i="3"/>
  <c r="I39" i="3"/>
  <c r="I37" i="3"/>
  <c r="F20" i="3"/>
  <c r="F23" i="3"/>
  <c r="I21" i="3"/>
  <c r="I24" i="3"/>
  <c r="I22" i="3"/>
  <c r="I19" i="3"/>
  <c r="M19" i="3"/>
  <c r="L17" i="3"/>
  <c r="C17" i="3" s="1"/>
  <c r="H18" i="3"/>
  <c r="C18" i="3" s="1"/>
  <c r="A54" i="3"/>
  <c r="H48" i="3"/>
  <c r="H51" i="3" s="1"/>
  <c r="H54" i="3" s="1"/>
  <c r="I47" i="3"/>
  <c r="I50" i="3" s="1"/>
  <c r="I53" i="3" s="1"/>
  <c r="J46" i="3"/>
  <c r="J49" i="3" s="1"/>
  <c r="J52" i="3" s="1"/>
  <c r="B4" i="2"/>
  <c r="E1" i="3"/>
  <c r="G46" i="3"/>
  <c r="G49" i="3" s="1"/>
  <c r="G52" i="3" s="1"/>
  <c r="F47" i="3"/>
  <c r="F50" i="3" s="1"/>
  <c r="F53" i="3" s="1"/>
  <c r="E48" i="3"/>
  <c r="E51" i="3" s="1"/>
  <c r="E54" i="3" s="1"/>
  <c r="K48" i="3"/>
  <c r="K51" i="3" s="1"/>
  <c r="K54" i="3" s="1"/>
  <c r="L47" i="3"/>
  <c r="L50" i="3" s="1"/>
  <c r="L53" i="3" s="1"/>
  <c r="M46" i="3"/>
  <c r="M49" i="3" s="1"/>
  <c r="M52" i="3" s="1"/>
  <c r="E20" i="3"/>
  <c r="E23" i="3"/>
  <c r="J39" i="3"/>
  <c r="J38" i="3"/>
  <c r="H37" i="3"/>
  <c r="I20" i="3"/>
  <c r="I23" i="3"/>
  <c r="J21" i="3"/>
  <c r="J24" i="3"/>
  <c r="M21" i="3"/>
  <c r="M24" i="3"/>
  <c r="H47" i="3"/>
  <c r="H50" i="3" s="1"/>
  <c r="H53" i="3" s="1"/>
  <c r="I46" i="3"/>
  <c r="I49" i="3" s="1"/>
  <c r="I52" i="3" s="1"/>
  <c r="I48" i="3"/>
  <c r="I51" i="3" s="1"/>
  <c r="I54" i="3" s="1"/>
  <c r="G21" i="3"/>
  <c r="G24" i="3"/>
  <c r="K23" i="3"/>
  <c r="K20" i="3"/>
  <c r="K21" i="3"/>
  <c r="K24" i="3"/>
  <c r="E19" i="3"/>
  <c r="E22" i="3"/>
  <c r="C16" i="3"/>
  <c r="F46" i="3"/>
  <c r="F49" i="3" s="1"/>
  <c r="F52" i="3" s="1"/>
  <c r="E47" i="3"/>
  <c r="E50" i="3" s="1"/>
  <c r="E53" i="3" s="1"/>
  <c r="F48" i="3"/>
  <c r="F51" i="3" s="1"/>
  <c r="F54" i="3" s="1"/>
  <c r="M38" i="3"/>
  <c r="M39" i="3"/>
  <c r="K37" i="3"/>
  <c r="E38" i="3"/>
  <c r="F37" i="3"/>
  <c r="F39" i="3"/>
  <c r="L21" i="3"/>
  <c r="L24" i="3"/>
  <c r="K19" i="3"/>
  <c r="K22" i="3"/>
  <c r="H20" i="3"/>
  <c r="H23" i="3"/>
  <c r="M20" i="3"/>
  <c r="M23" i="3"/>
  <c r="F19" i="3"/>
  <c r="F22" i="3"/>
  <c r="H22" i="3"/>
  <c r="H19" i="3"/>
  <c r="G48" i="3"/>
  <c r="G51" i="3" s="1"/>
  <c r="G54" i="3" s="1"/>
  <c r="G47" i="3"/>
  <c r="G50" i="3" s="1"/>
  <c r="G53" i="3" s="1"/>
  <c r="E46" i="3"/>
  <c r="E49" i="3" s="1"/>
  <c r="E52" i="3" s="1"/>
  <c r="K47" i="3"/>
  <c r="K50" i="3" s="1"/>
  <c r="K53" i="3" s="1"/>
  <c r="L46" i="3"/>
  <c r="L49" i="3" s="1"/>
  <c r="L52" i="3" s="1"/>
  <c r="L48" i="3"/>
  <c r="L51" i="3" s="1"/>
  <c r="L54" i="3" s="1"/>
  <c r="L39" i="3"/>
  <c r="K38" i="3"/>
  <c r="L37" i="3"/>
  <c r="G39" i="3"/>
  <c r="E37" i="3"/>
  <c r="G38" i="3"/>
  <c r="G19" i="3"/>
  <c r="G22" i="3"/>
  <c r="M29" i="3"/>
  <c r="C26" i="3"/>
  <c r="M30" i="3"/>
  <c r="C27" i="3"/>
  <c r="H28" i="3"/>
  <c r="C25" i="3"/>
  <c r="M48" i="3"/>
  <c r="K46" i="3"/>
  <c r="M47" i="3"/>
  <c r="J40" i="3" l="1"/>
  <c r="J43" i="3"/>
  <c r="H42" i="3"/>
  <c r="H45" i="3"/>
  <c r="I41" i="3"/>
  <c r="I44" i="3"/>
  <c r="F43" i="3"/>
  <c r="F40" i="3"/>
  <c r="F44" i="3"/>
  <c r="F41" i="3"/>
  <c r="E45" i="3"/>
  <c r="E42" i="3"/>
  <c r="H41" i="3"/>
  <c r="H44" i="3"/>
  <c r="I40" i="3"/>
  <c r="I43" i="3"/>
  <c r="I42" i="3"/>
  <c r="I45" i="3"/>
  <c r="L38" i="3"/>
  <c r="C38" i="3" s="1"/>
  <c r="K39" i="3"/>
  <c r="C39" i="3" s="1"/>
  <c r="M37" i="3"/>
  <c r="C37" i="3" s="1"/>
  <c r="H24" i="3"/>
  <c r="C24" i="3" s="1"/>
  <c r="H21" i="3"/>
  <c r="C21" i="3" s="1"/>
  <c r="L23" i="3"/>
  <c r="C23" i="3" s="1"/>
  <c r="L20" i="3"/>
  <c r="C20" i="3" s="1"/>
  <c r="C22" i="3"/>
  <c r="E40" i="3"/>
  <c r="E43" i="3"/>
  <c r="L45" i="3"/>
  <c r="L42" i="3"/>
  <c r="H43" i="3"/>
  <c r="H40" i="3"/>
  <c r="M44" i="3"/>
  <c r="M41" i="3"/>
  <c r="J41" i="3"/>
  <c r="J44" i="3"/>
  <c r="G45" i="3"/>
  <c r="G42" i="3"/>
  <c r="E44" i="3"/>
  <c r="E41" i="3"/>
  <c r="J42" i="3"/>
  <c r="J45" i="3"/>
  <c r="L40" i="3"/>
  <c r="L43" i="3"/>
  <c r="K40" i="3"/>
  <c r="K43" i="3"/>
  <c r="G41" i="3"/>
  <c r="G44" i="3"/>
  <c r="K44" i="3"/>
  <c r="K41" i="3"/>
  <c r="C19" i="3"/>
  <c r="F45" i="3"/>
  <c r="F42" i="3"/>
  <c r="M42" i="3"/>
  <c r="M45" i="3"/>
  <c r="G43" i="3"/>
  <c r="G40" i="3"/>
  <c r="M51" i="3"/>
  <c r="C48" i="3"/>
  <c r="M33" i="3"/>
  <c r="C33" i="3" s="1"/>
  <c r="C30" i="3"/>
  <c r="M50" i="3"/>
  <c r="C47" i="3"/>
  <c r="M32" i="3"/>
  <c r="C32" i="3" s="1"/>
  <c r="C29" i="3"/>
  <c r="K49" i="3"/>
  <c r="C46" i="3"/>
  <c r="H31" i="3"/>
  <c r="C31" i="3" s="1"/>
  <c r="C28" i="3"/>
  <c r="M40" i="3" l="1"/>
  <c r="C40" i="3" s="1"/>
  <c r="M43" i="3"/>
  <c r="C43" i="3" s="1"/>
  <c r="K42" i="3"/>
  <c r="C42" i="3" s="1"/>
  <c r="K45" i="3"/>
  <c r="C45" i="3" s="1"/>
  <c r="L41" i="3"/>
  <c r="C41" i="3" s="1"/>
  <c r="L44" i="3"/>
  <c r="C44" i="3" s="1"/>
  <c r="M53" i="3"/>
  <c r="C53" i="3" s="1"/>
  <c r="C50" i="3"/>
  <c r="M54" i="3"/>
  <c r="C54" i="3" s="1"/>
  <c r="C51" i="3"/>
  <c r="K52" i="3"/>
  <c r="C52" i="3" s="1"/>
  <c r="C49" i="3"/>
  <c r="G7" i="3"/>
  <c r="G2" i="3" l="1"/>
  <c r="G3" i="3"/>
  <c r="G10" i="3"/>
  <c r="G8" i="3"/>
  <c r="G9" i="3"/>
  <c r="G11" i="3"/>
  <c r="G4" i="3"/>
  <c r="G6" i="3"/>
  <c r="G5" i="3"/>
</calcChain>
</file>

<file path=xl/comments1.xml><?xml version="1.0" encoding="utf-8"?>
<comments xmlns="http://schemas.openxmlformats.org/spreadsheetml/2006/main">
  <authors>
    <author>playcrab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playcrab:</t>
        </r>
        <r>
          <rPr>
            <sz val="9"/>
            <color indexed="81"/>
            <rFont val="宋体"/>
            <family val="3"/>
            <charset val="134"/>
          </rPr>
          <t xml:space="preserve">
实时数据</t>
        </r>
      </text>
    </commen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playcrab:</t>
        </r>
        <r>
          <rPr>
            <sz val="9"/>
            <color indexed="81"/>
            <rFont val="宋体"/>
            <family val="3"/>
            <charset val="134"/>
          </rPr>
          <t xml:space="preserve">
原始数据</t>
        </r>
      </text>
    </comment>
    <comment ref="P1" authorId="0" shapeId="0">
      <text>
        <r>
          <rPr>
            <b/>
            <sz val="9"/>
            <color indexed="81"/>
            <rFont val="宋体"/>
            <family val="3"/>
            <charset val="134"/>
          </rPr>
          <t>playcrab:</t>
        </r>
        <r>
          <rPr>
            <sz val="9"/>
            <color indexed="81"/>
            <rFont val="宋体"/>
            <family val="3"/>
            <charset val="134"/>
          </rPr>
          <t xml:space="preserve">
治疗量/每秒
</t>
        </r>
      </text>
    </comment>
    <comment ref="Q1" authorId="0" shapeId="0">
      <text>
        <r>
          <rPr>
            <b/>
            <sz val="9"/>
            <color indexed="81"/>
            <rFont val="宋体"/>
            <family val="3"/>
            <charset val="134"/>
          </rPr>
          <t>playcrab:</t>
        </r>
        <r>
          <rPr>
            <sz val="9"/>
            <color indexed="81"/>
            <rFont val="宋体"/>
            <family val="3"/>
            <charset val="134"/>
          </rPr>
          <t xml:space="preserve">
治疗量相对于与辅助单位生命上限的占比</t>
        </r>
      </text>
    </comment>
    <comment ref="Q15" authorId="0" shapeId="0">
      <text>
        <r>
          <rPr>
            <b/>
            <sz val="9"/>
            <color indexed="81"/>
            <rFont val="宋体"/>
            <family val="3"/>
            <charset val="134"/>
          </rPr>
          <t>playcrab:</t>
        </r>
        <r>
          <rPr>
            <sz val="9"/>
            <color indexed="81"/>
            <rFont val="宋体"/>
            <family val="3"/>
            <charset val="134"/>
          </rPr>
          <t xml:space="preserve">
首次目标选择</t>
        </r>
      </text>
    </comment>
  </commentList>
</comments>
</file>

<file path=xl/sharedStrings.xml><?xml version="1.0" encoding="utf-8"?>
<sst xmlns="http://schemas.openxmlformats.org/spreadsheetml/2006/main" count="234" uniqueCount="173">
  <si>
    <t>稀有度</t>
    <phoneticPr fontId="1" type="noConversion"/>
  </si>
  <si>
    <t>稀有度</t>
    <phoneticPr fontId="1" type="noConversion"/>
  </si>
  <si>
    <t>资质</t>
    <phoneticPr fontId="1" type="noConversion"/>
  </si>
  <si>
    <t>SSS</t>
    <phoneticPr fontId="5" type="noConversion"/>
  </si>
  <si>
    <t>SS</t>
    <phoneticPr fontId="5" type="noConversion"/>
  </si>
  <si>
    <t>S+</t>
    <phoneticPr fontId="5" type="noConversion"/>
  </si>
  <si>
    <t>S</t>
    <phoneticPr fontId="5" type="noConversion"/>
  </si>
  <si>
    <t>A</t>
    <phoneticPr fontId="5" type="noConversion"/>
  </si>
  <si>
    <t>B</t>
    <phoneticPr fontId="5" type="noConversion"/>
  </si>
  <si>
    <t>基础属性</t>
    <phoneticPr fontId="1" type="noConversion"/>
  </si>
  <si>
    <t>战士</t>
    <phoneticPr fontId="1" type="noConversion"/>
  </si>
  <si>
    <t>坦克</t>
    <phoneticPr fontId="1" type="noConversion"/>
  </si>
  <si>
    <t>法师</t>
    <phoneticPr fontId="1" type="noConversion"/>
  </si>
  <si>
    <t>射手</t>
    <phoneticPr fontId="1" type="noConversion"/>
  </si>
  <si>
    <t>辅助</t>
    <phoneticPr fontId="1" type="noConversion"/>
  </si>
  <si>
    <t>等级</t>
    <phoneticPr fontId="1" type="noConversion"/>
  </si>
  <si>
    <t>星级</t>
    <phoneticPr fontId="1" type="noConversion"/>
  </si>
  <si>
    <t>品质</t>
    <phoneticPr fontId="1" type="noConversion"/>
  </si>
  <si>
    <t>职业</t>
    <phoneticPr fontId="1" type="noConversion"/>
  </si>
  <si>
    <t>攻击</t>
    <phoneticPr fontId="1" type="noConversion"/>
  </si>
  <si>
    <t>防御</t>
    <phoneticPr fontId="1" type="noConversion"/>
  </si>
  <si>
    <t>生命</t>
    <phoneticPr fontId="1" type="noConversion"/>
  </si>
  <si>
    <t>资质</t>
    <phoneticPr fontId="1" type="noConversion"/>
  </si>
  <si>
    <t>基础成长</t>
    <phoneticPr fontId="1" type="noConversion"/>
  </si>
  <si>
    <t>属性比例</t>
    <phoneticPr fontId="1" type="noConversion"/>
  </si>
  <si>
    <t>玩家角度体验</t>
    <phoneticPr fontId="1" type="noConversion"/>
  </si>
  <si>
    <t>前排相对能抗，前排倒下后后排会加速死亡，但是不会像刀塔那么明显</t>
    <phoneticPr fontId="1" type="noConversion"/>
  </si>
  <si>
    <t>大招的威力相对比较高，应该是普攻的？倍</t>
    <phoneticPr fontId="1" type="noConversion"/>
  </si>
  <si>
    <t>绝技的威力应该是普攻多少倍？或者说大招的？倍</t>
    <phoneticPr fontId="1" type="noConversion"/>
  </si>
  <si>
    <t>战斗时长是多少？战斗减员节奏大概是什么样子？</t>
    <phoneticPr fontId="1" type="noConversion"/>
  </si>
  <si>
    <t>操作对战斗的影响比例？</t>
    <phoneticPr fontId="1" type="noConversion"/>
  </si>
  <si>
    <t>手动与自动战斗之间的差距？</t>
    <phoneticPr fontId="1" type="noConversion"/>
  </si>
  <si>
    <t>英雄</t>
    <phoneticPr fontId="1" type="noConversion"/>
  </si>
  <si>
    <t>草薙京</t>
    <phoneticPr fontId="1" type="noConversion"/>
  </si>
  <si>
    <t>暴走八神</t>
    <phoneticPr fontId="1" type="noConversion"/>
  </si>
  <si>
    <t>好</t>
    <phoneticPr fontId="1" type="noConversion"/>
  </si>
  <si>
    <t>优秀</t>
    <phoneticPr fontId="1" type="noConversion"/>
  </si>
  <si>
    <t>完美</t>
    <phoneticPr fontId="1" type="noConversion"/>
  </si>
  <si>
    <t>高尼兹</t>
    <phoneticPr fontId="1" type="noConversion"/>
  </si>
  <si>
    <t>战斗时长</t>
    <phoneticPr fontId="1" type="noConversion"/>
  </si>
  <si>
    <t>战士</t>
    <phoneticPr fontId="1" type="noConversion"/>
  </si>
  <si>
    <t>坦克</t>
    <phoneticPr fontId="1" type="noConversion"/>
  </si>
  <si>
    <t>法师</t>
    <phoneticPr fontId="1" type="noConversion"/>
  </si>
  <si>
    <t>射手</t>
    <phoneticPr fontId="1" type="noConversion"/>
  </si>
  <si>
    <t>辅助</t>
    <phoneticPr fontId="1" type="noConversion"/>
  </si>
  <si>
    <t>战力</t>
    <phoneticPr fontId="1" type="noConversion"/>
  </si>
  <si>
    <t>职业被动</t>
    <phoneticPr fontId="1" type="noConversion"/>
  </si>
  <si>
    <t>值</t>
    <phoneticPr fontId="1" type="noConversion"/>
  </si>
  <si>
    <t>回合数</t>
    <phoneticPr fontId="1" type="noConversion"/>
  </si>
  <si>
    <t>属性</t>
    <phoneticPr fontId="1" type="noConversion"/>
  </si>
  <si>
    <t>实际值</t>
    <phoneticPr fontId="1" type="noConversion"/>
  </si>
  <si>
    <t>伤害增加</t>
    <phoneticPr fontId="1" type="noConversion"/>
  </si>
  <si>
    <t>参数</t>
    <phoneticPr fontId="1" type="noConversion"/>
  </si>
  <si>
    <t>6档</t>
    <phoneticPr fontId="1" type="noConversion"/>
  </si>
  <si>
    <t>红+2</t>
  </si>
  <si>
    <t>红+3</t>
  </si>
  <si>
    <t>19档</t>
    <phoneticPr fontId="1" type="noConversion"/>
  </si>
  <si>
    <t>同时在抗伤害，假设依次抗伤害</t>
    <phoneticPr fontId="1" type="noConversion"/>
  </si>
  <si>
    <t>红+4</t>
  </si>
  <si>
    <t>红+5</t>
  </si>
  <si>
    <t>白</t>
    <phoneticPr fontId="0" type="Hiragana"/>
  </si>
  <si>
    <t>绿</t>
    <phoneticPr fontId="0" type="Hiragana"/>
  </si>
  <si>
    <t>绿+1</t>
    <phoneticPr fontId="0" type="Hiragana"/>
  </si>
  <si>
    <t>绿+2</t>
    <phoneticPr fontId="0" type="Hiragana"/>
  </si>
  <si>
    <t>蓝</t>
    <phoneticPr fontId="0" type="Hiragana"/>
  </si>
  <si>
    <t>蓝+1</t>
    <phoneticPr fontId="0" type="Hiragana"/>
  </si>
  <si>
    <t>蓝+2</t>
    <phoneticPr fontId="0" type="Hiragana"/>
  </si>
  <si>
    <t>蓝+3</t>
    <phoneticPr fontId="0" type="Hiragana"/>
  </si>
  <si>
    <t>紫</t>
    <phoneticPr fontId="0" type="Hiragana"/>
  </si>
  <si>
    <t>紫+1</t>
    <phoneticPr fontId="0" type="Hiragana"/>
  </si>
  <si>
    <t>紫+2</t>
    <phoneticPr fontId="0" type="Hiragana"/>
  </si>
  <si>
    <t>紫+3</t>
    <phoneticPr fontId="0" type="Hiragana"/>
  </si>
  <si>
    <t>紫+4</t>
    <phoneticPr fontId="0" type="Hiragana"/>
  </si>
  <si>
    <t>橙+1</t>
    <phoneticPr fontId="0" type="Hiragana"/>
  </si>
  <si>
    <t>橙+2</t>
    <phoneticPr fontId="0" type="Hiragana"/>
  </si>
  <si>
    <t>橙+3</t>
    <phoneticPr fontId="0" type="Hiragana"/>
  </si>
  <si>
    <t>橙+4</t>
    <phoneticPr fontId="0" type="Hiragana"/>
  </si>
  <si>
    <t>橙+5</t>
    <phoneticPr fontId="0" type="Hiragana"/>
  </si>
  <si>
    <t>战斗回合怎么评估</t>
    <phoneticPr fontId="1" type="noConversion"/>
  </si>
  <si>
    <t>红</t>
    <phoneticPr fontId="0" type="Hiragana"/>
  </si>
  <si>
    <t>红+1</t>
    <phoneticPr fontId="0" type="Hiragana"/>
  </si>
  <si>
    <t>红+6</t>
  </si>
  <si>
    <t>橙</t>
    <phoneticPr fontId="0" type="Hiragana"/>
  </si>
  <si>
    <t>粉</t>
    <phoneticPr fontId="1" type="noConversion"/>
  </si>
  <si>
    <t>粉+1</t>
    <phoneticPr fontId="1" type="noConversion"/>
  </si>
  <si>
    <t>粉+2</t>
    <phoneticPr fontId="1" type="noConversion"/>
  </si>
  <si>
    <t>粉+3</t>
    <phoneticPr fontId="1" type="noConversion"/>
  </si>
  <si>
    <t>粉+4</t>
    <phoneticPr fontId="1" type="noConversion"/>
  </si>
  <si>
    <t>粉+5</t>
    <phoneticPr fontId="1" type="noConversion"/>
  </si>
  <si>
    <t>粉+6</t>
    <phoneticPr fontId="1" type="noConversion"/>
  </si>
  <si>
    <t>粉+7</t>
    <phoneticPr fontId="1" type="noConversion"/>
  </si>
  <si>
    <t>星级提升</t>
    <phoneticPr fontId="1" type="noConversion"/>
  </si>
  <si>
    <t>星级</t>
    <phoneticPr fontId="1" type="noConversion"/>
  </si>
  <si>
    <t>提升</t>
    <phoneticPr fontId="1" type="noConversion"/>
  </si>
  <si>
    <t>星级加成</t>
    <phoneticPr fontId="0" type="Hiragana"/>
  </si>
  <si>
    <t>等级提升</t>
    <phoneticPr fontId="1" type="noConversion"/>
  </si>
  <si>
    <t>职业模型</t>
    <phoneticPr fontId="0" type="Hiragana"/>
  </si>
  <si>
    <t>属性</t>
    <phoneticPr fontId="1" type="noConversion"/>
  </si>
  <si>
    <t>占比</t>
    <phoneticPr fontId="1" type="noConversion"/>
  </si>
  <si>
    <t>属性规划</t>
    <phoneticPr fontId="0" type="Hiragana"/>
  </si>
  <si>
    <t>品质加成</t>
    <phoneticPr fontId="0" type="Hiragana"/>
  </si>
  <si>
    <t>回合数</t>
    <phoneticPr fontId="1" type="noConversion"/>
  </si>
  <si>
    <t>人数</t>
    <phoneticPr fontId="1" type="noConversion"/>
  </si>
  <si>
    <t>实际回合数</t>
    <phoneticPr fontId="1" type="noConversion"/>
  </si>
  <si>
    <t>回合推导</t>
    <phoneticPr fontId="0" type="Hiragana"/>
  </si>
  <si>
    <t>伤害减免</t>
    <phoneticPr fontId="1" type="noConversion"/>
  </si>
  <si>
    <t>法师最终伤害</t>
    <phoneticPr fontId="0" type="Hiragana"/>
  </si>
  <si>
    <t>坦克最终伤害</t>
    <phoneticPr fontId="0" type="Hiragana"/>
  </si>
  <si>
    <t>坦克生命</t>
    <phoneticPr fontId="0" type="Hiragana"/>
  </si>
  <si>
    <t>法师生命</t>
    <phoneticPr fontId="0" type="Hiragana"/>
  </si>
  <si>
    <t>伤害增加</t>
    <phoneticPr fontId="0" type="Hiragana"/>
  </si>
  <si>
    <t>伤害减免</t>
    <phoneticPr fontId="0" type="Hiragana"/>
  </si>
  <si>
    <t>战士</t>
    <phoneticPr fontId="0" type="Hiragana"/>
  </si>
  <si>
    <t>坦克</t>
    <phoneticPr fontId="0" type="Hiragana"/>
  </si>
  <si>
    <t>法师</t>
    <phoneticPr fontId="0" type="Hiragana"/>
  </si>
  <si>
    <t>射手</t>
    <phoneticPr fontId="0" type="Hiragana"/>
  </si>
  <si>
    <t>辅助</t>
    <phoneticPr fontId="0" type="Hiragana"/>
  </si>
  <si>
    <t>资质加成</t>
    <phoneticPr fontId="0" type="Hiragana"/>
  </si>
  <si>
    <t>占比</t>
    <phoneticPr fontId="1" type="noConversion"/>
  </si>
  <si>
    <t>百万</t>
    <phoneticPr fontId="1" type="noConversion"/>
  </si>
  <si>
    <t>属性量级</t>
    <phoneticPr fontId="1" type="noConversion"/>
  </si>
  <si>
    <t>1
2
3</t>
    <phoneticPr fontId="1" type="noConversion"/>
  </si>
  <si>
    <t>回合统计</t>
    <phoneticPr fontId="1" type="noConversion"/>
  </si>
  <si>
    <t>职业</t>
    <phoneticPr fontId="1" type="noConversion"/>
  </si>
  <si>
    <t>攻击成长</t>
    <phoneticPr fontId="1" type="noConversion"/>
  </si>
  <si>
    <t>防御成长</t>
    <phoneticPr fontId="1" type="noConversion"/>
  </si>
  <si>
    <t>生命成长</t>
    <phoneticPr fontId="1" type="noConversion"/>
  </si>
  <si>
    <t>成长模型</t>
    <phoneticPr fontId="0" type="Hiragana"/>
  </si>
  <si>
    <t>坦克</t>
  </si>
  <si>
    <t>暴走骑士团</t>
    <phoneticPr fontId="1" type="noConversion"/>
  </si>
  <si>
    <t>血量</t>
    <phoneticPr fontId="1" type="noConversion"/>
  </si>
  <si>
    <t>物理攻击</t>
    <phoneticPr fontId="1" type="noConversion"/>
  </si>
  <si>
    <t>物理防御</t>
    <phoneticPr fontId="1" type="noConversion"/>
  </si>
  <si>
    <t>魔法防御</t>
    <phoneticPr fontId="1" type="noConversion"/>
  </si>
  <si>
    <t>攻防比</t>
    <phoneticPr fontId="1" type="noConversion"/>
  </si>
  <si>
    <t>战斗回合</t>
    <phoneticPr fontId="1" type="noConversion"/>
  </si>
  <si>
    <t>坦克成长</t>
    <phoneticPr fontId="1" type="noConversion"/>
  </si>
  <si>
    <t>物理&amp;魔法攻击</t>
    <phoneticPr fontId="1" type="noConversion"/>
  </si>
  <si>
    <t>坦克</t>
    <phoneticPr fontId="1" type="noConversion"/>
  </si>
  <si>
    <t>战士</t>
    <phoneticPr fontId="1" type="noConversion"/>
  </si>
  <si>
    <t>辅助</t>
    <phoneticPr fontId="1" type="noConversion"/>
  </si>
  <si>
    <t>属性</t>
    <phoneticPr fontId="1" type="noConversion"/>
  </si>
  <si>
    <t>生命上限</t>
    <phoneticPr fontId="1" type="noConversion"/>
  </si>
  <si>
    <t>职业</t>
    <phoneticPr fontId="1" type="noConversion"/>
  </si>
  <si>
    <t>秒伤</t>
    <phoneticPr fontId="1" type="noConversion"/>
  </si>
  <si>
    <t>装备</t>
    <phoneticPr fontId="1" type="noConversion"/>
  </si>
  <si>
    <t>乱轰三国志</t>
    <phoneticPr fontId="1" type="noConversion"/>
  </si>
  <si>
    <t>目标</t>
    <phoneticPr fontId="1" type="noConversion"/>
  </si>
  <si>
    <t>看下拳皇的比例</t>
    <phoneticPr fontId="1" type="noConversion"/>
  </si>
  <si>
    <t>Translate.2battle</t>
    <phoneticPr fontId="1" type="noConversion"/>
  </si>
  <si>
    <t>辅助列</t>
    <phoneticPr fontId="1" type="noConversion"/>
  </si>
  <si>
    <t>运算结果</t>
    <phoneticPr fontId="1" type="noConversion"/>
  </si>
  <si>
    <t>特例</t>
    <phoneticPr fontId="1" type="noConversion"/>
  </si>
  <si>
    <t>平均输出间隔（秒）</t>
    <phoneticPr fontId="1" type="noConversion"/>
  </si>
  <si>
    <t>战斗时间（秒）</t>
    <phoneticPr fontId="1" type="noConversion"/>
  </si>
  <si>
    <t>当前目标</t>
    <phoneticPr fontId="1" type="noConversion"/>
  </si>
  <si>
    <t>判断1</t>
    <phoneticPr fontId="1" type="noConversion"/>
  </si>
  <si>
    <t>判断2</t>
  </si>
  <si>
    <t>判断3</t>
  </si>
  <si>
    <t>判断4</t>
  </si>
  <si>
    <t>判断5</t>
  </si>
  <si>
    <t>判断6</t>
  </si>
  <si>
    <t>判断7</t>
  </si>
  <si>
    <t>判断8</t>
  </si>
  <si>
    <t>判断9</t>
  </si>
  <si>
    <t>位置</t>
    <phoneticPr fontId="1" type="noConversion"/>
  </si>
  <si>
    <t>辅助列</t>
    <phoneticPr fontId="1" type="noConversion"/>
  </si>
  <si>
    <t>辅助列</t>
    <phoneticPr fontId="1" type="noConversion"/>
  </si>
  <si>
    <t>辅助列</t>
    <phoneticPr fontId="1" type="noConversion"/>
  </si>
  <si>
    <t>辅助列</t>
    <phoneticPr fontId="1" type="noConversion"/>
  </si>
  <si>
    <t>有效生命</t>
    <phoneticPr fontId="1" type="noConversion"/>
  </si>
  <si>
    <t>辅助</t>
  </si>
  <si>
    <t>法师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</si>
</sst>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[Red]\(0\)"/>
    <numFmt numFmtId="177" formatCode="0.00_ "/>
    <numFmt numFmtId="178" formatCode="0_ "/>
  </numFmts>
  <fonts count="10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2"/>
      <color theme="1"/>
      <name val="微软雅黑"/>
      <family val="2"/>
      <charset val="134"/>
    </font>
    <font>
      <sz val="9"/>
      <name val="宋体"/>
      <family val="2"/>
      <charset val="134"/>
      <scheme val="minor"/>
    </font>
    <font>
      <sz val="1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2" fillId="0" borderId="0" xfId="0" applyFont="1"/>
    <xf numFmtId="49" fontId="3" fillId="2" borderId="0" xfId="0" applyNumberFormat="1" applyFont="1" applyFill="1" applyAlignment="1">
      <alignment vertical="center"/>
    </xf>
    <xf numFmtId="0" fontId="4" fillId="0" borderId="1" xfId="0" applyFont="1" applyBorder="1"/>
    <xf numFmtId="49" fontId="3" fillId="2" borderId="1" xfId="0" applyNumberFormat="1" applyFont="1" applyFill="1" applyBorder="1" applyAlignment="1">
      <alignment vertical="center"/>
    </xf>
    <xf numFmtId="0" fontId="2" fillId="0" borderId="1" xfId="0" applyFont="1" applyBorder="1"/>
    <xf numFmtId="0" fontId="6" fillId="0" borderId="1" xfId="0" applyFont="1" applyFill="1" applyBorder="1" applyAlignment="1">
      <alignment vertical="center"/>
    </xf>
    <xf numFmtId="0" fontId="6" fillId="4" borderId="1" xfId="0" applyFont="1" applyFill="1" applyBorder="1" applyAlignment="1">
      <alignment vertical="center"/>
    </xf>
    <xf numFmtId="0" fontId="2" fillId="4" borderId="1" xfId="0" applyFont="1" applyFill="1" applyBorder="1"/>
    <xf numFmtId="20" fontId="2" fillId="0" borderId="0" xfId="0" applyNumberFormat="1" applyFont="1"/>
    <xf numFmtId="9" fontId="2" fillId="0" borderId="0" xfId="0" applyNumberFormat="1" applyFont="1"/>
    <xf numFmtId="10" fontId="2" fillId="0" borderId="0" xfId="0" applyNumberFormat="1" applyFont="1"/>
    <xf numFmtId="10" fontId="2" fillId="0" borderId="1" xfId="0" applyNumberFormat="1" applyFont="1" applyBorder="1"/>
    <xf numFmtId="0" fontId="2" fillId="6" borderId="1" xfId="0" applyFont="1" applyFill="1" applyBorder="1"/>
    <xf numFmtId="10" fontId="2" fillId="6" borderId="1" xfId="0" applyNumberFormat="1" applyFont="1" applyFill="1" applyBorder="1"/>
    <xf numFmtId="0" fontId="2" fillId="7" borderId="1" xfId="0" applyFont="1" applyFill="1" applyBorder="1"/>
    <xf numFmtId="0" fontId="3" fillId="2" borderId="1" xfId="0" applyNumberFormat="1" applyFont="1" applyFill="1" applyBorder="1" applyAlignment="1">
      <alignment vertical="center"/>
    </xf>
    <xf numFmtId="9" fontId="2" fillId="4" borderId="1" xfId="0" applyNumberFormat="1" applyFont="1" applyFill="1" applyBorder="1"/>
    <xf numFmtId="9" fontId="2" fillId="0" borderId="1" xfId="0" applyNumberFormat="1" applyFont="1" applyBorder="1"/>
    <xf numFmtId="10" fontId="3" fillId="2" borderId="1" xfId="0" applyNumberFormat="1" applyFont="1" applyFill="1" applyBorder="1" applyAlignment="1">
      <alignment vertical="center"/>
    </xf>
    <xf numFmtId="0" fontId="2" fillId="10" borderId="1" xfId="0" applyFont="1" applyFill="1" applyBorder="1"/>
    <xf numFmtId="0" fontId="2" fillId="8" borderId="1" xfId="0" applyFont="1" applyFill="1" applyBorder="1"/>
    <xf numFmtId="0" fontId="2" fillId="11" borderId="1" xfId="0" applyFont="1" applyFill="1" applyBorder="1"/>
    <xf numFmtId="0" fontId="2" fillId="12" borderId="1" xfId="0" applyFont="1" applyFill="1" applyBorder="1"/>
    <xf numFmtId="0" fontId="2" fillId="13" borderId="1" xfId="0" applyFont="1" applyFill="1" applyBorder="1"/>
    <xf numFmtId="0" fontId="2" fillId="9" borderId="1" xfId="0" applyFont="1" applyFill="1" applyBorder="1"/>
    <xf numFmtId="0" fontId="2" fillId="14" borderId="1" xfId="0" applyFont="1" applyFill="1" applyBorder="1"/>
    <xf numFmtId="0" fontId="2" fillId="5" borderId="1" xfId="0" applyFont="1" applyFill="1" applyBorder="1"/>
    <xf numFmtId="0" fontId="2" fillId="15" borderId="1" xfId="0" applyFont="1" applyFill="1" applyBorder="1"/>
    <xf numFmtId="0" fontId="2" fillId="16" borderId="1" xfId="0" applyFont="1" applyFill="1" applyBorder="1"/>
    <xf numFmtId="0" fontId="2" fillId="17" borderId="1" xfId="0" applyFont="1" applyFill="1" applyBorder="1"/>
    <xf numFmtId="0" fontId="3" fillId="12" borderId="1" xfId="0" applyFont="1" applyFill="1" applyBorder="1"/>
    <xf numFmtId="0" fontId="2" fillId="0" borderId="0" xfId="0" applyFont="1" applyBorder="1"/>
    <xf numFmtId="0" fontId="2" fillId="0" borderId="2" xfId="0" applyFont="1" applyBorder="1"/>
    <xf numFmtId="0" fontId="2" fillId="0" borderId="9" xfId="0" applyFont="1" applyBorder="1"/>
    <xf numFmtId="0" fontId="2" fillId="0" borderId="4" xfId="0" applyFont="1" applyBorder="1"/>
    <xf numFmtId="0" fontId="2" fillId="0" borderId="7" xfId="0" applyFont="1" applyBorder="1"/>
    <xf numFmtId="0" fontId="2" fillId="0" borderId="5" xfId="0" applyFont="1" applyBorder="1"/>
    <xf numFmtId="0" fontId="2" fillId="0" borderId="8" xfId="0" applyFont="1" applyBorder="1"/>
    <xf numFmtId="0" fontId="2" fillId="0" borderId="10" xfId="0" applyFont="1" applyBorder="1"/>
    <xf numFmtId="0" fontId="2" fillId="0" borderId="6" xfId="0" applyFont="1" applyBorder="1"/>
    <xf numFmtId="49" fontId="3" fillId="2" borderId="3" xfId="0" applyNumberFormat="1" applyFont="1" applyFill="1" applyBorder="1" applyAlignment="1">
      <alignment vertical="center"/>
    </xf>
    <xf numFmtId="176" fontId="2" fillId="0" borderId="1" xfId="0" applyNumberFormat="1" applyFont="1" applyBorder="1"/>
    <xf numFmtId="176" fontId="2" fillId="0" borderId="0" xfId="0" applyNumberFormat="1" applyFont="1"/>
    <xf numFmtId="177" fontId="3" fillId="2" borderId="1" xfId="0" applyNumberFormat="1" applyFont="1" applyFill="1" applyBorder="1" applyAlignment="1">
      <alignment vertical="center"/>
    </xf>
    <xf numFmtId="0" fontId="2" fillId="2" borderId="0" xfId="0" applyFont="1" applyFill="1" applyBorder="1"/>
    <xf numFmtId="0" fontId="2" fillId="2" borderId="5" xfId="0" applyFont="1" applyFill="1" applyBorder="1"/>
    <xf numFmtId="0" fontId="2" fillId="7" borderId="0" xfId="0" applyFont="1" applyFill="1" applyBorder="1"/>
    <xf numFmtId="0" fontId="2" fillId="7" borderId="5" xfId="0" applyFont="1" applyFill="1" applyBorder="1"/>
    <xf numFmtId="0" fontId="2" fillId="2" borderId="10" xfId="0" applyFont="1" applyFill="1" applyBorder="1"/>
    <xf numFmtId="0" fontId="2" fillId="2" borderId="6" xfId="0" applyFont="1" applyFill="1" applyBorder="1"/>
    <xf numFmtId="0" fontId="4" fillId="4" borderId="1" xfId="0" applyFont="1" applyFill="1" applyBorder="1"/>
    <xf numFmtId="0" fontId="6" fillId="2" borderId="2" xfId="0" applyFont="1" applyFill="1" applyBorder="1"/>
    <xf numFmtId="0" fontId="6" fillId="2" borderId="9" xfId="0" applyFont="1" applyFill="1" applyBorder="1"/>
    <xf numFmtId="0" fontId="6" fillId="2" borderId="4" xfId="0" applyFont="1" applyFill="1" applyBorder="1"/>
    <xf numFmtId="0" fontId="6" fillId="2" borderId="7" xfId="0" applyFont="1" applyFill="1" applyBorder="1"/>
    <xf numFmtId="0" fontId="6" fillId="2" borderId="7" xfId="0" applyFont="1" applyFill="1" applyBorder="1" applyAlignment="1">
      <alignment wrapText="1"/>
    </xf>
    <xf numFmtId="0" fontId="6" fillId="7" borderId="7" xfId="0" applyFont="1" applyFill="1" applyBorder="1"/>
    <xf numFmtId="0" fontId="6" fillId="2" borderId="8" xfId="0" applyFont="1" applyFill="1" applyBorder="1"/>
    <xf numFmtId="0" fontId="2" fillId="3" borderId="1" xfId="0" applyFont="1" applyFill="1" applyBorder="1" applyAlignment="1">
      <alignment horizontal="center" vertical="center"/>
    </xf>
    <xf numFmtId="0" fontId="6" fillId="18" borderId="1" xfId="0" applyFont="1" applyFill="1" applyBorder="1" applyAlignment="1">
      <alignment vertical="center"/>
    </xf>
    <xf numFmtId="0" fontId="2" fillId="18" borderId="1" xfId="0" applyFont="1" applyFill="1" applyBorder="1"/>
    <xf numFmtId="0" fontId="6" fillId="19" borderId="1" xfId="0" applyFont="1" applyFill="1" applyBorder="1" applyAlignment="1">
      <alignment vertical="center"/>
    </xf>
    <xf numFmtId="0" fontId="2" fillId="19" borderId="1" xfId="0" applyFont="1" applyFill="1" applyBorder="1"/>
    <xf numFmtId="0" fontId="6" fillId="20" borderId="1" xfId="0" applyFont="1" applyFill="1" applyBorder="1" applyAlignment="1">
      <alignment vertical="center"/>
    </xf>
    <xf numFmtId="0" fontId="2" fillId="20" borderId="1" xfId="0" applyFont="1" applyFill="1" applyBorder="1"/>
    <xf numFmtId="0" fontId="6" fillId="2" borderId="0" xfId="0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3" borderId="1" xfId="0" applyFont="1" applyFill="1" applyBorder="1"/>
    <xf numFmtId="0" fontId="2" fillId="0" borderId="1" xfId="0" applyFont="1" applyBorder="1" applyAlignment="1">
      <alignment horizontal="center" vertical="center"/>
    </xf>
    <xf numFmtId="9" fontId="3" fillId="2" borderId="1" xfId="0" applyNumberFormat="1" applyFont="1" applyFill="1" applyBorder="1" applyAlignment="1">
      <alignment vertical="center"/>
    </xf>
    <xf numFmtId="178" fontId="2" fillId="20" borderId="1" xfId="0" applyNumberFormat="1" applyFont="1" applyFill="1" applyBorder="1"/>
    <xf numFmtId="178" fontId="2" fillId="19" borderId="1" xfId="0" applyNumberFormat="1" applyFont="1" applyFill="1" applyBorder="1"/>
    <xf numFmtId="178" fontId="2" fillId="18" borderId="1" xfId="0" applyNumberFormat="1" applyFont="1" applyFill="1" applyBorder="1"/>
    <xf numFmtId="178" fontId="2" fillId="4" borderId="1" xfId="0" applyNumberFormat="1" applyFont="1" applyFill="1" applyBorder="1"/>
    <xf numFmtId="178" fontId="3" fillId="2" borderId="1" xfId="0" applyNumberFormat="1" applyFont="1" applyFill="1" applyBorder="1" applyAlignment="1">
      <alignment vertical="center"/>
    </xf>
    <xf numFmtId="178" fontId="2" fillId="3" borderId="1" xfId="0" applyNumberFormat="1" applyFont="1" applyFill="1" applyBorder="1"/>
  </cellXfs>
  <cellStyles count="1">
    <cellStyle name="常规" xfId="0" builtinId="0"/>
  </cellStyles>
  <dxfs count="18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Medium9"/>
  <colors>
    <mruColors>
      <color rgb="FFCC99FF"/>
      <color rgb="FFCC66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规划!$K$38:$K$43</c:f>
              <c:numCache>
                <c:formatCode>General</c:formatCode>
                <c:ptCount val="6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</c:numCache>
            </c:numRef>
          </c:xVal>
          <c:yVal>
            <c:numRef>
              <c:f>规划!$L$38:$L$43</c:f>
              <c:numCache>
                <c:formatCode>General</c:formatCode>
                <c:ptCount val="6"/>
                <c:pt idx="0">
                  <c:v>10</c:v>
                </c:pt>
                <c:pt idx="1">
                  <c:v>15</c:v>
                </c:pt>
                <c:pt idx="2">
                  <c:v>18</c:v>
                </c:pt>
                <c:pt idx="3">
                  <c:v>20</c:v>
                </c:pt>
                <c:pt idx="4">
                  <c:v>22</c:v>
                </c:pt>
                <c:pt idx="5">
                  <c:v>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61024"/>
        <c:axId val="209061584"/>
      </c:scatterChart>
      <c:valAx>
        <c:axId val="209061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9061584"/>
        <c:crosses val="autoZero"/>
        <c:crossBetween val="midCat"/>
      </c:valAx>
      <c:valAx>
        <c:axId val="20906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9061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405019</xdr:colOff>
      <xdr:row>41</xdr:row>
      <xdr:rowOff>2071</xdr:rowOff>
    </xdr:from>
    <xdr:to>
      <xdr:col>15</xdr:col>
      <xdr:colOff>2367169</xdr:colOff>
      <xdr:row>54</xdr:row>
      <xdr:rowOff>55908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676275</xdr:colOff>
          <xdr:row>5</xdr:row>
          <xdr:rowOff>0</xdr:rowOff>
        </xdr:from>
        <xdr:to>
          <xdr:col>9</xdr:col>
          <xdr:colOff>9525</xdr:colOff>
          <xdr:row>6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攻击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171450</xdr:colOff>
          <xdr:row>5</xdr:row>
          <xdr:rowOff>0</xdr:rowOff>
        </xdr:from>
        <xdr:to>
          <xdr:col>9</xdr:col>
          <xdr:colOff>1323975</xdr:colOff>
          <xdr:row>6</xdr:row>
          <xdr:rowOff>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快速战斗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72"/>
  <sheetViews>
    <sheetView zoomScaleNormal="100" workbookViewId="0">
      <selection activeCell="P14" sqref="P14"/>
    </sheetView>
  </sheetViews>
  <sheetFormatPr defaultRowHeight="16.5" x14ac:dyDescent="0.3"/>
  <cols>
    <col min="1" max="1" width="9.25" style="1" bestFit="1" customWidth="1"/>
    <col min="2" max="2" width="9.625" style="1" bestFit="1" customWidth="1"/>
    <col min="3" max="3" width="9.25" style="1" bestFit="1" customWidth="1"/>
    <col min="4" max="4" width="15.125" style="1" bestFit="1" customWidth="1"/>
    <col min="5" max="5" width="9.25" style="1" bestFit="1" customWidth="1"/>
    <col min="6" max="6" width="7.375" style="1" bestFit="1" customWidth="1"/>
    <col min="7" max="7" width="9.5" style="1" bestFit="1" customWidth="1"/>
    <col min="8" max="8" width="7.25" style="1" bestFit="1" customWidth="1"/>
    <col min="9" max="9" width="5.125" style="1" bestFit="1" customWidth="1"/>
    <col min="10" max="11" width="9.25" style="1" bestFit="1" customWidth="1"/>
    <col min="12" max="12" width="13.25" style="1" bestFit="1" customWidth="1"/>
    <col min="13" max="14" width="9.25" style="1" bestFit="1" customWidth="1"/>
    <col min="15" max="15" width="17.5" style="1" bestFit="1" customWidth="1"/>
    <col min="16" max="16" width="65.25" style="1" bestFit="1" customWidth="1"/>
    <col min="17" max="16384" width="9" style="1"/>
  </cols>
  <sheetData>
    <row r="1" spans="1:16" x14ac:dyDescent="0.3">
      <c r="A1" s="4" t="s">
        <v>39</v>
      </c>
      <c r="C1" s="2" t="s">
        <v>120</v>
      </c>
    </row>
    <row r="2" spans="1:16" ht="17.25" x14ac:dyDescent="0.3">
      <c r="A2" s="5">
        <v>90</v>
      </c>
      <c r="C2" s="3" t="s">
        <v>119</v>
      </c>
      <c r="O2" s="1" t="s">
        <v>25</v>
      </c>
      <c r="P2" s="1" t="s">
        <v>26</v>
      </c>
    </row>
    <row r="3" spans="1:16" x14ac:dyDescent="0.3">
      <c r="P3" s="1" t="s">
        <v>27</v>
      </c>
    </row>
    <row r="4" spans="1:16" x14ac:dyDescent="0.3">
      <c r="A4" s="31" t="s">
        <v>96</v>
      </c>
      <c r="P4" s="1" t="s">
        <v>28</v>
      </c>
    </row>
    <row r="5" spans="1:16" x14ac:dyDescent="0.3">
      <c r="A5" s="16">
        <v>1</v>
      </c>
      <c r="B5" s="4" t="s">
        <v>19</v>
      </c>
      <c r="C5" s="4" t="s">
        <v>20</v>
      </c>
      <c r="D5" s="4" t="s">
        <v>21</v>
      </c>
      <c r="E5" s="4" t="s">
        <v>45</v>
      </c>
      <c r="G5" s="4" t="s">
        <v>46</v>
      </c>
      <c r="H5" s="4" t="s">
        <v>47</v>
      </c>
      <c r="J5" s="4" t="s">
        <v>49</v>
      </c>
      <c r="K5" s="4" t="s">
        <v>50</v>
      </c>
      <c r="P5" s="1" t="s">
        <v>29</v>
      </c>
    </row>
    <row r="6" spans="1:16" x14ac:dyDescent="0.3">
      <c r="A6" s="6" t="s">
        <v>10</v>
      </c>
      <c r="B6" s="5">
        <f>21833*$A$5</f>
        <v>21833</v>
      </c>
      <c r="C6" s="5">
        <f>10000*$A$5</f>
        <v>10000</v>
      </c>
      <c r="D6" s="5">
        <f>ROUND((B6-C6)*C14,0)</f>
        <v>266243</v>
      </c>
      <c r="E6" s="5">
        <f>INT((B6-C6)*D6/10000000)</f>
        <v>315</v>
      </c>
      <c r="G6" s="5"/>
      <c r="H6" s="5"/>
      <c r="J6" s="5"/>
      <c r="K6" s="5"/>
      <c r="L6" s="1" t="s">
        <v>106</v>
      </c>
      <c r="M6" s="1" t="s">
        <v>108</v>
      </c>
      <c r="P6" s="1" t="s">
        <v>30</v>
      </c>
    </row>
    <row r="7" spans="1:16" x14ac:dyDescent="0.3">
      <c r="A7" s="7" t="s">
        <v>11</v>
      </c>
      <c r="B7" s="8">
        <f>20000*$A$5</f>
        <v>20000</v>
      </c>
      <c r="C7" s="8">
        <f>10000*$A$5</f>
        <v>10000</v>
      </c>
      <c r="D7" s="8">
        <f t="shared" ref="D7:D10" si="0">ROUND((B7-C7)*C15,0)</f>
        <v>315000</v>
      </c>
      <c r="E7" s="8">
        <f>(B7-C7)*D7/10000000</f>
        <v>315</v>
      </c>
      <c r="F7" s="1">
        <f>D8/(B7-C7)</f>
        <v>15.75</v>
      </c>
      <c r="G7" s="8" t="s">
        <v>105</v>
      </c>
      <c r="H7" s="17">
        <v>0.17</v>
      </c>
      <c r="J7" s="8" t="s">
        <v>21</v>
      </c>
      <c r="K7" s="8">
        <f>INT(D7*(1-H7))</f>
        <v>261450</v>
      </c>
      <c r="L7" s="1">
        <f>(K8-C8)*(1+H8)*(1-H7)</f>
        <v>14940</v>
      </c>
      <c r="M7" s="1">
        <f>K7</f>
        <v>261450</v>
      </c>
      <c r="N7" s="1">
        <f>M7/L7</f>
        <v>17.5</v>
      </c>
      <c r="P7" s="1" t="s">
        <v>31</v>
      </c>
    </row>
    <row r="8" spans="1:16" x14ac:dyDescent="0.3">
      <c r="A8" s="6" t="s">
        <v>12</v>
      </c>
      <c r="B8" s="5">
        <f>30000*$A$5</f>
        <v>30000</v>
      </c>
      <c r="C8" s="5">
        <f>10000*$A$5</f>
        <v>10000</v>
      </c>
      <c r="D8" s="5">
        <f t="shared" si="0"/>
        <v>157500</v>
      </c>
      <c r="E8" s="5">
        <f>(B8-C8)*D8/10000000</f>
        <v>315</v>
      </c>
      <c r="F8" s="1">
        <f>D7/(B8-C8)</f>
        <v>15.75</v>
      </c>
      <c r="G8" s="5" t="s">
        <v>51</v>
      </c>
      <c r="H8" s="18">
        <v>0.2</v>
      </c>
      <c r="J8" s="5" t="s">
        <v>19</v>
      </c>
      <c r="K8" s="5">
        <f>INT(B8/(1+H8))</f>
        <v>25000</v>
      </c>
      <c r="L8" s="1" t="s">
        <v>107</v>
      </c>
      <c r="M8" s="1" t="s">
        <v>109</v>
      </c>
    </row>
    <row r="9" spans="1:16" x14ac:dyDescent="0.3">
      <c r="A9" s="7" t="s">
        <v>13</v>
      </c>
      <c r="B9" s="8">
        <v>25276</v>
      </c>
      <c r="C9" s="8">
        <f>10000*$A$5</f>
        <v>10000</v>
      </c>
      <c r="D9" s="8">
        <f t="shared" si="0"/>
        <v>206226</v>
      </c>
      <c r="E9" s="8">
        <f>INT((B9-C9)*D9/10000000)</f>
        <v>315</v>
      </c>
      <c r="G9" s="8"/>
      <c r="H9" s="8"/>
      <c r="J9" s="8"/>
      <c r="K9" s="8"/>
      <c r="L9" s="1">
        <f>B7-C7</f>
        <v>10000</v>
      </c>
      <c r="M9" s="1">
        <f>D8</f>
        <v>157500</v>
      </c>
      <c r="N9" s="1">
        <f>M9/L9</f>
        <v>15.75</v>
      </c>
    </row>
    <row r="10" spans="1:16" x14ac:dyDescent="0.3">
      <c r="A10" s="6" t="s">
        <v>14</v>
      </c>
      <c r="B10" s="5">
        <v>24690</v>
      </c>
      <c r="C10" s="5">
        <f>10000*$A$5</f>
        <v>10000</v>
      </c>
      <c r="D10" s="5">
        <f t="shared" si="0"/>
        <v>214841</v>
      </c>
      <c r="E10" s="5">
        <f>INT((B10-C10)*D10/10000000)</f>
        <v>315</v>
      </c>
      <c r="G10" s="5"/>
      <c r="H10" s="5"/>
      <c r="J10" s="5"/>
      <c r="K10" s="5"/>
      <c r="O10" s="1" t="s">
        <v>78</v>
      </c>
      <c r="P10" s="1" t="s">
        <v>57</v>
      </c>
    </row>
    <row r="12" spans="1:16" x14ac:dyDescent="0.3">
      <c r="E12" s="31" t="s">
        <v>100</v>
      </c>
      <c r="J12" s="31" t="s">
        <v>94</v>
      </c>
    </row>
    <row r="13" spans="1:16" x14ac:dyDescent="0.3">
      <c r="A13" s="4" t="s">
        <v>18</v>
      </c>
      <c r="B13" s="19">
        <f>SUM(B14:B18)</f>
        <v>1</v>
      </c>
      <c r="C13" s="4" t="s">
        <v>48</v>
      </c>
      <c r="E13" s="4" t="s">
        <v>17</v>
      </c>
      <c r="F13" s="4" t="s">
        <v>15</v>
      </c>
      <c r="G13" s="44">
        <f>SUM(G14:G47)</f>
        <v>2998</v>
      </c>
      <c r="H13" s="4" t="s">
        <v>118</v>
      </c>
      <c r="J13" s="4" t="s">
        <v>92</v>
      </c>
      <c r="K13" s="4" t="s">
        <v>93</v>
      </c>
      <c r="N13" s="1" t="s">
        <v>110</v>
      </c>
      <c r="O13" s="10">
        <v>0.2</v>
      </c>
      <c r="P13" s="1">
        <f>(1+O13)*(1-O14)</f>
        <v>1</v>
      </c>
    </row>
    <row r="14" spans="1:16" x14ac:dyDescent="0.3">
      <c r="A14" s="5" t="s">
        <v>40</v>
      </c>
      <c r="B14" s="12">
        <v>0.25</v>
      </c>
      <c r="C14" s="5">
        <f>B14*$A$2</f>
        <v>22.5</v>
      </c>
      <c r="E14" s="20" t="s">
        <v>60</v>
      </c>
      <c r="F14" s="8">
        <v>1</v>
      </c>
      <c r="G14" s="42">
        <v>1</v>
      </c>
      <c r="H14" s="12">
        <f>G14/$G$13</f>
        <v>3.33555703802535E-4</v>
      </c>
      <c r="J14" s="5">
        <v>1</v>
      </c>
      <c r="K14" s="5">
        <v>1</v>
      </c>
      <c r="N14" s="1" t="s">
        <v>111</v>
      </c>
      <c r="O14" s="10">
        <f>1-(1/(1+O13))</f>
        <v>0.16666666666666663</v>
      </c>
      <c r="P14" s="1">
        <f>(1+O13)*(1-O13)</f>
        <v>0.96</v>
      </c>
    </row>
    <row r="15" spans="1:16" x14ac:dyDescent="0.3">
      <c r="A15" s="13" t="s">
        <v>41</v>
      </c>
      <c r="B15" s="14">
        <v>0.35</v>
      </c>
      <c r="C15" s="13">
        <f>B15*$A$2</f>
        <v>31.499999999999996</v>
      </c>
      <c r="E15" s="21" t="s">
        <v>61</v>
      </c>
      <c r="F15" s="8">
        <v>1</v>
      </c>
      <c r="G15" s="42">
        <f>G14+1</f>
        <v>2</v>
      </c>
      <c r="H15" s="12">
        <f t="shared" ref="H15:H47" si="1">G15/$G$13</f>
        <v>6.6711140760506999E-4</v>
      </c>
      <c r="J15" s="8">
        <v>2</v>
      </c>
      <c r="K15" s="8">
        <f>K14+0.2</f>
        <v>1.2</v>
      </c>
    </row>
    <row r="16" spans="1:16" x14ac:dyDescent="0.3">
      <c r="A16" s="13" t="s">
        <v>42</v>
      </c>
      <c r="B16" s="14">
        <v>8.7499999999999994E-2</v>
      </c>
      <c r="C16" s="13">
        <f>B16*$A$2</f>
        <v>7.8749999999999991</v>
      </c>
      <c r="E16" s="22" t="s">
        <v>62</v>
      </c>
      <c r="F16" s="8">
        <v>1</v>
      </c>
      <c r="G16" s="42">
        <f t="shared" ref="G16:G17" si="2">G15+1</f>
        <v>3</v>
      </c>
      <c r="H16" s="12">
        <f t="shared" si="1"/>
        <v>1.0006671114076052E-3</v>
      </c>
      <c r="J16" s="5">
        <v>3</v>
      </c>
      <c r="K16" s="5">
        <f t="shared" ref="K16:K19" si="3">K15+0.2</f>
        <v>1.4</v>
      </c>
    </row>
    <row r="17" spans="1:16" x14ac:dyDescent="0.3">
      <c r="A17" s="5" t="s">
        <v>43</v>
      </c>
      <c r="B17" s="12">
        <v>0.15</v>
      </c>
      <c r="C17" s="5">
        <f>B17*$A$2</f>
        <v>13.5</v>
      </c>
      <c r="E17" s="21" t="s">
        <v>63</v>
      </c>
      <c r="F17" s="8">
        <v>8</v>
      </c>
      <c r="G17" s="42">
        <f t="shared" si="2"/>
        <v>4</v>
      </c>
      <c r="H17" s="12">
        <f t="shared" si="1"/>
        <v>1.33422281521014E-3</v>
      </c>
      <c r="J17" s="8">
        <v>4</v>
      </c>
      <c r="K17" s="8">
        <f t="shared" si="3"/>
        <v>1.5999999999999999</v>
      </c>
    </row>
    <row r="18" spans="1:16" x14ac:dyDescent="0.3">
      <c r="A18" s="5" t="s">
        <v>44</v>
      </c>
      <c r="B18" s="12">
        <v>0.16250000000000001</v>
      </c>
      <c r="C18" s="5">
        <f>B18*$A$2</f>
        <v>14.625</v>
      </c>
      <c r="E18" s="23" t="s">
        <v>64</v>
      </c>
      <c r="F18" s="8">
        <v>16</v>
      </c>
      <c r="G18" s="42">
        <f>G17+2</f>
        <v>6</v>
      </c>
      <c r="H18" s="12">
        <f t="shared" si="1"/>
        <v>2.0013342228152103E-3</v>
      </c>
      <c r="J18" s="5">
        <v>5</v>
      </c>
      <c r="K18" s="5">
        <f t="shared" si="3"/>
        <v>1.7999999999999998</v>
      </c>
    </row>
    <row r="19" spans="1:16" x14ac:dyDescent="0.3">
      <c r="B19" s="11"/>
      <c r="E19" s="24" t="s">
        <v>65</v>
      </c>
      <c r="F19" s="8">
        <v>24</v>
      </c>
      <c r="G19" s="42">
        <f t="shared" ref="G19:G21" si="4">G18+2</f>
        <v>8</v>
      </c>
      <c r="H19" s="12">
        <f t="shared" si="1"/>
        <v>2.66844563042028E-3</v>
      </c>
      <c r="J19" s="8">
        <v>6</v>
      </c>
      <c r="K19" s="8">
        <f t="shared" si="3"/>
        <v>1.9999999999999998</v>
      </c>
    </row>
    <row r="20" spans="1:16" x14ac:dyDescent="0.3">
      <c r="E20" s="23" t="s">
        <v>66</v>
      </c>
      <c r="F20" s="8">
        <v>30</v>
      </c>
      <c r="G20" s="42">
        <f t="shared" si="4"/>
        <v>10</v>
      </c>
      <c r="H20" s="12">
        <f t="shared" si="1"/>
        <v>3.3355570380253501E-3</v>
      </c>
    </row>
    <row r="21" spans="1:16" x14ac:dyDescent="0.3">
      <c r="A21" s="4" t="s">
        <v>9</v>
      </c>
      <c r="B21" s="4" t="s">
        <v>52</v>
      </c>
      <c r="E21" s="24" t="s">
        <v>67</v>
      </c>
      <c r="F21" s="8">
        <v>37</v>
      </c>
      <c r="G21" s="42">
        <f t="shared" si="4"/>
        <v>12</v>
      </c>
      <c r="H21" s="12">
        <f t="shared" si="1"/>
        <v>4.0026684456304206E-3</v>
      </c>
      <c r="J21" s="31" t="s">
        <v>99</v>
      </c>
    </row>
    <row r="22" spans="1:16" x14ac:dyDescent="0.3">
      <c r="A22" s="5" t="s">
        <v>15</v>
      </c>
      <c r="B22" s="5">
        <v>160</v>
      </c>
      <c r="E22" s="25" t="s">
        <v>68</v>
      </c>
      <c r="F22" s="8">
        <v>43</v>
      </c>
      <c r="G22" s="42">
        <f>G21+13</f>
        <v>25</v>
      </c>
      <c r="H22" s="12">
        <f t="shared" si="1"/>
        <v>8.3388925950633758E-3</v>
      </c>
      <c r="J22" s="4" t="s">
        <v>97</v>
      </c>
      <c r="K22" s="4" t="s">
        <v>98</v>
      </c>
      <c r="N22" s="1" t="s">
        <v>23</v>
      </c>
      <c r="O22" s="1">
        <v>1</v>
      </c>
      <c r="P22" s="1">
        <v>0.5</v>
      </c>
    </row>
    <row r="23" spans="1:16" x14ac:dyDescent="0.3">
      <c r="A23" s="5" t="s">
        <v>16</v>
      </c>
      <c r="B23" s="5">
        <v>6</v>
      </c>
      <c r="E23" s="26" t="s">
        <v>69</v>
      </c>
      <c r="F23" s="8">
        <v>48</v>
      </c>
      <c r="G23" s="42">
        <f t="shared" ref="G23:G26" si="5">G22+13</f>
        <v>38</v>
      </c>
      <c r="H23" s="12">
        <f t="shared" si="1"/>
        <v>1.2675116744496331E-2</v>
      </c>
      <c r="J23" s="5" t="s">
        <v>15</v>
      </c>
      <c r="K23" s="5">
        <v>1</v>
      </c>
      <c r="N23" s="1" t="s">
        <v>91</v>
      </c>
      <c r="O23" s="1">
        <f>O22*K19</f>
        <v>1.9999999999999998</v>
      </c>
      <c r="P23" s="1">
        <v>1.5</v>
      </c>
    </row>
    <row r="24" spans="1:16" x14ac:dyDescent="0.3">
      <c r="A24" s="5" t="s">
        <v>0</v>
      </c>
      <c r="B24" s="5" t="s">
        <v>53</v>
      </c>
      <c r="E24" s="25" t="s">
        <v>70</v>
      </c>
      <c r="F24" s="8">
        <v>53</v>
      </c>
      <c r="G24" s="42">
        <f t="shared" si="5"/>
        <v>51</v>
      </c>
      <c r="H24" s="12">
        <f t="shared" si="1"/>
        <v>1.7011340893929285E-2</v>
      </c>
      <c r="J24" s="8" t="s">
        <v>16</v>
      </c>
      <c r="K24" s="8">
        <v>1</v>
      </c>
      <c r="N24" s="1" t="s">
        <v>95</v>
      </c>
      <c r="O24" s="1">
        <f>O23*B22</f>
        <v>319.99999999999994</v>
      </c>
    </row>
    <row r="25" spans="1:16" x14ac:dyDescent="0.3">
      <c r="A25" s="5" t="s">
        <v>17</v>
      </c>
      <c r="B25" s="5" t="s">
        <v>56</v>
      </c>
      <c r="E25" s="26" t="s">
        <v>71</v>
      </c>
      <c r="F25" s="8">
        <f t="shared" ref="F25:G39" si="6">F24+5</f>
        <v>58</v>
      </c>
      <c r="G25" s="42">
        <f t="shared" si="5"/>
        <v>64</v>
      </c>
      <c r="H25" s="12">
        <f t="shared" si="1"/>
        <v>2.134756504336224E-2</v>
      </c>
      <c r="J25" s="5" t="s">
        <v>17</v>
      </c>
      <c r="K25" s="5">
        <v>0.5</v>
      </c>
      <c r="P25" s="1">
        <f>1-P22*P23</f>
        <v>0.25</v>
      </c>
    </row>
    <row r="26" spans="1:16" x14ac:dyDescent="0.3">
      <c r="A26" s="5"/>
      <c r="B26" s="5"/>
      <c r="E26" s="25" t="s">
        <v>72</v>
      </c>
      <c r="F26" s="8">
        <f t="shared" si="6"/>
        <v>63</v>
      </c>
      <c r="G26" s="42">
        <f t="shared" si="5"/>
        <v>77</v>
      </c>
      <c r="H26" s="12">
        <f t="shared" si="1"/>
        <v>2.5683789192795198E-2</v>
      </c>
      <c r="J26" s="8" t="s">
        <v>145</v>
      </c>
      <c r="K26" s="8">
        <v>1.5</v>
      </c>
      <c r="L26" s="1" t="s">
        <v>148</v>
      </c>
    </row>
    <row r="27" spans="1:16" x14ac:dyDescent="0.3">
      <c r="A27" s="5"/>
      <c r="B27" s="5"/>
      <c r="E27" s="15" t="s">
        <v>82</v>
      </c>
      <c r="F27" s="8">
        <f t="shared" si="6"/>
        <v>68</v>
      </c>
      <c r="G27" s="42">
        <f>G26+4</f>
        <v>81</v>
      </c>
      <c r="H27" s="12">
        <f t="shared" si="1"/>
        <v>2.7018012008005337E-2</v>
      </c>
    </row>
    <row r="28" spans="1:16" x14ac:dyDescent="0.3">
      <c r="E28" s="28" t="s">
        <v>73</v>
      </c>
      <c r="F28" s="8">
        <f t="shared" si="6"/>
        <v>73</v>
      </c>
      <c r="G28" s="42">
        <f t="shared" ref="G28:G32" si="7">G27+4</f>
        <v>85</v>
      </c>
      <c r="H28" s="12">
        <f t="shared" si="1"/>
        <v>2.8352234823215475E-2</v>
      </c>
      <c r="J28" s="31" t="s">
        <v>127</v>
      </c>
    </row>
    <row r="29" spans="1:16" x14ac:dyDescent="0.3">
      <c r="A29" s="31" t="s">
        <v>117</v>
      </c>
      <c r="E29" s="15" t="s">
        <v>74</v>
      </c>
      <c r="F29" s="8">
        <f t="shared" si="6"/>
        <v>78</v>
      </c>
      <c r="G29" s="42">
        <f t="shared" si="7"/>
        <v>89</v>
      </c>
      <c r="H29" s="12">
        <f t="shared" si="1"/>
        <v>2.9686457638425617E-2</v>
      </c>
      <c r="J29" s="4" t="s">
        <v>123</v>
      </c>
      <c r="K29" s="4" t="s">
        <v>124</v>
      </c>
      <c r="L29" s="4" t="s">
        <v>125</v>
      </c>
      <c r="M29" s="4" t="s">
        <v>126</v>
      </c>
      <c r="P29" s="1" t="s">
        <v>149</v>
      </c>
    </row>
    <row r="30" spans="1:16" x14ac:dyDescent="0.3">
      <c r="A30" s="2" t="s">
        <v>1</v>
      </c>
      <c r="B30" s="2" t="s">
        <v>2</v>
      </c>
      <c r="C30" s="2" t="s">
        <v>24</v>
      </c>
      <c r="E30" s="28" t="s">
        <v>75</v>
      </c>
      <c r="F30" s="8">
        <f t="shared" si="6"/>
        <v>83</v>
      </c>
      <c r="G30" s="42">
        <f t="shared" si="7"/>
        <v>93</v>
      </c>
      <c r="H30" s="12">
        <f t="shared" si="1"/>
        <v>3.1020680453635756E-2</v>
      </c>
      <c r="J30" s="5" t="s">
        <v>112</v>
      </c>
      <c r="K30" s="5"/>
      <c r="L30" s="5"/>
      <c r="M30" s="5"/>
      <c r="P30" s="1">
        <v>2000000</v>
      </c>
    </row>
    <row r="31" spans="1:16" ht="17.25" x14ac:dyDescent="0.3">
      <c r="A31" s="3" t="s">
        <v>3</v>
      </c>
      <c r="B31" s="3">
        <v>20</v>
      </c>
      <c r="C31" s="3">
        <v>1.7</v>
      </c>
      <c r="E31" s="15" t="s">
        <v>76</v>
      </c>
      <c r="F31" s="5">
        <f t="shared" si="6"/>
        <v>88</v>
      </c>
      <c r="G31" s="42">
        <f t="shared" si="7"/>
        <v>97</v>
      </c>
      <c r="H31" s="12">
        <f t="shared" si="1"/>
        <v>3.2354903268845894E-2</v>
      </c>
      <c r="J31" s="8" t="s">
        <v>113</v>
      </c>
      <c r="K31" s="8"/>
      <c r="L31" s="8"/>
      <c r="M31" s="8"/>
      <c r="P31" s="1">
        <v>2999999</v>
      </c>
    </row>
    <row r="32" spans="1:16" ht="17.25" x14ac:dyDescent="0.3">
      <c r="A32" s="3" t="s">
        <v>4</v>
      </c>
      <c r="B32" s="3">
        <v>18</v>
      </c>
      <c r="C32" s="3">
        <v>1.5</v>
      </c>
      <c r="E32" s="28" t="s">
        <v>77</v>
      </c>
      <c r="F32" s="5">
        <f t="shared" si="6"/>
        <v>93</v>
      </c>
      <c r="G32" s="42">
        <f t="shared" si="7"/>
        <v>101</v>
      </c>
      <c r="H32" s="12">
        <f t="shared" si="1"/>
        <v>3.368912608405604E-2</v>
      </c>
      <c r="J32" s="5" t="s">
        <v>114</v>
      </c>
      <c r="K32" s="5"/>
      <c r="L32" s="5"/>
      <c r="M32" s="5"/>
    </row>
    <row r="33" spans="1:13" ht="17.25" x14ac:dyDescent="0.3">
      <c r="A33" s="51" t="s">
        <v>5</v>
      </c>
      <c r="B33" s="51">
        <v>17</v>
      </c>
      <c r="C33" s="51">
        <v>1.3</v>
      </c>
      <c r="D33" s="10"/>
      <c r="E33" s="13" t="s">
        <v>79</v>
      </c>
      <c r="F33" s="5">
        <f t="shared" si="6"/>
        <v>98</v>
      </c>
      <c r="G33" s="42">
        <f>G32+5</f>
        <v>106</v>
      </c>
      <c r="H33" s="12">
        <f t="shared" si="1"/>
        <v>3.5356904603068715E-2</v>
      </c>
      <c r="J33" s="8" t="s">
        <v>115</v>
      </c>
      <c r="K33" s="8"/>
      <c r="L33" s="8"/>
      <c r="M33" s="8"/>
    </row>
    <row r="34" spans="1:13" ht="17.25" x14ac:dyDescent="0.3">
      <c r="A34" s="3" t="s">
        <v>6</v>
      </c>
      <c r="B34" s="3">
        <v>16</v>
      </c>
      <c r="C34" s="3">
        <v>1.2</v>
      </c>
      <c r="E34" s="27" t="s">
        <v>80</v>
      </c>
      <c r="F34" s="5">
        <f t="shared" si="6"/>
        <v>103</v>
      </c>
      <c r="G34" s="42">
        <f t="shared" si="6"/>
        <v>111</v>
      </c>
      <c r="H34" s="12">
        <f t="shared" si="1"/>
        <v>3.7024683122081389E-2</v>
      </c>
      <c r="J34" s="5" t="s">
        <v>116</v>
      </c>
      <c r="K34" s="5"/>
      <c r="L34" s="5"/>
      <c r="M34" s="5"/>
    </row>
    <row r="35" spans="1:13" ht="17.25" x14ac:dyDescent="0.3">
      <c r="A35" s="3" t="s">
        <v>7</v>
      </c>
      <c r="B35" s="3">
        <v>14</v>
      </c>
      <c r="C35" s="3">
        <v>1.1000000000000001</v>
      </c>
      <c r="E35" s="13" t="s">
        <v>54</v>
      </c>
      <c r="F35" s="5">
        <f t="shared" si="6"/>
        <v>108</v>
      </c>
      <c r="G35" s="42">
        <f t="shared" si="6"/>
        <v>116</v>
      </c>
      <c r="H35" s="12">
        <f t="shared" si="1"/>
        <v>3.8692461641094064E-2</v>
      </c>
    </row>
    <row r="36" spans="1:13" ht="17.25" x14ac:dyDescent="0.3">
      <c r="A36" s="3" t="s">
        <v>8</v>
      </c>
      <c r="B36" s="3">
        <v>12</v>
      </c>
      <c r="C36" s="3">
        <v>1</v>
      </c>
      <c r="E36" s="27" t="s">
        <v>55</v>
      </c>
      <c r="F36" s="5">
        <f t="shared" si="6"/>
        <v>113</v>
      </c>
      <c r="G36" s="42">
        <f t="shared" si="6"/>
        <v>121</v>
      </c>
      <c r="H36" s="12">
        <f t="shared" si="1"/>
        <v>4.0360240160106739E-2</v>
      </c>
      <c r="J36" s="31" t="s">
        <v>104</v>
      </c>
    </row>
    <row r="37" spans="1:13" x14ac:dyDescent="0.3">
      <c r="E37" s="13" t="s">
        <v>58</v>
      </c>
      <c r="F37" s="5">
        <f t="shared" si="6"/>
        <v>118</v>
      </c>
      <c r="G37" s="42">
        <f t="shared" si="6"/>
        <v>126</v>
      </c>
      <c r="H37" s="12">
        <f t="shared" si="1"/>
        <v>4.2028018679119414E-2</v>
      </c>
      <c r="J37" s="41" t="s">
        <v>101</v>
      </c>
      <c r="K37" s="41" t="s">
        <v>102</v>
      </c>
      <c r="L37" s="41" t="s">
        <v>103</v>
      </c>
    </row>
    <row r="38" spans="1:13" x14ac:dyDescent="0.3">
      <c r="E38" s="27" t="s">
        <v>59</v>
      </c>
      <c r="F38" s="5">
        <f t="shared" si="6"/>
        <v>123</v>
      </c>
      <c r="G38" s="42">
        <f t="shared" si="6"/>
        <v>131</v>
      </c>
      <c r="H38" s="12">
        <f t="shared" si="1"/>
        <v>4.3695797198132089E-2</v>
      </c>
      <c r="J38" s="33">
        <v>10</v>
      </c>
      <c r="K38" s="34">
        <v>2</v>
      </c>
      <c r="L38" s="35">
        <v>10</v>
      </c>
    </row>
    <row r="39" spans="1:13" x14ac:dyDescent="0.3">
      <c r="E39" s="13" t="s">
        <v>81</v>
      </c>
      <c r="F39" s="5">
        <f t="shared" si="6"/>
        <v>128</v>
      </c>
      <c r="G39" s="42">
        <f t="shared" si="6"/>
        <v>136</v>
      </c>
      <c r="H39" s="12">
        <f t="shared" si="1"/>
        <v>4.5363575717144763E-2</v>
      </c>
      <c r="J39" s="36">
        <v>10</v>
      </c>
      <c r="K39" s="32">
        <f>K38+$K$38</f>
        <v>4</v>
      </c>
      <c r="L39" s="37">
        <v>15</v>
      </c>
    </row>
    <row r="40" spans="1:13" x14ac:dyDescent="0.3">
      <c r="E40" s="29" t="s">
        <v>83</v>
      </c>
      <c r="F40" s="5">
        <f t="shared" ref="F40:F47" si="8">F39+4</f>
        <v>132</v>
      </c>
      <c r="G40" s="42">
        <f>G39+6</f>
        <v>142</v>
      </c>
      <c r="H40" s="12">
        <f t="shared" si="1"/>
        <v>4.7364909939959975E-2</v>
      </c>
      <c r="J40" s="36">
        <v>10</v>
      </c>
      <c r="K40" s="32">
        <f>K39+$K$38</f>
        <v>6</v>
      </c>
      <c r="L40" s="37">
        <v>18</v>
      </c>
    </row>
    <row r="41" spans="1:13" x14ac:dyDescent="0.3">
      <c r="E41" s="30" t="s">
        <v>84</v>
      </c>
      <c r="F41" s="5">
        <f t="shared" si="8"/>
        <v>136</v>
      </c>
      <c r="G41" s="42">
        <f t="shared" ref="G41:G47" si="9">G40+6</f>
        <v>148</v>
      </c>
      <c r="H41" s="12">
        <f t="shared" si="1"/>
        <v>4.9366244162775186E-2</v>
      </c>
      <c r="J41" s="36">
        <v>10</v>
      </c>
      <c r="K41" s="32">
        <f>K40+$K$38</f>
        <v>8</v>
      </c>
      <c r="L41" s="37">
        <v>20</v>
      </c>
    </row>
    <row r="42" spans="1:13" x14ac:dyDescent="0.3">
      <c r="E42" s="29" t="s">
        <v>85</v>
      </c>
      <c r="F42" s="5">
        <f t="shared" si="8"/>
        <v>140</v>
      </c>
      <c r="G42" s="42">
        <f t="shared" si="9"/>
        <v>154</v>
      </c>
      <c r="H42" s="12">
        <f t="shared" si="1"/>
        <v>5.1367578385590397E-2</v>
      </c>
      <c r="J42" s="36">
        <v>10</v>
      </c>
      <c r="K42" s="32">
        <f>K41+$K$38</f>
        <v>10</v>
      </c>
      <c r="L42" s="37">
        <v>22</v>
      </c>
    </row>
    <row r="43" spans="1:13" x14ac:dyDescent="0.3">
      <c r="E43" s="30" t="s">
        <v>86</v>
      </c>
      <c r="F43" s="5">
        <f t="shared" si="8"/>
        <v>144</v>
      </c>
      <c r="G43" s="42">
        <f t="shared" si="9"/>
        <v>160</v>
      </c>
      <c r="H43" s="12">
        <f t="shared" si="1"/>
        <v>5.3368912608405601E-2</v>
      </c>
      <c r="J43" s="38">
        <v>10</v>
      </c>
      <c r="K43" s="39">
        <f>K42+$K$38</f>
        <v>12</v>
      </c>
      <c r="L43" s="40">
        <v>23</v>
      </c>
    </row>
    <row r="44" spans="1:13" x14ac:dyDescent="0.3">
      <c r="E44" s="29" t="s">
        <v>87</v>
      </c>
      <c r="F44" s="5">
        <f t="shared" si="8"/>
        <v>148</v>
      </c>
      <c r="G44" s="42">
        <f t="shared" si="9"/>
        <v>166</v>
      </c>
      <c r="H44" s="12">
        <f t="shared" si="1"/>
        <v>5.5370246831220812E-2</v>
      </c>
    </row>
    <row r="45" spans="1:13" x14ac:dyDescent="0.3">
      <c r="E45" s="30" t="s">
        <v>88</v>
      </c>
      <c r="F45" s="5">
        <f t="shared" si="8"/>
        <v>152</v>
      </c>
      <c r="G45" s="42">
        <f t="shared" si="9"/>
        <v>172</v>
      </c>
      <c r="H45" s="12">
        <f t="shared" si="1"/>
        <v>5.7371581054036024E-2</v>
      </c>
    </row>
    <row r="46" spans="1:13" x14ac:dyDescent="0.3">
      <c r="E46" s="29" t="s">
        <v>89</v>
      </c>
      <c r="F46" s="5">
        <f t="shared" si="8"/>
        <v>156</v>
      </c>
      <c r="G46" s="42">
        <f t="shared" si="9"/>
        <v>178</v>
      </c>
      <c r="H46" s="12">
        <f t="shared" si="1"/>
        <v>5.9372915276851235E-2</v>
      </c>
      <c r="J46" s="33">
        <v>5</v>
      </c>
      <c r="K46" s="34">
        <v>1</v>
      </c>
      <c r="L46" s="35">
        <v>5</v>
      </c>
    </row>
    <row r="47" spans="1:13" x14ac:dyDescent="0.3">
      <c r="E47" s="30" t="s">
        <v>90</v>
      </c>
      <c r="F47" s="5">
        <f t="shared" si="8"/>
        <v>160</v>
      </c>
      <c r="G47" s="42">
        <f t="shared" si="9"/>
        <v>184</v>
      </c>
      <c r="H47" s="12">
        <f t="shared" si="1"/>
        <v>6.1374249499666446E-2</v>
      </c>
      <c r="J47" s="36">
        <v>5</v>
      </c>
      <c r="K47" s="32">
        <v>2</v>
      </c>
      <c r="L47" s="37">
        <v>9</v>
      </c>
    </row>
    <row r="48" spans="1:13" x14ac:dyDescent="0.3">
      <c r="G48" s="43"/>
      <c r="J48" s="38">
        <v>5</v>
      </c>
      <c r="K48" s="39">
        <v>3</v>
      </c>
      <c r="L48" s="40">
        <v>11</v>
      </c>
    </row>
    <row r="49" spans="1:12" x14ac:dyDescent="0.3">
      <c r="D49" s="9"/>
      <c r="J49" s="33">
        <v>4</v>
      </c>
      <c r="K49" s="34">
        <v>1</v>
      </c>
      <c r="L49" s="35">
        <v>4</v>
      </c>
    </row>
    <row r="50" spans="1:12" x14ac:dyDescent="0.3">
      <c r="A50" s="1" t="s">
        <v>32</v>
      </c>
      <c r="B50" s="1" t="s">
        <v>33</v>
      </c>
      <c r="D50" s="1" t="s">
        <v>129</v>
      </c>
      <c r="J50" s="36">
        <v>4</v>
      </c>
      <c r="K50" s="32">
        <v>2</v>
      </c>
      <c r="L50" s="37">
        <v>6</v>
      </c>
    </row>
    <row r="51" spans="1:12" x14ac:dyDescent="0.3">
      <c r="A51" s="1" t="s">
        <v>22</v>
      </c>
      <c r="B51" s="1">
        <v>13</v>
      </c>
      <c r="J51" s="38">
        <v>4</v>
      </c>
      <c r="K51" s="39">
        <v>3</v>
      </c>
      <c r="L51" s="40">
        <v>7</v>
      </c>
    </row>
    <row r="52" spans="1:12" x14ac:dyDescent="0.3">
      <c r="A52" s="1" t="s">
        <v>19</v>
      </c>
      <c r="B52" s="1">
        <v>77373</v>
      </c>
      <c r="D52" s="4" t="s">
        <v>141</v>
      </c>
      <c r="E52" s="4" t="s">
        <v>138</v>
      </c>
      <c r="F52" s="4" t="s">
        <v>139</v>
      </c>
      <c r="G52" s="4" t="s">
        <v>140</v>
      </c>
      <c r="J52" s="33">
        <v>3</v>
      </c>
      <c r="K52" s="34">
        <v>1</v>
      </c>
      <c r="L52" s="35">
        <v>3</v>
      </c>
    </row>
    <row r="53" spans="1:12" x14ac:dyDescent="0.3">
      <c r="A53" s="1" t="s">
        <v>20</v>
      </c>
      <c r="B53" s="1">
        <v>19833</v>
      </c>
      <c r="D53" s="5" t="s">
        <v>130</v>
      </c>
      <c r="E53" s="5">
        <v>3362</v>
      </c>
      <c r="F53" s="5">
        <v>1551</v>
      </c>
      <c r="G53" s="5">
        <v>1676</v>
      </c>
      <c r="J53" s="36">
        <v>3</v>
      </c>
      <c r="K53" s="32">
        <v>2</v>
      </c>
      <c r="L53" s="37">
        <v>4</v>
      </c>
    </row>
    <row r="54" spans="1:12" x14ac:dyDescent="0.3">
      <c r="A54" s="1" t="s">
        <v>21</v>
      </c>
      <c r="B54" s="1">
        <v>308729</v>
      </c>
      <c r="D54" s="8" t="s">
        <v>137</v>
      </c>
      <c r="E54" s="8">
        <v>228</v>
      </c>
      <c r="F54" s="8">
        <v>184</v>
      </c>
      <c r="G54" s="8">
        <v>173</v>
      </c>
      <c r="J54" s="38">
        <v>3</v>
      </c>
      <c r="K54" s="39">
        <v>3</v>
      </c>
      <c r="L54" s="40">
        <v>5</v>
      </c>
    </row>
    <row r="55" spans="1:12" x14ac:dyDescent="0.3">
      <c r="D55" s="5" t="s">
        <v>132</v>
      </c>
      <c r="E55" s="5">
        <v>214</v>
      </c>
      <c r="F55" s="5">
        <v>89</v>
      </c>
      <c r="G55" s="5">
        <v>149</v>
      </c>
      <c r="J55" s="33">
        <v>2</v>
      </c>
      <c r="K55" s="34">
        <v>1</v>
      </c>
      <c r="L55" s="35">
        <v>2</v>
      </c>
    </row>
    <row r="56" spans="1:12" x14ac:dyDescent="0.3">
      <c r="D56" s="8" t="s">
        <v>133</v>
      </c>
      <c r="E56" s="8">
        <v>139</v>
      </c>
      <c r="F56" s="8">
        <v>87</v>
      </c>
      <c r="G56" s="8">
        <v>101</v>
      </c>
      <c r="J56" s="36">
        <v>2</v>
      </c>
      <c r="K56" s="32">
        <v>2</v>
      </c>
      <c r="L56" s="37">
        <v>3</v>
      </c>
    </row>
    <row r="57" spans="1:12" x14ac:dyDescent="0.3">
      <c r="A57" s="1" t="s">
        <v>32</v>
      </c>
      <c r="B57" s="1" t="s">
        <v>34</v>
      </c>
      <c r="J57" s="38">
        <v>2</v>
      </c>
      <c r="K57" s="39">
        <v>3</v>
      </c>
      <c r="L57" s="40">
        <v>3</v>
      </c>
    </row>
    <row r="58" spans="1:12" x14ac:dyDescent="0.3">
      <c r="A58" s="1" t="s">
        <v>22</v>
      </c>
      <c r="B58" s="1">
        <v>14</v>
      </c>
      <c r="D58" s="1" t="s">
        <v>134</v>
      </c>
      <c r="E58" s="1">
        <f>ROUND(E54/E55,0)</f>
        <v>1</v>
      </c>
      <c r="J58" s="33">
        <v>1</v>
      </c>
      <c r="K58" s="34">
        <v>1</v>
      </c>
      <c r="L58" s="35">
        <v>1</v>
      </c>
    </row>
    <row r="59" spans="1:12" x14ac:dyDescent="0.3">
      <c r="A59" s="1" t="s">
        <v>19</v>
      </c>
      <c r="B59" s="1">
        <v>78510</v>
      </c>
      <c r="D59" s="1" t="s">
        <v>135</v>
      </c>
      <c r="E59" s="1">
        <f>ROUND(E53/((E54-E55)*2),0)</f>
        <v>120</v>
      </c>
      <c r="J59" s="36">
        <v>1</v>
      </c>
      <c r="K59" s="32">
        <v>2</v>
      </c>
      <c r="L59" s="37">
        <v>1</v>
      </c>
    </row>
    <row r="60" spans="1:12" x14ac:dyDescent="0.3">
      <c r="A60" s="1" t="s">
        <v>20</v>
      </c>
      <c r="B60" s="1">
        <v>19001</v>
      </c>
      <c r="E60" s="1">
        <f>ROUND(E53/E54,0)</f>
        <v>15</v>
      </c>
      <c r="J60" s="38">
        <v>1</v>
      </c>
      <c r="K60" s="39">
        <v>3</v>
      </c>
      <c r="L60" s="40">
        <v>1</v>
      </c>
    </row>
    <row r="61" spans="1:12" x14ac:dyDescent="0.3">
      <c r="A61" s="1" t="s">
        <v>21</v>
      </c>
      <c r="B61" s="1">
        <v>275110</v>
      </c>
    </row>
    <row r="62" spans="1:12" x14ac:dyDescent="0.3">
      <c r="D62" s="4" t="s">
        <v>49</v>
      </c>
      <c r="E62" s="4" t="s">
        <v>136</v>
      </c>
    </row>
    <row r="63" spans="1:12" x14ac:dyDescent="0.3">
      <c r="D63" s="5" t="s">
        <v>130</v>
      </c>
      <c r="E63" s="5">
        <v>36.9</v>
      </c>
    </row>
    <row r="64" spans="1:12" x14ac:dyDescent="0.3">
      <c r="A64" s="1" t="s">
        <v>32</v>
      </c>
      <c r="B64" s="1" t="s">
        <v>38</v>
      </c>
      <c r="D64" s="5" t="s">
        <v>131</v>
      </c>
      <c r="E64" s="5">
        <v>1.7</v>
      </c>
    </row>
    <row r="65" spans="1:5" x14ac:dyDescent="0.3">
      <c r="A65" s="1" t="s">
        <v>22</v>
      </c>
      <c r="B65" s="1">
        <v>14</v>
      </c>
      <c r="D65" s="5" t="s">
        <v>132</v>
      </c>
      <c r="E65" s="5">
        <v>2.4</v>
      </c>
    </row>
    <row r="66" spans="1:5" x14ac:dyDescent="0.3">
      <c r="A66" s="1" t="s">
        <v>19</v>
      </c>
      <c r="B66" s="1">
        <v>72703</v>
      </c>
      <c r="D66" s="5" t="s">
        <v>133</v>
      </c>
      <c r="E66" s="5">
        <v>1.6</v>
      </c>
    </row>
    <row r="67" spans="1:5" x14ac:dyDescent="0.3">
      <c r="A67" s="1" t="s">
        <v>20</v>
      </c>
      <c r="B67" s="1">
        <v>18109</v>
      </c>
    </row>
    <row r="68" spans="1:5" x14ac:dyDescent="0.3">
      <c r="A68" s="1" t="s">
        <v>21</v>
      </c>
      <c r="B68" s="1">
        <v>284585</v>
      </c>
    </row>
    <row r="69" spans="1:5" x14ac:dyDescent="0.3">
      <c r="D69" s="1" t="s">
        <v>146</v>
      </c>
    </row>
    <row r="70" spans="1:5" x14ac:dyDescent="0.3">
      <c r="A70" s="1" t="s">
        <v>35</v>
      </c>
      <c r="B70" s="1">
        <v>0.1</v>
      </c>
    </row>
    <row r="71" spans="1:5" x14ac:dyDescent="0.3">
      <c r="A71" s="1" t="s">
        <v>36</v>
      </c>
      <c r="B71" s="1">
        <v>0.15</v>
      </c>
    </row>
    <row r="72" spans="1:5" x14ac:dyDescent="0.3">
      <c r="A72" s="1" t="s">
        <v>37</v>
      </c>
      <c r="B72" s="1">
        <v>0.2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21"/>
  <sheetViews>
    <sheetView tabSelected="1" workbookViewId="0">
      <selection activeCell="P16" sqref="P16"/>
    </sheetView>
  </sheetViews>
  <sheetFormatPr defaultRowHeight="16.5" x14ac:dyDescent="0.3"/>
  <cols>
    <col min="1" max="1" width="4" style="1" bestFit="1" customWidth="1"/>
    <col min="2" max="2" width="10.75" style="1" bestFit="1" customWidth="1"/>
    <col min="3" max="3" width="4" style="1" bestFit="1" customWidth="1"/>
    <col min="4" max="4" width="10.75" style="1" bestFit="1" customWidth="1"/>
    <col min="5" max="5" width="4" style="1" bestFit="1" customWidth="1"/>
    <col min="6" max="6" width="10.75" style="1" bestFit="1" customWidth="1"/>
    <col min="7" max="7" width="4" style="1" bestFit="1" customWidth="1"/>
    <col min="8" max="8" width="9" style="1"/>
    <col min="9" max="9" width="9.25" style="1" bestFit="1" customWidth="1"/>
    <col min="10" max="10" width="19.5" style="1" bestFit="1" customWidth="1"/>
    <col min="11" max="11" width="15.375" style="1" bestFit="1" customWidth="1"/>
    <col min="12" max="16384" width="9" style="1"/>
  </cols>
  <sheetData>
    <row r="1" spans="1:11" x14ac:dyDescent="0.3">
      <c r="A1" s="52">
        <v>12</v>
      </c>
      <c r="B1" s="53">
        <v>12345678</v>
      </c>
      <c r="C1" s="53">
        <v>12</v>
      </c>
      <c r="D1" s="53">
        <v>12345678</v>
      </c>
      <c r="E1" s="53">
        <v>12</v>
      </c>
      <c r="F1" s="53">
        <v>12345678</v>
      </c>
      <c r="G1" s="54">
        <v>12</v>
      </c>
    </row>
    <row r="2" spans="1:11" x14ac:dyDescent="0.3">
      <c r="A2" s="55"/>
      <c r="B2" s="59">
        <f>IFERROR(VLOOKUP(B3&amp;1,数据!B2:E6,4,FALSE),"")</f>
        <v>476190.47619047621</v>
      </c>
      <c r="C2" s="45"/>
      <c r="D2" s="59">
        <f>IFERROR(VLOOKUP(D3&amp;2,数据!B2:E6,4,FALSE),"")</f>
        <v>476190.47619047621</v>
      </c>
      <c r="E2" s="45"/>
      <c r="F2" s="59">
        <f>IFERROR(VLOOKUP(F3&amp;3,数据!B2:E6,4,FALSE),"")</f>
        <v>476190.47619047621</v>
      </c>
      <c r="G2" s="46"/>
      <c r="I2" s="4" t="s">
        <v>122</v>
      </c>
      <c r="J2" s="4" t="s">
        <v>153</v>
      </c>
      <c r="K2" s="4" t="s">
        <v>154</v>
      </c>
    </row>
    <row r="3" spans="1:11" ht="49.5" x14ac:dyDescent="0.3">
      <c r="A3" s="56" t="s">
        <v>121</v>
      </c>
      <c r="B3" s="67" t="s">
        <v>171</v>
      </c>
      <c r="C3" s="45"/>
      <c r="D3" s="67" t="s">
        <v>171</v>
      </c>
      <c r="E3" s="45"/>
      <c r="F3" s="67" t="s">
        <v>171</v>
      </c>
      <c r="G3" s="46"/>
      <c r="I3" s="69">
        <v>0</v>
      </c>
      <c r="J3" s="69">
        <v>1.5</v>
      </c>
      <c r="K3" s="69">
        <f>I3*J3</f>
        <v>0</v>
      </c>
    </row>
    <row r="4" spans="1:11" x14ac:dyDescent="0.3">
      <c r="A4" s="55"/>
      <c r="B4" s="45">
        <f>IFERROR(VLOOKUP(B3&amp;1,数据!B2:E6,3,FALSE),"")</f>
        <v>476190.47619047621</v>
      </c>
      <c r="C4" s="45"/>
      <c r="D4" s="45">
        <f>IFERROR(VLOOKUP(D3&amp;2,数据!B2:E6,3,FALSE),"")</f>
        <v>476190.47619047621</v>
      </c>
      <c r="E4" s="45"/>
      <c r="F4" s="66">
        <f>IFERROR(VLOOKUP(F3&amp;3,数据!B2:E6,3,FALSE),"")</f>
        <v>476190.47619047621</v>
      </c>
      <c r="G4" s="46"/>
    </row>
    <row r="5" spans="1:11" x14ac:dyDescent="0.3">
      <c r="A5" s="55"/>
      <c r="B5" s="59" t="str">
        <f>IFERROR(VLOOKUP(B6&amp;4,数据!B2:E6,4,FALSE),"")</f>
        <v/>
      </c>
      <c r="C5" s="45"/>
      <c r="D5" s="59">
        <f>IFERROR(VLOOKUP(D6&amp;5,数据!B2:E6,4,FALSE),"")</f>
        <v>476190.47619047621</v>
      </c>
      <c r="E5" s="45"/>
      <c r="F5" s="59" t="str">
        <f>IFERROR(VLOOKUP(F6&amp;6,数据!B2:E6,4,FALSE),"")</f>
        <v/>
      </c>
      <c r="G5" s="46"/>
    </row>
    <row r="6" spans="1:11" ht="49.5" x14ac:dyDescent="0.3">
      <c r="A6" s="56" t="s">
        <v>121</v>
      </c>
      <c r="B6" s="67"/>
      <c r="C6" s="45"/>
      <c r="D6" s="67" t="s">
        <v>171</v>
      </c>
      <c r="E6" s="45"/>
      <c r="F6" s="67"/>
      <c r="G6" s="46"/>
    </row>
    <row r="7" spans="1:11" x14ac:dyDescent="0.3">
      <c r="A7" s="55"/>
      <c r="B7" s="45" t="str">
        <f>IFERROR(VLOOKUP(B6&amp;4,数据!B2:E6,3,FALSE),"")</f>
        <v/>
      </c>
      <c r="C7" s="45"/>
      <c r="D7" s="45">
        <f>IFERROR(VLOOKUP(D6&amp;5,数据!B2:E6,3,FALSE),"")</f>
        <v>476190.47619047621</v>
      </c>
      <c r="E7" s="45"/>
      <c r="F7" s="45" t="str">
        <f>IFERROR(VLOOKUP(F6&amp;6,数据!B2:E6,3,FALSE),"")</f>
        <v/>
      </c>
      <c r="G7" s="46"/>
    </row>
    <row r="8" spans="1:11" x14ac:dyDescent="0.3">
      <c r="A8" s="55"/>
      <c r="B8" s="59" t="str">
        <f>IFERROR(VLOOKUP(B9&amp;7,数据!B2:E6,4,FALSE),"")</f>
        <v/>
      </c>
      <c r="C8" s="45"/>
      <c r="D8" s="59">
        <f>IFERROR(VLOOKUP(D9&amp;8,数据!B2:E6,4,FALSE),"")</f>
        <v>909090.90909090906</v>
      </c>
      <c r="E8" s="45"/>
      <c r="F8" s="59" t="str">
        <f>IFERROR(VLOOKUP(F9&amp;9,数据!B2:E6,4,FALSE),"")</f>
        <v/>
      </c>
      <c r="G8" s="46"/>
    </row>
    <row r="9" spans="1:11" ht="49.5" x14ac:dyDescent="0.3">
      <c r="A9" s="56" t="s">
        <v>121</v>
      </c>
      <c r="B9" s="67"/>
      <c r="C9" s="45"/>
      <c r="D9" s="67" t="s">
        <v>128</v>
      </c>
      <c r="E9" s="45"/>
      <c r="F9" s="67"/>
      <c r="G9" s="46"/>
    </row>
    <row r="10" spans="1:11" x14ac:dyDescent="0.3">
      <c r="A10" s="55"/>
      <c r="B10" s="45" t="str">
        <f>IFERROR(VLOOKUP(B9&amp;7,数据!B2:E6,3,FALSE),"")</f>
        <v/>
      </c>
      <c r="C10" s="45"/>
      <c r="D10" s="45">
        <f>IFERROR(VLOOKUP(D9&amp;8,数据!B2:E6,3,FALSE),"")</f>
        <v>909090.90909090906</v>
      </c>
      <c r="E10" s="45"/>
      <c r="F10" s="45" t="str">
        <f>IFERROR(VLOOKUP(F9&amp;9,数据!B2:E6,3,FALSE),"")</f>
        <v/>
      </c>
      <c r="G10" s="46"/>
    </row>
    <row r="11" spans="1:11" x14ac:dyDescent="0.3">
      <c r="A11" s="57"/>
      <c r="B11" s="47"/>
      <c r="C11" s="47"/>
      <c r="D11" s="47"/>
      <c r="E11" s="47"/>
      <c r="F11" s="47"/>
      <c r="G11" s="48"/>
    </row>
    <row r="12" spans="1:11" x14ac:dyDescent="0.3">
      <c r="A12" s="55"/>
      <c r="B12" s="45"/>
      <c r="C12" s="45"/>
      <c r="D12" s="45"/>
      <c r="E12" s="45"/>
      <c r="F12" s="45"/>
      <c r="G12" s="46"/>
    </row>
    <row r="13" spans="1:11" x14ac:dyDescent="0.3">
      <c r="A13" s="55"/>
      <c r="B13" s="59">
        <f>IFERROR(VLOOKUP(B14&amp;10,数据!B7:E11,4,FALSE),"")</f>
        <v>909090.90909090906</v>
      </c>
      <c r="C13" s="45"/>
      <c r="D13" s="59">
        <f>IFERROR(VLOOKUP(D14&amp;11,数据!B7:E11,4,FALSE),"")</f>
        <v>909090.90909090906</v>
      </c>
      <c r="E13" s="45"/>
      <c r="F13" s="59">
        <f>IFERROR(VLOOKUP(F14&amp;12,数据!B7:E11,4,FALSE),"")</f>
        <v>909090.90909090906</v>
      </c>
      <c r="G13" s="46"/>
    </row>
    <row r="14" spans="1:11" ht="49.5" x14ac:dyDescent="0.3">
      <c r="A14" s="56" t="s">
        <v>121</v>
      </c>
      <c r="B14" s="67" t="s">
        <v>128</v>
      </c>
      <c r="C14" s="45"/>
      <c r="D14" s="67" t="s">
        <v>128</v>
      </c>
      <c r="E14" s="45"/>
      <c r="F14" s="67" t="s">
        <v>128</v>
      </c>
      <c r="G14" s="46"/>
    </row>
    <row r="15" spans="1:11" x14ac:dyDescent="0.3">
      <c r="A15" s="55"/>
      <c r="B15" s="45">
        <f>IFERROR(VLOOKUP(B14&amp;10,数据!B7:E11,3,FALSE),"")</f>
        <v>909090.90909090906</v>
      </c>
      <c r="C15" s="45"/>
      <c r="D15" s="45">
        <f>IFERROR(VLOOKUP(D14&amp;11,数据!B7:E11,3,FALSE),"")</f>
        <v>909090.90909090906</v>
      </c>
      <c r="E15" s="45"/>
      <c r="F15" s="45">
        <f>IFERROR(VLOOKUP(F14&amp;12,数据!B7:E11,3,FALSE),"")</f>
        <v>909090.90909090906</v>
      </c>
      <c r="G15" s="46"/>
    </row>
    <row r="16" spans="1:11" x14ac:dyDescent="0.3">
      <c r="A16" s="55"/>
      <c r="B16" s="59" t="str">
        <f>IFERROR(VLOOKUP(B17&amp;13,数据!B7:E11,4,FALSE),"")</f>
        <v/>
      </c>
      <c r="C16" s="45"/>
      <c r="D16" s="59">
        <f>IFERROR(VLOOKUP(D17&amp;14,数据!B7:E11,4,FALSE),"")</f>
        <v>540540.54054054059</v>
      </c>
      <c r="E16" s="45"/>
      <c r="F16" s="59" t="str">
        <f>IFERROR(VLOOKUP(F17&amp;15,数据!B7:E11,4,FALSE),"")</f>
        <v/>
      </c>
      <c r="G16" s="46"/>
    </row>
    <row r="17" spans="1:7" ht="49.5" x14ac:dyDescent="0.3">
      <c r="A17" s="56" t="s">
        <v>121</v>
      </c>
      <c r="B17" s="67"/>
      <c r="C17" s="45"/>
      <c r="D17" s="67" t="s">
        <v>172</v>
      </c>
      <c r="E17" s="45"/>
      <c r="F17" s="67"/>
      <c r="G17" s="46"/>
    </row>
    <row r="18" spans="1:7" x14ac:dyDescent="0.3">
      <c r="A18" s="55"/>
      <c r="B18" s="45" t="str">
        <f>IFERROR(VLOOKUP(B17&amp;13,数据!B7:E11,3,FALSE),"")</f>
        <v/>
      </c>
      <c r="C18" s="45"/>
      <c r="D18" s="45">
        <f>IFERROR(VLOOKUP(D17&amp;14,数据!B7:E11,3,FALSE),"")</f>
        <v>540540.54054054059</v>
      </c>
      <c r="E18" s="45"/>
      <c r="F18" s="45" t="str">
        <f>IFERROR(VLOOKUP(F17&amp;15,数据!B7:E11,3,FALSE),"")</f>
        <v/>
      </c>
      <c r="G18" s="46"/>
    </row>
    <row r="19" spans="1:7" x14ac:dyDescent="0.3">
      <c r="A19" s="55"/>
      <c r="B19" s="59" t="str">
        <f>IFERROR(VLOOKUP(B20&amp;16,数据!B7:E11,4,FALSE),"")</f>
        <v/>
      </c>
      <c r="C19" s="45"/>
      <c r="D19" s="59">
        <f>IFERROR(VLOOKUP(D20&amp;17,数据!B7:E11,4,FALSE),"")</f>
        <v>540540.54054054059</v>
      </c>
      <c r="E19" s="45"/>
      <c r="F19" s="59" t="str">
        <f>IFERROR(VLOOKUP(F20&amp;18,数据!B7:E11,4,FALSE),"")</f>
        <v/>
      </c>
      <c r="G19" s="46"/>
    </row>
    <row r="20" spans="1:7" ht="49.5" x14ac:dyDescent="0.3">
      <c r="A20" s="56" t="s">
        <v>121</v>
      </c>
      <c r="B20" s="67"/>
      <c r="C20" s="45"/>
      <c r="D20" s="67" t="s">
        <v>172</v>
      </c>
      <c r="E20" s="45"/>
      <c r="F20" s="67"/>
      <c r="G20" s="46"/>
    </row>
    <row r="21" spans="1:7" x14ac:dyDescent="0.3">
      <c r="A21" s="58"/>
      <c r="B21" s="49" t="str">
        <f>IFERROR(VLOOKUP(B20&amp;16,数据!B7:E11,3,FALSE),"")</f>
        <v/>
      </c>
      <c r="C21" s="49"/>
      <c r="D21" s="49">
        <f>IFERROR(VLOOKUP(D20&amp;17,数据!B7:E11,3,FALSE),"")</f>
        <v>540540.54054054059</v>
      </c>
      <c r="E21" s="49"/>
      <c r="F21" s="49" t="str">
        <f>IFERROR(VLOOKUP(F20&amp;18,数据!B7:E11,3,FALSE),"")</f>
        <v/>
      </c>
      <c r="G21" s="50"/>
    </row>
  </sheetData>
  <phoneticPr fontId="1" type="noConversion"/>
  <conditionalFormatting sqref="B2">
    <cfRule type="dataBar" priority="37">
      <dataBar showValue="0">
        <cfvo type="num" val="0"/>
        <cfvo type="num" val="$B$4"/>
        <color rgb="FFFF0000"/>
      </dataBar>
      <extLst>
        <ext xmlns:x14="http://schemas.microsoft.com/office/spreadsheetml/2009/9/main" uri="{B025F937-C7B1-47D3-B67F-A62EFF666E3E}">
          <x14:id>{7D69AF92-D399-4C3D-81B3-A11FBAA8A6C7}</x14:id>
        </ext>
      </extLst>
    </cfRule>
  </conditionalFormatting>
  <conditionalFormatting sqref="D2">
    <cfRule type="dataBar" priority="36">
      <dataBar showValue="0">
        <cfvo type="num" val="0"/>
        <cfvo type="num" val="$D$4"/>
        <color rgb="FFFF0000"/>
      </dataBar>
      <extLst>
        <ext xmlns:x14="http://schemas.microsoft.com/office/spreadsheetml/2009/9/main" uri="{B025F937-C7B1-47D3-B67F-A62EFF666E3E}">
          <x14:id>{AB1884FC-12D6-4C59-88EB-5A7A8AFB77DF}</x14:id>
        </ext>
      </extLst>
    </cfRule>
  </conditionalFormatting>
  <conditionalFormatting sqref="F2">
    <cfRule type="dataBar" priority="35">
      <dataBar showValue="0">
        <cfvo type="num" val="0"/>
        <cfvo type="num" val="$F$4"/>
        <color rgb="FFFF0000"/>
      </dataBar>
      <extLst>
        <ext xmlns:x14="http://schemas.microsoft.com/office/spreadsheetml/2009/9/main" uri="{B025F937-C7B1-47D3-B67F-A62EFF666E3E}">
          <x14:id>{9D9438E0-80CF-4A9C-B129-D40E37EC8734}</x14:id>
        </ext>
      </extLst>
    </cfRule>
  </conditionalFormatting>
  <conditionalFormatting sqref="B5">
    <cfRule type="dataBar" priority="34">
      <dataBar showValue="0">
        <cfvo type="num" val="0"/>
        <cfvo type="num" val="$B$7"/>
        <color rgb="FFFF0000"/>
      </dataBar>
      <extLst>
        <ext xmlns:x14="http://schemas.microsoft.com/office/spreadsheetml/2009/9/main" uri="{B025F937-C7B1-47D3-B67F-A62EFF666E3E}">
          <x14:id>{AC3837BF-C738-497F-A70B-48342A0B92E9}</x14:id>
        </ext>
      </extLst>
    </cfRule>
  </conditionalFormatting>
  <conditionalFormatting sqref="D5">
    <cfRule type="dataBar" priority="33">
      <dataBar showValue="0">
        <cfvo type="num" val="0"/>
        <cfvo type="num" val="$D$7"/>
        <color rgb="FFFF0000"/>
      </dataBar>
      <extLst>
        <ext xmlns:x14="http://schemas.microsoft.com/office/spreadsheetml/2009/9/main" uri="{B025F937-C7B1-47D3-B67F-A62EFF666E3E}">
          <x14:id>{017BED26-CBBD-497D-B404-55D376868DA7}</x14:id>
        </ext>
      </extLst>
    </cfRule>
  </conditionalFormatting>
  <conditionalFormatting sqref="F5">
    <cfRule type="dataBar" priority="32">
      <dataBar showValue="0">
        <cfvo type="num" val="0"/>
        <cfvo type="num" val="$F$7"/>
        <color rgb="FFFF0000"/>
      </dataBar>
      <extLst>
        <ext xmlns:x14="http://schemas.microsoft.com/office/spreadsheetml/2009/9/main" uri="{B025F937-C7B1-47D3-B67F-A62EFF666E3E}">
          <x14:id>{9FBEC447-9AFC-40F9-9433-68E4B00E1CB9}</x14:id>
        </ext>
      </extLst>
    </cfRule>
  </conditionalFormatting>
  <conditionalFormatting sqref="B8">
    <cfRule type="dataBar" priority="31">
      <dataBar showValue="0">
        <cfvo type="num" val="0"/>
        <cfvo type="num" val="$B$10"/>
        <color rgb="FFFF0000"/>
      </dataBar>
      <extLst>
        <ext xmlns:x14="http://schemas.microsoft.com/office/spreadsheetml/2009/9/main" uri="{B025F937-C7B1-47D3-B67F-A62EFF666E3E}">
          <x14:id>{16675CC8-D72E-4F16-9066-55B202F34746}</x14:id>
        </ext>
      </extLst>
    </cfRule>
  </conditionalFormatting>
  <conditionalFormatting sqref="B3">
    <cfRule type="containsBlanks" dxfId="17" priority="30">
      <formula>LEN(TRIM(B3))=0</formula>
    </cfRule>
  </conditionalFormatting>
  <conditionalFormatting sqref="F3">
    <cfRule type="containsBlanks" dxfId="16" priority="29">
      <formula>LEN(TRIM(F3))=0</formula>
    </cfRule>
  </conditionalFormatting>
  <conditionalFormatting sqref="D3">
    <cfRule type="containsBlanks" dxfId="15" priority="28">
      <formula>LEN(TRIM(D3))=0</formula>
    </cfRule>
  </conditionalFormatting>
  <conditionalFormatting sqref="F6">
    <cfRule type="containsBlanks" dxfId="14" priority="27">
      <formula>LEN(TRIM(F6))=0</formula>
    </cfRule>
  </conditionalFormatting>
  <conditionalFormatting sqref="D6">
    <cfRule type="containsBlanks" dxfId="13" priority="26">
      <formula>LEN(TRIM(D6))=0</formula>
    </cfRule>
  </conditionalFormatting>
  <conditionalFormatting sqref="B6">
    <cfRule type="containsBlanks" dxfId="12" priority="25">
      <formula>LEN(TRIM(B6))=0</formula>
    </cfRule>
  </conditionalFormatting>
  <conditionalFormatting sqref="B9">
    <cfRule type="containsBlanks" dxfId="11" priority="24">
      <formula>LEN(TRIM(B9))=0</formula>
    </cfRule>
  </conditionalFormatting>
  <conditionalFormatting sqref="D9">
    <cfRule type="containsBlanks" dxfId="10" priority="23">
      <formula>LEN(TRIM(D9))=0</formula>
    </cfRule>
  </conditionalFormatting>
  <conditionalFormatting sqref="F9">
    <cfRule type="containsBlanks" dxfId="9" priority="22">
      <formula>LEN(TRIM(F9))=0</formula>
    </cfRule>
  </conditionalFormatting>
  <conditionalFormatting sqref="D8">
    <cfRule type="dataBar" priority="21">
      <dataBar showValue="0">
        <cfvo type="num" val="0"/>
        <cfvo type="num" val="$D$10"/>
        <color rgb="FFFF0000"/>
      </dataBar>
      <extLst>
        <ext xmlns:x14="http://schemas.microsoft.com/office/spreadsheetml/2009/9/main" uri="{B025F937-C7B1-47D3-B67F-A62EFF666E3E}">
          <x14:id>{B5C42207-D683-4870-851E-9C2AC7673351}</x14:id>
        </ext>
      </extLst>
    </cfRule>
  </conditionalFormatting>
  <conditionalFormatting sqref="F8">
    <cfRule type="dataBar" priority="20">
      <dataBar showValue="0">
        <cfvo type="num" val="0"/>
        <cfvo type="num" val="$F$10"/>
        <color rgb="FFFF0000"/>
      </dataBar>
      <extLst>
        <ext xmlns:x14="http://schemas.microsoft.com/office/spreadsheetml/2009/9/main" uri="{B025F937-C7B1-47D3-B67F-A62EFF666E3E}">
          <x14:id>{E292EE88-6175-4062-8D52-831CEEAD83B5}</x14:id>
        </ext>
      </extLst>
    </cfRule>
  </conditionalFormatting>
  <conditionalFormatting sqref="B14">
    <cfRule type="containsBlanks" dxfId="8" priority="19">
      <formula>LEN(TRIM(B14))=0</formula>
    </cfRule>
  </conditionalFormatting>
  <conditionalFormatting sqref="D14">
    <cfRule type="containsBlanks" dxfId="7" priority="18">
      <formula>LEN(TRIM(D14))=0</formula>
    </cfRule>
  </conditionalFormatting>
  <conditionalFormatting sqref="F14">
    <cfRule type="containsBlanks" dxfId="6" priority="17">
      <formula>LEN(TRIM(F14))=0</formula>
    </cfRule>
  </conditionalFormatting>
  <conditionalFormatting sqref="B17">
    <cfRule type="containsBlanks" dxfId="5" priority="16">
      <formula>LEN(TRIM(B17))=0</formula>
    </cfRule>
  </conditionalFormatting>
  <conditionalFormatting sqref="D17">
    <cfRule type="containsBlanks" dxfId="4" priority="15">
      <formula>LEN(TRIM(D17))=0</formula>
    </cfRule>
  </conditionalFormatting>
  <conditionalFormatting sqref="F17">
    <cfRule type="containsBlanks" dxfId="3" priority="14">
      <formula>LEN(TRIM(F17))=0</formula>
    </cfRule>
  </conditionalFormatting>
  <conditionalFormatting sqref="B20">
    <cfRule type="containsBlanks" dxfId="2" priority="13">
      <formula>LEN(TRIM(B20))=0</formula>
    </cfRule>
  </conditionalFormatting>
  <conditionalFormatting sqref="D20">
    <cfRule type="containsBlanks" dxfId="1" priority="12">
      <formula>LEN(TRIM(D20))=0</formula>
    </cfRule>
  </conditionalFormatting>
  <conditionalFormatting sqref="F20">
    <cfRule type="containsBlanks" dxfId="0" priority="11">
      <formula>LEN(TRIM(F20))=0</formula>
    </cfRule>
  </conditionalFormatting>
  <conditionalFormatting sqref="B13">
    <cfRule type="dataBar" priority="10">
      <dataBar showValue="0">
        <cfvo type="num" val="0"/>
        <cfvo type="num" val="$B$15"/>
        <color rgb="FF92D050"/>
      </dataBar>
      <extLst>
        <ext xmlns:x14="http://schemas.microsoft.com/office/spreadsheetml/2009/9/main" uri="{B025F937-C7B1-47D3-B67F-A62EFF666E3E}">
          <x14:id>{4B6C0D18-53E2-4EFA-9F6D-4850AEE432CA}</x14:id>
        </ext>
      </extLst>
    </cfRule>
  </conditionalFormatting>
  <conditionalFormatting sqref="D13">
    <cfRule type="dataBar" priority="9">
      <dataBar showValue="0">
        <cfvo type="num" val="0"/>
        <cfvo type="num" val="$D$15"/>
        <color rgb="FF92D050"/>
      </dataBar>
      <extLst>
        <ext xmlns:x14="http://schemas.microsoft.com/office/spreadsheetml/2009/9/main" uri="{B025F937-C7B1-47D3-B67F-A62EFF666E3E}">
          <x14:id>{8AAE47F1-B0C2-4F7E-9DCE-97A10A20D400}</x14:id>
        </ext>
      </extLst>
    </cfRule>
  </conditionalFormatting>
  <conditionalFormatting sqref="F13">
    <cfRule type="dataBar" priority="8">
      <dataBar showValue="0">
        <cfvo type="num" val="0"/>
        <cfvo type="num" val="$F$15"/>
        <color rgb="FF92D050"/>
      </dataBar>
      <extLst>
        <ext xmlns:x14="http://schemas.microsoft.com/office/spreadsheetml/2009/9/main" uri="{B025F937-C7B1-47D3-B67F-A62EFF666E3E}">
          <x14:id>{D4B83A33-DA6F-4055-9B0C-87DDDD7CCDB1}</x14:id>
        </ext>
      </extLst>
    </cfRule>
  </conditionalFormatting>
  <conditionalFormatting sqref="B16">
    <cfRule type="dataBar" priority="7">
      <dataBar showValue="0">
        <cfvo type="num" val="0"/>
        <cfvo type="num" val="$B$18"/>
        <color rgb="FF92D050"/>
      </dataBar>
      <extLst>
        <ext xmlns:x14="http://schemas.microsoft.com/office/spreadsheetml/2009/9/main" uri="{B025F937-C7B1-47D3-B67F-A62EFF666E3E}">
          <x14:id>{68AD485D-F59F-4327-AC86-2CEE8301D257}</x14:id>
        </ext>
      </extLst>
    </cfRule>
  </conditionalFormatting>
  <conditionalFormatting sqref="D16">
    <cfRule type="dataBar" priority="6">
      <dataBar showValue="0">
        <cfvo type="num" val="0"/>
        <cfvo type="num" val="$D$18"/>
        <color rgb="FF92D050"/>
      </dataBar>
      <extLst>
        <ext xmlns:x14="http://schemas.microsoft.com/office/spreadsheetml/2009/9/main" uri="{B025F937-C7B1-47D3-B67F-A62EFF666E3E}">
          <x14:id>{2FFCE708-6A65-42E9-A301-05DAB8341132}</x14:id>
        </ext>
      </extLst>
    </cfRule>
  </conditionalFormatting>
  <conditionalFormatting sqref="F16">
    <cfRule type="dataBar" priority="5">
      <dataBar showValue="0">
        <cfvo type="num" val="0"/>
        <cfvo type="num" val="$F$18"/>
        <color rgb="FF92D050"/>
      </dataBar>
      <extLst>
        <ext xmlns:x14="http://schemas.microsoft.com/office/spreadsheetml/2009/9/main" uri="{B025F937-C7B1-47D3-B67F-A62EFF666E3E}">
          <x14:id>{F2EA3A36-1D9B-4422-AD19-1FA1FC09C07B}</x14:id>
        </ext>
      </extLst>
    </cfRule>
  </conditionalFormatting>
  <conditionalFormatting sqref="B19">
    <cfRule type="dataBar" priority="4">
      <dataBar showValue="0">
        <cfvo type="num" val="0"/>
        <cfvo type="num" val="$B$21"/>
        <color rgb="FF92D050"/>
      </dataBar>
      <extLst>
        <ext xmlns:x14="http://schemas.microsoft.com/office/spreadsheetml/2009/9/main" uri="{B025F937-C7B1-47D3-B67F-A62EFF666E3E}">
          <x14:id>{8A7BE3E3-2A8F-4971-8488-C1CB15D77FFE}</x14:id>
        </ext>
      </extLst>
    </cfRule>
  </conditionalFormatting>
  <conditionalFormatting sqref="D19">
    <cfRule type="dataBar" priority="3">
      <dataBar showValue="0">
        <cfvo type="num" val="0"/>
        <cfvo type="num" val="$D$21"/>
        <color rgb="FF92D050"/>
      </dataBar>
      <extLst>
        <ext xmlns:x14="http://schemas.microsoft.com/office/spreadsheetml/2009/9/main" uri="{B025F937-C7B1-47D3-B67F-A62EFF666E3E}">
          <x14:id>{AEEFD1DA-FA40-4D98-BD7E-18778ACA89B2}</x14:id>
        </ext>
      </extLst>
    </cfRule>
  </conditionalFormatting>
  <conditionalFormatting sqref="F19">
    <cfRule type="dataBar" priority="2">
      <dataBar showValue="0">
        <cfvo type="num" val="0"/>
        <cfvo type="num" val="$F$21"/>
        <color rgb="FF92D050"/>
      </dataBar>
      <extLst>
        <ext xmlns:x14="http://schemas.microsoft.com/office/spreadsheetml/2009/9/main" uri="{B025F937-C7B1-47D3-B67F-A62EFF666E3E}">
          <x14:id>{41CD0459-DFF5-45E2-A8C2-7C910AD6816A}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运算">
                <anchor moveWithCells="1" sizeWithCells="1">
                  <from>
                    <xdr:col>7</xdr:col>
                    <xdr:colOff>676275</xdr:colOff>
                    <xdr:row>5</xdr:row>
                    <xdr:rowOff>0</xdr:rowOff>
                  </from>
                  <to>
                    <xdr:col>9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重置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6" name="Button 19">
              <controlPr defaultSize="0" print="0" autoFill="0" autoPict="0" macro="[0]!快速战斗">
                <anchor moveWithCells="1" sizeWithCells="1">
                  <from>
                    <xdr:col>9</xdr:col>
                    <xdr:colOff>171450</xdr:colOff>
                    <xdr:row>5</xdr:row>
                    <xdr:rowOff>0</xdr:rowOff>
                  </from>
                  <to>
                    <xdr:col>9</xdr:col>
                    <xdr:colOff>1323975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D69AF92-D399-4C3D-81B3-A11FBAA8A6C7}">
            <x14:dataBar minLength="0" maxLength="100" gradient="0">
              <x14:cfvo type="num">
                <xm:f>0</xm:f>
              </x14:cfvo>
              <x14:cfvo type="num">
                <xm:f>$B$4</xm:f>
              </x14:cfvo>
              <x14:negativeFillColor rgb="FFFF0000"/>
              <x14:axisColor rgb="FF000000"/>
            </x14:dataBar>
          </x14:cfRule>
          <xm:sqref>B2</xm:sqref>
        </x14:conditionalFormatting>
        <x14:conditionalFormatting xmlns:xm="http://schemas.microsoft.com/office/excel/2006/main">
          <x14:cfRule type="dataBar" id="{AB1884FC-12D6-4C59-88EB-5A7A8AFB77DF}">
            <x14:dataBar minLength="0" maxLength="100" gradient="0">
              <x14:cfvo type="num">
                <xm:f>0</xm:f>
              </x14:cfvo>
              <x14:cfvo type="num">
                <xm:f>$D$4</xm:f>
              </x14:cfvo>
              <x14:negativeFillColor rgb="FFFF0000"/>
              <x14:axisColor rgb="FF000000"/>
            </x14:dataBar>
          </x14:cfRule>
          <xm:sqref>D2</xm:sqref>
        </x14:conditionalFormatting>
        <x14:conditionalFormatting xmlns:xm="http://schemas.microsoft.com/office/excel/2006/main">
          <x14:cfRule type="dataBar" id="{9D9438E0-80CF-4A9C-B129-D40E37EC8734}">
            <x14:dataBar minLength="0" maxLength="100" gradient="0">
              <x14:cfvo type="num">
                <xm:f>0</xm:f>
              </x14:cfvo>
              <x14:cfvo type="num">
                <xm:f>$F$4</xm:f>
              </x14:cfvo>
              <x14:negativeFillColor rgb="FFFF0000"/>
              <x14:axisColor rgb="FF000000"/>
            </x14:dataBar>
          </x14:cfRule>
          <xm:sqref>F2</xm:sqref>
        </x14:conditionalFormatting>
        <x14:conditionalFormatting xmlns:xm="http://schemas.microsoft.com/office/excel/2006/main">
          <x14:cfRule type="dataBar" id="{AC3837BF-C738-497F-A70B-48342A0B92E9}">
            <x14:dataBar minLength="0" maxLength="100" gradient="0">
              <x14:cfvo type="num">
                <xm:f>0</xm:f>
              </x14:cfvo>
              <x14:cfvo type="num">
                <xm:f>$B$7</xm:f>
              </x14:cfvo>
              <x14:negativeFillColor rgb="FFFF0000"/>
              <x14:axisColor rgb="FF000000"/>
            </x14:dataBar>
          </x14:cfRule>
          <xm:sqref>B5</xm:sqref>
        </x14:conditionalFormatting>
        <x14:conditionalFormatting xmlns:xm="http://schemas.microsoft.com/office/excel/2006/main">
          <x14:cfRule type="dataBar" id="{017BED26-CBBD-497D-B404-55D376868DA7}">
            <x14:dataBar minLength="0" maxLength="100" gradient="0">
              <x14:cfvo type="num">
                <xm:f>0</xm:f>
              </x14:cfvo>
              <x14:cfvo type="num">
                <xm:f>$D$7</xm:f>
              </x14:cfvo>
              <x14:negativeFillColor rgb="FFFF0000"/>
              <x14:axisColor rgb="FF000000"/>
            </x14:dataBar>
          </x14:cfRule>
          <xm:sqref>D5</xm:sqref>
        </x14:conditionalFormatting>
        <x14:conditionalFormatting xmlns:xm="http://schemas.microsoft.com/office/excel/2006/main">
          <x14:cfRule type="dataBar" id="{9FBEC447-9AFC-40F9-9433-68E4B00E1CB9}">
            <x14:dataBar minLength="0" maxLength="100" gradient="0">
              <x14:cfvo type="num">
                <xm:f>0</xm:f>
              </x14:cfvo>
              <x14:cfvo type="num">
                <xm:f>$F$7</xm:f>
              </x14:cfvo>
              <x14:negativeFillColor rgb="FFFF0000"/>
              <x14:axisColor rgb="FF000000"/>
            </x14:dataBar>
          </x14:cfRule>
          <xm:sqref>F5</xm:sqref>
        </x14:conditionalFormatting>
        <x14:conditionalFormatting xmlns:xm="http://schemas.microsoft.com/office/excel/2006/main">
          <x14:cfRule type="dataBar" id="{16675CC8-D72E-4F16-9066-55B202F34746}">
            <x14:dataBar minLength="0" maxLength="100" gradient="0">
              <x14:cfvo type="num">
                <xm:f>0</xm:f>
              </x14:cfvo>
              <x14:cfvo type="num">
                <xm:f>$B$10</xm:f>
              </x14:cfvo>
              <x14:negativeFillColor rgb="FFFF0000"/>
              <x14:axisColor rgb="FF000000"/>
            </x14:dataBar>
          </x14:cfRule>
          <xm:sqref>B8</xm:sqref>
        </x14:conditionalFormatting>
        <x14:conditionalFormatting xmlns:xm="http://schemas.microsoft.com/office/excel/2006/main">
          <x14:cfRule type="dataBar" id="{B5C42207-D683-4870-851E-9C2AC7673351}">
            <x14:dataBar minLength="0" maxLength="100" gradient="0">
              <x14:cfvo type="num">
                <xm:f>0</xm:f>
              </x14:cfvo>
              <x14:cfvo type="num">
                <xm:f>$D$10</xm:f>
              </x14:cfvo>
              <x14:negativeFillColor rgb="FFFF0000"/>
              <x14:axisColor rgb="FF000000"/>
            </x14:dataBar>
          </x14:cfRule>
          <xm:sqref>D8</xm:sqref>
        </x14:conditionalFormatting>
        <x14:conditionalFormatting xmlns:xm="http://schemas.microsoft.com/office/excel/2006/main">
          <x14:cfRule type="dataBar" id="{E292EE88-6175-4062-8D52-831CEEAD83B5}">
            <x14:dataBar minLength="0" maxLength="100" gradient="0">
              <x14:cfvo type="num">
                <xm:f>0</xm:f>
              </x14:cfvo>
              <x14:cfvo type="num">
                <xm:f>$F$10</xm:f>
              </x14:cfvo>
              <x14:negativeFillColor rgb="FFFF0000"/>
              <x14:axisColor rgb="FF000000"/>
            </x14:dataBar>
          </x14:cfRule>
          <xm:sqref>F8</xm:sqref>
        </x14:conditionalFormatting>
        <x14:conditionalFormatting xmlns:xm="http://schemas.microsoft.com/office/excel/2006/main">
          <x14:cfRule type="dataBar" id="{4B6C0D18-53E2-4EFA-9F6D-4850AEE432CA}">
            <x14:dataBar minLength="0" maxLength="100" gradient="0">
              <x14:cfvo type="num">
                <xm:f>0</xm:f>
              </x14:cfvo>
              <x14:cfvo type="num">
                <xm:f>$B$15</xm:f>
              </x14:cfvo>
              <x14:negativeFillColor rgb="FFFF0000"/>
              <x14:axisColor rgb="FF000000"/>
            </x14:dataBar>
          </x14:cfRule>
          <xm:sqref>B13</xm:sqref>
        </x14:conditionalFormatting>
        <x14:conditionalFormatting xmlns:xm="http://schemas.microsoft.com/office/excel/2006/main">
          <x14:cfRule type="dataBar" id="{8AAE47F1-B0C2-4F7E-9DCE-97A10A20D400}">
            <x14:dataBar minLength="0" maxLength="100" gradient="0">
              <x14:cfvo type="num">
                <xm:f>0</xm:f>
              </x14:cfvo>
              <x14:cfvo type="num">
                <xm:f>$D$15</xm:f>
              </x14:cfvo>
              <x14:negativeFillColor rgb="FFFF0000"/>
              <x14:axisColor rgb="FF000000"/>
            </x14:dataBar>
          </x14:cfRule>
          <xm:sqref>D13</xm:sqref>
        </x14:conditionalFormatting>
        <x14:conditionalFormatting xmlns:xm="http://schemas.microsoft.com/office/excel/2006/main">
          <x14:cfRule type="dataBar" id="{D4B83A33-DA6F-4055-9B0C-87DDDD7CCDB1}">
            <x14:dataBar minLength="0" maxLength="100" gradient="0">
              <x14:cfvo type="num">
                <xm:f>0</xm:f>
              </x14:cfvo>
              <x14:cfvo type="num">
                <xm:f>$F$15</xm:f>
              </x14:cfvo>
              <x14:negativeFillColor rgb="FFFF0000"/>
              <x14:axisColor rgb="FF000000"/>
            </x14:dataBar>
          </x14:cfRule>
          <xm:sqref>F13</xm:sqref>
        </x14:conditionalFormatting>
        <x14:conditionalFormatting xmlns:xm="http://schemas.microsoft.com/office/excel/2006/main">
          <x14:cfRule type="dataBar" id="{68AD485D-F59F-4327-AC86-2CEE8301D257}">
            <x14:dataBar minLength="0" maxLength="100" gradient="0">
              <x14:cfvo type="num">
                <xm:f>0</xm:f>
              </x14:cfvo>
              <x14:cfvo type="num">
                <xm:f>$B$18</xm:f>
              </x14:cfvo>
              <x14:negativeFillColor rgb="FFFF0000"/>
              <x14:axisColor rgb="FF000000"/>
            </x14:dataBar>
          </x14:cfRule>
          <xm:sqref>B16</xm:sqref>
        </x14:conditionalFormatting>
        <x14:conditionalFormatting xmlns:xm="http://schemas.microsoft.com/office/excel/2006/main">
          <x14:cfRule type="dataBar" id="{2FFCE708-6A65-42E9-A301-05DAB8341132}">
            <x14:dataBar minLength="0" maxLength="100" gradient="0">
              <x14:cfvo type="num">
                <xm:f>0</xm:f>
              </x14:cfvo>
              <x14:cfvo type="num">
                <xm:f>$D$18</xm:f>
              </x14:cfvo>
              <x14:negativeFillColor rgb="FFFF0000"/>
              <x14:axisColor rgb="FF000000"/>
            </x14:dataBar>
          </x14:cfRule>
          <xm:sqref>D16</xm:sqref>
        </x14:conditionalFormatting>
        <x14:conditionalFormatting xmlns:xm="http://schemas.microsoft.com/office/excel/2006/main">
          <x14:cfRule type="dataBar" id="{F2EA3A36-1D9B-4422-AD19-1FA1FC09C07B}">
            <x14:dataBar minLength="0" maxLength="100" gradient="0">
              <x14:cfvo type="num">
                <xm:f>0</xm:f>
              </x14:cfvo>
              <x14:cfvo type="num">
                <xm:f>$F$18</xm:f>
              </x14:cfvo>
              <x14:negativeFillColor rgb="FFFF0000"/>
              <x14:axisColor rgb="FF000000"/>
            </x14:dataBar>
          </x14:cfRule>
          <xm:sqref>F16</xm:sqref>
        </x14:conditionalFormatting>
        <x14:conditionalFormatting xmlns:xm="http://schemas.microsoft.com/office/excel/2006/main">
          <x14:cfRule type="dataBar" id="{8A7BE3E3-2A8F-4971-8488-C1CB15D77FFE}">
            <x14:dataBar minLength="0" maxLength="100" gradient="0">
              <x14:cfvo type="num">
                <xm:f>0</xm:f>
              </x14:cfvo>
              <x14:cfvo type="num">
                <xm:f>$B$21</xm:f>
              </x14:cfvo>
              <x14:negativeFillColor rgb="FFFF0000"/>
              <x14:axisColor rgb="FF000000"/>
            </x14:dataBar>
          </x14:cfRule>
          <xm:sqref>B19</xm:sqref>
        </x14:conditionalFormatting>
        <x14:conditionalFormatting xmlns:xm="http://schemas.microsoft.com/office/excel/2006/main">
          <x14:cfRule type="dataBar" id="{AEEFD1DA-FA40-4D98-BD7E-18778ACA89B2}">
            <x14:dataBar minLength="0" maxLength="100" gradient="0">
              <x14:cfvo type="num">
                <xm:f>0</xm:f>
              </x14:cfvo>
              <x14:cfvo type="num">
                <xm:f>$D$21</xm:f>
              </x14:cfvo>
              <x14:negativeFillColor rgb="FFFF0000"/>
              <x14:axisColor rgb="FF000000"/>
            </x14:dataBar>
          </x14:cfRule>
          <xm:sqref>D19</xm:sqref>
        </x14:conditionalFormatting>
        <x14:conditionalFormatting xmlns:xm="http://schemas.microsoft.com/office/excel/2006/main">
          <x14:cfRule type="dataBar" id="{41CD0459-DFF5-45E2-A8C2-7C910AD6816A}">
            <x14:dataBar minLength="0" maxLength="100" gradient="0">
              <x14:cfvo type="num">
                <xm:f>0</xm:f>
              </x14:cfvo>
              <x14:cfvo type="num">
                <xm:f>$F$21</xm:f>
              </x14:cfvo>
              <x14:negativeFillColor rgb="FFFF0000"/>
              <x14:axisColor rgb="FF000000"/>
            </x14:dataBar>
          </x14:cfRule>
          <xm:sqref>F19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规划!$A$6:$A$11</xm:f>
          </x14:formula1>
          <xm:sqref>B3 D3 F3 B6 F6 F9 D6 D9 B9 D20 B20 B17 D14 B14 D17 F14 F17 F20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157505"/>
  <sheetViews>
    <sheetView zoomScale="85" zoomScaleNormal="85" workbookViewId="0">
      <selection activeCell="R9" sqref="R9"/>
    </sheetView>
  </sheetViews>
  <sheetFormatPr defaultColWidth="255.5" defaultRowHeight="16.5" x14ac:dyDescent="0.3"/>
  <cols>
    <col min="1" max="1" width="7.375" style="1" bestFit="1" customWidth="1"/>
    <col min="2" max="2" width="7.75" style="1" bestFit="1" customWidth="1"/>
    <col min="3" max="3" width="9.25" style="1" bestFit="1" customWidth="1"/>
    <col min="4" max="6" width="14.5" style="1" bestFit="1" customWidth="1"/>
    <col min="7" max="7" width="6.625" style="1" bestFit="1" customWidth="1"/>
    <col min="8" max="8" width="14.5" style="1" bestFit="1" customWidth="1"/>
    <col min="9" max="9" width="7.375" style="1" bestFit="1" customWidth="1"/>
    <col min="10" max="11" width="6.625" style="1" bestFit="1" customWidth="1"/>
    <col min="12" max="12" width="7.375" style="1" bestFit="1" customWidth="1"/>
    <col min="13" max="13" width="9.25" style="1" bestFit="1" customWidth="1"/>
    <col min="14" max="14" width="5.125" style="1" bestFit="1" customWidth="1"/>
    <col min="15" max="15" width="7.375" style="1" bestFit="1" customWidth="1"/>
    <col min="16" max="16" width="14.5" style="1" bestFit="1" customWidth="1"/>
    <col min="17" max="17" width="9" style="1" bestFit="1" customWidth="1"/>
    <col min="18" max="18" width="255.5" style="1"/>
    <col min="19" max="19" width="14.5" style="1" bestFit="1" customWidth="1"/>
    <col min="20" max="16384" width="255.5" style="1"/>
  </cols>
  <sheetData>
    <row r="1" spans="1:19" x14ac:dyDescent="0.3">
      <c r="A1" s="16" t="s">
        <v>165</v>
      </c>
      <c r="B1" s="16" t="s">
        <v>143</v>
      </c>
      <c r="C1" s="4" t="s">
        <v>144</v>
      </c>
      <c r="D1" s="4" t="s">
        <v>142</v>
      </c>
      <c r="E1" s="70">
        <f>SUM(E2:E11)/SUM(D2:D11)</f>
        <v>1</v>
      </c>
      <c r="F1" s="4" t="s">
        <v>150</v>
      </c>
      <c r="G1" s="4" t="s">
        <v>147</v>
      </c>
      <c r="H1" s="4" t="s">
        <v>151</v>
      </c>
      <c r="I1" s="4" t="s">
        <v>168</v>
      </c>
      <c r="K1" s="16" t="s">
        <v>18</v>
      </c>
      <c r="L1" s="4" t="s">
        <v>144</v>
      </c>
      <c r="M1" s="4" t="s">
        <v>170</v>
      </c>
      <c r="O1" s="75" t="str">
        <f>SUM(O2:O6)&amp;SUM(O7:O11)</f>
        <v>40</v>
      </c>
      <c r="P1" s="16">
        <f>(S6/L6)*Q1</f>
        <v>9523.8095238095248</v>
      </c>
      <c r="Q1" s="19">
        <v>0.01</v>
      </c>
    </row>
    <row r="2" spans="1:19" x14ac:dyDescent="0.3">
      <c r="A2" s="64">
        <f>IFERROR(VLOOKUP(Q16,$O$16:$Q$24,3,FALSE),0)</f>
        <v>1</v>
      </c>
      <c r="B2" s="65" t="str">
        <f>IFERROR(INDEX($D$16:$D$24,A2),0)</f>
        <v>辅助1</v>
      </c>
      <c r="C2" s="65">
        <f>IFERROR(VLOOKUP(LEFT(B2,2),$K$2:$L$6,2,FALSE),0)</f>
        <v>10500</v>
      </c>
      <c r="D2" s="65">
        <f>IFERROR(VLOOKUP(LEFT(B2,2),$K$2:$M$6,3,FALSE),0)</f>
        <v>476190.47619047621</v>
      </c>
      <c r="E2" s="65">
        <f>IF(F2&gt;0,F2,0)</f>
        <v>476190.47619047621</v>
      </c>
      <c r="F2" s="65">
        <v>476190.47619047621</v>
      </c>
      <c r="G2" s="65">
        <f>IFERROR(VLOOKUP(IF($E$1=100%,VLOOKUP(A2,$A$16:$C$33,3,FALSE),VLOOKUP(A2,$A$37:$C$54,3,FALSE)),A2:I11,9,FALSE),12)</f>
        <v>7</v>
      </c>
      <c r="H2" s="65">
        <v>476190.47619047621</v>
      </c>
      <c r="I2" s="65">
        <v>2</v>
      </c>
      <c r="K2" s="64" t="s">
        <v>10</v>
      </c>
      <c r="L2" s="65">
        <v>15000</v>
      </c>
      <c r="M2" s="71">
        <f>S2/L2</f>
        <v>666666.66666666663</v>
      </c>
      <c r="N2" s="1">
        <f>IFERROR(E2/D2,100)</f>
        <v>1</v>
      </c>
      <c r="O2" s="71">
        <f>IF(LEFT(B2,2)="辅助",1,0)</f>
        <v>1</v>
      </c>
      <c r="P2" s="71">
        <f>IF(N2=MIN($N$2:$N$6),$P$1*LEFT($O$1,1),0)</f>
        <v>38095.238095238099</v>
      </c>
      <c r="Q2" s="71">
        <f>IF(F2&gt;0,IF(F2+P2&lt;=D2,F2+P2,D2),F2)</f>
        <v>476190.47619047621</v>
      </c>
      <c r="S2" s="1">
        <v>10000000000</v>
      </c>
    </row>
    <row r="3" spans="1:19" x14ac:dyDescent="0.3">
      <c r="A3" s="62">
        <f>IFERROR(VLOOKUP(Q17,$O$16:$Q$24,3,FALSE),0)</f>
        <v>2</v>
      </c>
      <c r="B3" s="63" t="str">
        <f>IFERROR(INDEX($D$16:$D$24,A3),0)</f>
        <v>辅助2</v>
      </c>
      <c r="C3" s="63">
        <f>IFERROR(VLOOKUP(LEFT(B3,2),$K$2:$L$6,2,FALSE),0)</f>
        <v>10500</v>
      </c>
      <c r="D3" s="63">
        <f>IFERROR(VLOOKUP(LEFT(B3,2),$K$2:$M$6,3,FALSE),0)</f>
        <v>476190.47619047621</v>
      </c>
      <c r="E3" s="63">
        <f t="shared" ref="E3:E11" si="0">IF(F3&gt;0,F3,0)</f>
        <v>476190.47619047621</v>
      </c>
      <c r="F3" s="63">
        <v>476190.47619047621</v>
      </c>
      <c r="G3" s="63">
        <f>IFERROR(VLOOKUP(IF($E$1=100%,VLOOKUP(A3,$A$16:$C$33,3,FALSE),VLOOKUP(A3,$A$37:$C$54,3,FALSE)),A2:I11,9,FALSE),12)</f>
        <v>8</v>
      </c>
      <c r="H3" s="63">
        <v>476190.47619047621</v>
      </c>
      <c r="I3" s="63">
        <f>I2+1</f>
        <v>3</v>
      </c>
      <c r="K3" s="62" t="s">
        <v>11</v>
      </c>
      <c r="L3" s="63">
        <v>11000</v>
      </c>
      <c r="M3" s="72">
        <f>S3/L3</f>
        <v>909090.90909090906</v>
      </c>
      <c r="N3" s="1">
        <f t="shared" ref="N3:N11" si="1">IFERROR(E3/D3,100)</f>
        <v>1</v>
      </c>
      <c r="O3" s="72">
        <f t="shared" ref="O3:O11" si="2">IF(LEFT(B3,2)="辅助",1,0)</f>
        <v>1</v>
      </c>
      <c r="P3" s="72">
        <f t="shared" ref="P3:P6" si="3">IF(N3=MIN($N$2:$N$6),$P$1*LEFT($O$1,1),0)</f>
        <v>38095.238095238099</v>
      </c>
      <c r="Q3" s="72">
        <f t="shared" ref="Q3:Q11" si="4">IF(F3&gt;0,IF(F3+P3&lt;=D3,F3+P3,D3),F3)</f>
        <v>476190.47619047621</v>
      </c>
      <c r="S3" s="1">
        <v>10000000000</v>
      </c>
    </row>
    <row r="4" spans="1:19" x14ac:dyDescent="0.3">
      <c r="A4" s="64">
        <f>IFERROR(VLOOKUP(Q18,$O$16:$Q$24,3,FALSE),0)</f>
        <v>3</v>
      </c>
      <c r="B4" s="65" t="str">
        <f>IFERROR(INDEX($D$16:$D$24,A4),0)</f>
        <v>辅助3</v>
      </c>
      <c r="C4" s="65">
        <f>IFERROR(VLOOKUP(LEFT(B4,2),$K$2:$L$6,2,FALSE),0)</f>
        <v>10500</v>
      </c>
      <c r="D4" s="65">
        <f>IFERROR(VLOOKUP(LEFT(B4,2),$K$2:$M$6,3,FALSE),0)</f>
        <v>476190.47619047621</v>
      </c>
      <c r="E4" s="65">
        <f t="shared" si="0"/>
        <v>476190.47619047621</v>
      </c>
      <c r="F4" s="65">
        <v>476190.47619047621</v>
      </c>
      <c r="G4" s="65">
        <f>IFERROR(VLOOKUP(IF($E$1=100%,VLOOKUP(A4,$A$16:$C$33,3,FALSE),VLOOKUP(A4,$A$37:$C$54,3,FALSE)),A2:I11,9,FALSE),12)</f>
        <v>9</v>
      </c>
      <c r="H4" s="65">
        <v>476190.47619047621</v>
      </c>
      <c r="I4" s="65">
        <f t="shared" ref="I4:I11" si="5">I3+1</f>
        <v>4</v>
      </c>
      <c r="K4" s="64" t="s">
        <v>12</v>
      </c>
      <c r="L4" s="65">
        <v>18500</v>
      </c>
      <c r="M4" s="71">
        <f>S4/L4</f>
        <v>540540.54054054059</v>
      </c>
      <c r="N4" s="1">
        <f t="shared" si="1"/>
        <v>1</v>
      </c>
      <c r="O4" s="71">
        <f t="shared" si="2"/>
        <v>1</v>
      </c>
      <c r="P4" s="71">
        <f t="shared" si="3"/>
        <v>38095.238095238099</v>
      </c>
      <c r="Q4" s="71">
        <f t="shared" si="4"/>
        <v>476190.47619047621</v>
      </c>
      <c r="S4" s="1">
        <v>10000000000</v>
      </c>
    </row>
    <row r="5" spans="1:19" x14ac:dyDescent="0.3">
      <c r="A5" s="62">
        <f>IFERROR(VLOOKUP(Q19,$O$16:$Q$24,3,FALSE),0)</f>
        <v>5</v>
      </c>
      <c r="B5" s="63" t="str">
        <f>IFERROR(INDEX($D$16:$D$24,A5),0)</f>
        <v>辅助5</v>
      </c>
      <c r="C5" s="63">
        <f>IFERROR(VLOOKUP(LEFT(B5,2),$K$2:$L$6,2,FALSE),0)</f>
        <v>10500</v>
      </c>
      <c r="D5" s="63">
        <f>IFERROR(VLOOKUP(LEFT(B5,2),$K$2:$M$6,3,FALSE),0)</f>
        <v>476190.47619047621</v>
      </c>
      <c r="E5" s="63">
        <f t="shared" si="0"/>
        <v>476190.47619047621</v>
      </c>
      <c r="F5" s="63">
        <v>476190.47619047621</v>
      </c>
      <c r="G5" s="63">
        <f>IFERROR(VLOOKUP(IF($E$1=100%,VLOOKUP(A5,$A$16:$C$33,3,FALSE),VLOOKUP(A5,$A$37:$C$54,3,FALSE)),A2:I11,9,FALSE),12)</f>
        <v>8</v>
      </c>
      <c r="H5" s="63">
        <v>476190.47619047621</v>
      </c>
      <c r="I5" s="63">
        <f t="shared" si="5"/>
        <v>5</v>
      </c>
      <c r="K5" s="62" t="s">
        <v>13</v>
      </c>
      <c r="L5" s="63">
        <v>16000</v>
      </c>
      <c r="M5" s="72">
        <f>S5/L5</f>
        <v>625000</v>
      </c>
      <c r="N5" s="1">
        <f t="shared" si="1"/>
        <v>1</v>
      </c>
      <c r="O5" s="72">
        <f t="shared" si="2"/>
        <v>1</v>
      </c>
      <c r="P5" s="72">
        <f t="shared" si="3"/>
        <v>38095.238095238099</v>
      </c>
      <c r="Q5" s="72">
        <f t="shared" si="4"/>
        <v>476190.47619047621</v>
      </c>
      <c r="S5" s="1">
        <v>10000000000</v>
      </c>
    </row>
    <row r="6" spans="1:19" x14ac:dyDescent="0.3">
      <c r="A6" s="64">
        <f>IFERROR(VLOOKUP(Q20,$O$16:$Q$24,3,FALSE),0)</f>
        <v>8</v>
      </c>
      <c r="B6" s="65" t="str">
        <f>IFERROR(INDEX($D$16:$D$24,A6),0)</f>
        <v>坦克8</v>
      </c>
      <c r="C6" s="65">
        <f>IFERROR(VLOOKUP(LEFT(B6,2),$K$2:$L$6,2,FALSE),0)</f>
        <v>11000</v>
      </c>
      <c r="D6" s="65">
        <f>IFERROR(VLOOKUP(LEFT(B6,2),$K$2:$M$6,3,FALSE),0)</f>
        <v>909090.90909090906</v>
      </c>
      <c r="E6" s="65">
        <f t="shared" si="0"/>
        <v>909090.90909090906</v>
      </c>
      <c r="F6" s="65">
        <v>909090.90909090906</v>
      </c>
      <c r="G6" s="65">
        <f>IFERROR(VLOOKUP(IF($E$1=100%,VLOOKUP(A6,$A$16:$C$33,3,FALSE),VLOOKUP(A6,$A$37:$C$54,3,FALSE)),A2:I11,9,FALSE),12)</f>
        <v>8</v>
      </c>
      <c r="H6" s="65">
        <v>909090.90909090906</v>
      </c>
      <c r="I6" s="65">
        <f t="shared" si="5"/>
        <v>6</v>
      </c>
      <c r="K6" s="64" t="s">
        <v>14</v>
      </c>
      <c r="L6" s="65">
        <v>10500</v>
      </c>
      <c r="M6" s="71">
        <f>(S6/L6)*50%</f>
        <v>476190.47619047621</v>
      </c>
      <c r="N6" s="1">
        <f t="shared" si="1"/>
        <v>1</v>
      </c>
      <c r="O6" s="71">
        <f t="shared" si="2"/>
        <v>0</v>
      </c>
      <c r="P6" s="71">
        <f t="shared" si="3"/>
        <v>38095.238095238099</v>
      </c>
      <c r="Q6" s="71">
        <f t="shared" si="4"/>
        <v>909090.90909090906</v>
      </c>
      <c r="S6" s="1">
        <v>10000000000</v>
      </c>
    </row>
    <row r="7" spans="1:19" x14ac:dyDescent="0.3">
      <c r="A7" s="60">
        <f>IFERROR(VLOOKUP(Q16,$O$25:$Q$33,3,FALSE),0)</f>
        <v>10</v>
      </c>
      <c r="B7" s="61" t="str">
        <f>IFERROR(INDEX($D$16:$D$33,A7),0)</f>
        <v>坦克10</v>
      </c>
      <c r="C7" s="61">
        <f>IFERROR(VLOOKUP(LEFT(B7,2),$K$7:$L$11,2,FALSE),0)</f>
        <v>11000</v>
      </c>
      <c r="D7" s="61">
        <f>IFERROR(VLOOKUP(LEFT(B7,2),$K$7:$M$11,3,FALSE),0)</f>
        <v>909090.90909090906</v>
      </c>
      <c r="E7" s="61">
        <f t="shared" si="0"/>
        <v>909090.90909090906</v>
      </c>
      <c r="F7" s="61">
        <v>909090.90909090906</v>
      </c>
      <c r="G7" s="61">
        <f>IFERROR(VLOOKUP(IF($E$1=100%,VLOOKUP(A7,$A$16:$C$33,3,FALSE),VLOOKUP(A7,$A$37:$C$54,3,FALSE)),A2:I11,9,FALSE),12)</f>
        <v>6</v>
      </c>
      <c r="H7" s="61">
        <v>909090.90909090906</v>
      </c>
      <c r="I7" s="61">
        <f t="shared" si="5"/>
        <v>7</v>
      </c>
      <c r="K7" s="60" t="s">
        <v>10</v>
      </c>
      <c r="L7" s="61">
        <f>L2</f>
        <v>15000</v>
      </c>
      <c r="M7" s="73">
        <f>M2</f>
        <v>666666.66666666663</v>
      </c>
      <c r="N7" s="1">
        <f t="shared" si="1"/>
        <v>1</v>
      </c>
      <c r="O7" s="73">
        <f t="shared" si="2"/>
        <v>0</v>
      </c>
      <c r="P7" s="73">
        <f>IF(N7=MIN($N$7:$N$11),$P$1*RIGHT($O$1,1),0)</f>
        <v>0</v>
      </c>
      <c r="Q7" s="73">
        <f t="shared" si="4"/>
        <v>909090.90909090906</v>
      </c>
    </row>
    <row r="8" spans="1:19" x14ac:dyDescent="0.3">
      <c r="A8" s="7">
        <f>IFERROR(VLOOKUP(Q17,$O$25:$Q$33,3,FALSE),0)</f>
        <v>11</v>
      </c>
      <c r="B8" s="8" t="str">
        <f>IFERROR(INDEX($D$16:$D$33,A8),0)</f>
        <v>坦克11</v>
      </c>
      <c r="C8" s="8">
        <f>IFERROR(VLOOKUP(LEFT(B8,2),$K$7:$L$11,2,FALSE),0)</f>
        <v>11000</v>
      </c>
      <c r="D8" s="8">
        <f>IFERROR(VLOOKUP(LEFT(B8,2),$K$7:$M$11,3,FALSE),0)</f>
        <v>909090.90909090906</v>
      </c>
      <c r="E8" s="8">
        <f t="shared" si="0"/>
        <v>909090.90909090906</v>
      </c>
      <c r="F8" s="8">
        <v>909090.90909090906</v>
      </c>
      <c r="G8" s="8">
        <f>IFERROR(VLOOKUP(IF($E$1=100%,VLOOKUP(A8,$A$16:$C$33,3,FALSE),VLOOKUP(A8,$A$37:$C$54,3,FALSE)),A2:I11,9,FALSE),12)</f>
        <v>6</v>
      </c>
      <c r="H8" s="8">
        <v>909090.90909090906</v>
      </c>
      <c r="I8" s="8">
        <f t="shared" si="5"/>
        <v>8</v>
      </c>
      <c r="K8" s="7" t="s">
        <v>11</v>
      </c>
      <c r="L8" s="8">
        <f t="shared" ref="L8:M11" si="6">L3</f>
        <v>11000</v>
      </c>
      <c r="M8" s="74">
        <f t="shared" si="6"/>
        <v>909090.90909090906</v>
      </c>
      <c r="N8" s="1">
        <f t="shared" si="1"/>
        <v>1</v>
      </c>
      <c r="O8" s="74">
        <f t="shared" si="2"/>
        <v>0</v>
      </c>
      <c r="P8" s="74">
        <f t="shared" ref="P8:P11" si="7">IF(N8=MIN($N$7:$N$11),$P$1*RIGHT($O$1,1),0)</f>
        <v>0</v>
      </c>
      <c r="Q8" s="74">
        <f t="shared" si="4"/>
        <v>909090.90909090906</v>
      </c>
    </row>
    <row r="9" spans="1:19" x14ac:dyDescent="0.3">
      <c r="A9" s="60">
        <f>IFERROR(VLOOKUP(Q18,$O$25:$Q$33,3,FALSE),0)</f>
        <v>12</v>
      </c>
      <c r="B9" s="61" t="str">
        <f>IFERROR(INDEX($D$16:$D$33,A9),0)</f>
        <v>坦克12</v>
      </c>
      <c r="C9" s="61">
        <f>IFERROR(VLOOKUP(LEFT(B9,2),$K$7:$L$11,2,FALSE),0)</f>
        <v>11000</v>
      </c>
      <c r="D9" s="61">
        <f>IFERROR(VLOOKUP(LEFT(B9,2),$K$7:$M$11,3,FALSE),0)</f>
        <v>909090.90909090906</v>
      </c>
      <c r="E9" s="61">
        <f t="shared" si="0"/>
        <v>909090.90909090906</v>
      </c>
      <c r="F9" s="61">
        <v>909090.90909090906</v>
      </c>
      <c r="G9" s="61">
        <f>IFERROR(VLOOKUP(IF($E$1=100%,VLOOKUP(A9,$A$16:$C$33,3,FALSE),VLOOKUP(A9,$A$37:$C$54,3,FALSE)),A2:I11,9,FALSE),12)</f>
        <v>6</v>
      </c>
      <c r="H9" s="61">
        <v>909090.90909090906</v>
      </c>
      <c r="I9" s="61">
        <f t="shared" si="5"/>
        <v>9</v>
      </c>
      <c r="K9" s="60" t="s">
        <v>12</v>
      </c>
      <c r="L9" s="61">
        <f t="shared" si="6"/>
        <v>18500</v>
      </c>
      <c r="M9" s="73">
        <f t="shared" si="6"/>
        <v>540540.54054054059</v>
      </c>
      <c r="N9" s="1">
        <f t="shared" si="1"/>
        <v>1</v>
      </c>
      <c r="O9" s="73">
        <f t="shared" si="2"/>
        <v>0</v>
      </c>
      <c r="P9" s="73">
        <f t="shared" si="7"/>
        <v>0</v>
      </c>
      <c r="Q9" s="73">
        <f t="shared" si="4"/>
        <v>909090.90909090906</v>
      </c>
    </row>
    <row r="10" spans="1:19" x14ac:dyDescent="0.3">
      <c r="A10" s="7">
        <f>IFERROR(VLOOKUP(Q19,$O$25:$Q$33,3,FALSE),0)</f>
        <v>14</v>
      </c>
      <c r="B10" s="8" t="str">
        <f>IFERROR(INDEX($D$16:$D$33,A10),0)</f>
        <v>法师14</v>
      </c>
      <c r="C10" s="8">
        <f>IFERROR(VLOOKUP(LEFT(B10,2),$K$7:$L$11,2,FALSE),0)</f>
        <v>18500</v>
      </c>
      <c r="D10" s="8">
        <f>IFERROR(VLOOKUP(LEFT(B10,2),$K$7:$M$11,3,FALSE),0)</f>
        <v>540540.54054054059</v>
      </c>
      <c r="E10" s="8">
        <f t="shared" si="0"/>
        <v>540540.54054054059</v>
      </c>
      <c r="F10" s="8">
        <v>540540.54054054059</v>
      </c>
      <c r="G10" s="8">
        <f>IFERROR(VLOOKUP(IF($E$1=100%,VLOOKUP(A10,$A$16:$C$33,3,FALSE),VLOOKUP(A10,$A$37:$C$54,3,FALSE)),A2:I11,9,FALSE),12)</f>
        <v>6</v>
      </c>
      <c r="H10" s="8">
        <v>540540.54054054059</v>
      </c>
      <c r="I10" s="8">
        <f t="shared" si="5"/>
        <v>10</v>
      </c>
      <c r="K10" s="7" t="s">
        <v>13</v>
      </c>
      <c r="L10" s="8">
        <f t="shared" si="6"/>
        <v>16000</v>
      </c>
      <c r="M10" s="74">
        <f t="shared" si="6"/>
        <v>625000</v>
      </c>
      <c r="N10" s="1">
        <f t="shared" si="1"/>
        <v>1</v>
      </c>
      <c r="O10" s="74">
        <f t="shared" si="2"/>
        <v>0</v>
      </c>
      <c r="P10" s="74">
        <f t="shared" si="7"/>
        <v>0</v>
      </c>
      <c r="Q10" s="74">
        <f t="shared" si="4"/>
        <v>540540.54054054059</v>
      </c>
    </row>
    <row r="11" spans="1:19" x14ac:dyDescent="0.3">
      <c r="A11" s="60">
        <f>IFERROR(VLOOKUP(Q20,$O$25:$Q$33,3,FALSE),0)</f>
        <v>17</v>
      </c>
      <c r="B11" s="61" t="str">
        <f>IFERROR(INDEX($D$16:$D$33,A11),0)</f>
        <v>法师17</v>
      </c>
      <c r="C11" s="61">
        <f>IFERROR(VLOOKUP(LEFT(B11,2),$K$7:$L$11,2,FALSE),0)</f>
        <v>18500</v>
      </c>
      <c r="D11" s="61">
        <f>IFERROR(VLOOKUP(LEFT(B11,2),$K$7:$M$11,3,FALSE),0)</f>
        <v>540540.54054054059</v>
      </c>
      <c r="E11" s="61">
        <f t="shared" si="0"/>
        <v>540540.54054054059</v>
      </c>
      <c r="F11" s="61">
        <v>540540.54054054059</v>
      </c>
      <c r="G11" s="61">
        <f>IFERROR(VLOOKUP(IF($E$1=100%,VLOOKUP(A11,$A$16:$C$33,3,FALSE),VLOOKUP(A11,$A$37:$C$54,3,FALSE)),A2:I11,9,FALSE),12)</f>
        <v>6</v>
      </c>
      <c r="H11" s="61">
        <v>540540.54054054059</v>
      </c>
      <c r="I11" s="61">
        <f t="shared" si="5"/>
        <v>11</v>
      </c>
      <c r="K11" s="60" t="s">
        <v>14</v>
      </c>
      <c r="L11" s="61">
        <f t="shared" si="6"/>
        <v>10500</v>
      </c>
      <c r="M11" s="73">
        <f t="shared" si="6"/>
        <v>476190.47619047621</v>
      </c>
      <c r="N11" s="1">
        <f t="shared" si="1"/>
        <v>1</v>
      </c>
      <c r="O11" s="73">
        <f t="shared" si="2"/>
        <v>0</v>
      </c>
      <c r="P11" s="73">
        <f t="shared" si="7"/>
        <v>0</v>
      </c>
      <c r="Q11" s="73">
        <f t="shared" si="4"/>
        <v>540540.54054054059</v>
      </c>
    </row>
    <row r="12" spans="1:19" x14ac:dyDescent="0.3">
      <c r="A12" s="68">
        <v>0</v>
      </c>
      <c r="B12" s="68" t="s">
        <v>152</v>
      </c>
      <c r="C12" s="68">
        <v>0</v>
      </c>
      <c r="D12" s="68">
        <v>0</v>
      </c>
      <c r="E12" s="15">
        <f>IF(SUM(E2:E11)=0,1,IF(SUM(E2:E6)=0,2,IF(SUM(E7:E11)=0,3,0)))</f>
        <v>0</v>
      </c>
      <c r="F12" s="68">
        <v>0</v>
      </c>
      <c r="G12" s="68">
        <v>0</v>
      </c>
      <c r="H12" s="68">
        <v>0</v>
      </c>
      <c r="I12" s="68">
        <v>0</v>
      </c>
      <c r="K12" s="68" t="s">
        <v>152</v>
      </c>
      <c r="L12" s="68">
        <v>0</v>
      </c>
      <c r="M12" s="68">
        <v>0</v>
      </c>
      <c r="O12" s="76"/>
      <c r="P12" s="68"/>
      <c r="Q12" s="68"/>
    </row>
    <row r="15" spans="1:19" x14ac:dyDescent="0.3">
      <c r="A15" s="16" t="s">
        <v>169</v>
      </c>
      <c r="B15" s="16" t="s">
        <v>167</v>
      </c>
      <c r="C15" s="16" t="s">
        <v>155</v>
      </c>
      <c r="D15" s="16">
        <f>COUNTIF(D16:D33,"&lt;&gt;0")</f>
        <v>10</v>
      </c>
      <c r="E15" s="16" t="s">
        <v>156</v>
      </c>
      <c r="F15" s="16" t="s">
        <v>157</v>
      </c>
      <c r="G15" s="16" t="s">
        <v>158</v>
      </c>
      <c r="H15" s="16" t="s">
        <v>159</v>
      </c>
      <c r="I15" s="16" t="s">
        <v>160</v>
      </c>
      <c r="J15" s="16" t="s">
        <v>161</v>
      </c>
      <c r="K15" s="16" t="s">
        <v>162</v>
      </c>
      <c r="L15" s="16" t="s">
        <v>163</v>
      </c>
      <c r="M15" s="16" t="s">
        <v>164</v>
      </c>
      <c r="O15" s="16" t="s">
        <v>166</v>
      </c>
      <c r="P15" s="16">
        <f>IF(OR(SUM(P16:P24)&gt;5,SUM(P25:P33)&gt;5),0,1)</f>
        <v>1</v>
      </c>
      <c r="Q15" s="16" t="s">
        <v>165</v>
      </c>
    </row>
    <row r="16" spans="1:19" x14ac:dyDescent="0.3">
      <c r="A16" s="20">
        <f t="shared" ref="A16:A33" si="8">IF(O16&lt;&gt;0,B16,0)</f>
        <v>1</v>
      </c>
      <c r="B16" s="5">
        <f t="shared" ref="B16:B33" si="9">IFERROR(IF(VLOOKUP(Q16,$A$2:$E$11,5,FALSE)&gt;0,Q16,0),0)</f>
        <v>1</v>
      </c>
      <c r="C16" s="5">
        <f t="shared" ref="C16:C33" si="10">IF(E16&lt;&gt;0,E16,IF(F16&lt;&gt;0,F16,IF(G16&lt;&gt;0,G16,IF(H16&lt;&gt;0,H16,IF(I16&lt;&gt;0,I16,IF(J16&lt;&gt;0,J16,IF(K16&lt;&gt;0,K16,IF(L16&lt;&gt;0,L16,IF(M16&lt;&gt;0,M16,)))))))))</f>
        <v>10</v>
      </c>
      <c r="D16" s="5" t="str">
        <f>IF(模拟!B3&lt;&gt;0,模拟!B3&amp;Q16,0)</f>
        <v>辅助1</v>
      </c>
      <c r="E16" s="20">
        <f>A25</f>
        <v>10</v>
      </c>
      <c r="F16" s="20">
        <f>A28</f>
        <v>0</v>
      </c>
      <c r="G16" s="20">
        <f>A26</f>
        <v>11</v>
      </c>
      <c r="H16" s="20">
        <f>A31</f>
        <v>0</v>
      </c>
      <c r="I16" s="20">
        <f>A29</f>
        <v>14</v>
      </c>
      <c r="J16" s="20">
        <f>A27</f>
        <v>12</v>
      </c>
      <c r="K16" s="20">
        <f>A32</f>
        <v>17</v>
      </c>
      <c r="L16" s="20">
        <f>A30</f>
        <v>0</v>
      </c>
      <c r="M16" s="20">
        <f>B33</f>
        <v>0</v>
      </c>
      <c r="O16" s="20">
        <f>IF(P16="",0,SUM($P$16:P16))</f>
        <v>1</v>
      </c>
      <c r="P16" s="20">
        <f t="shared" ref="P16:P33" si="11">IF(D16&lt;&gt;0,1,"")</f>
        <v>1</v>
      </c>
      <c r="Q16" s="20">
        <v>1</v>
      </c>
    </row>
    <row r="17" spans="1:17" x14ac:dyDescent="0.3">
      <c r="A17" s="20">
        <f t="shared" si="8"/>
        <v>2</v>
      </c>
      <c r="B17" s="5">
        <f t="shared" si="9"/>
        <v>2</v>
      </c>
      <c r="C17" s="5">
        <f t="shared" si="10"/>
        <v>11</v>
      </c>
      <c r="D17" s="5" t="str">
        <f>IF(模拟!D3&lt;&gt;0,模拟!D3&amp;Q17,0)</f>
        <v>辅助2</v>
      </c>
      <c r="E17" s="20">
        <f>A26</f>
        <v>11</v>
      </c>
      <c r="F17" s="20">
        <f>A29</f>
        <v>14</v>
      </c>
      <c r="G17" s="20">
        <f>A27</f>
        <v>12</v>
      </c>
      <c r="H17" s="20">
        <f>A25</f>
        <v>10</v>
      </c>
      <c r="I17" s="20">
        <f>A32</f>
        <v>17</v>
      </c>
      <c r="J17" s="20">
        <f>A30</f>
        <v>0</v>
      </c>
      <c r="K17" s="20">
        <f>A28</f>
        <v>0</v>
      </c>
      <c r="L17" s="20">
        <f>A33</f>
        <v>0</v>
      </c>
      <c r="M17" s="20">
        <f>A31</f>
        <v>0</v>
      </c>
      <c r="O17" s="20">
        <f>IF(P17="",0,SUM($P$16:P17))</f>
        <v>2</v>
      </c>
      <c r="P17" s="20">
        <f t="shared" si="11"/>
        <v>1</v>
      </c>
      <c r="Q17" s="20">
        <v>2</v>
      </c>
    </row>
    <row r="18" spans="1:17" x14ac:dyDescent="0.3">
      <c r="A18" s="20">
        <f t="shared" si="8"/>
        <v>3</v>
      </c>
      <c r="B18" s="5">
        <f t="shared" si="9"/>
        <v>3</v>
      </c>
      <c r="C18" s="5">
        <f t="shared" si="10"/>
        <v>12</v>
      </c>
      <c r="D18" s="5" t="str">
        <f>IF(模拟!F3&lt;&gt;0,模拟!F3&amp;Q18,0)</f>
        <v>辅助3</v>
      </c>
      <c r="E18" s="20">
        <f>A27</f>
        <v>12</v>
      </c>
      <c r="F18" s="20">
        <f>A30</f>
        <v>0</v>
      </c>
      <c r="G18" s="20">
        <f>A26</f>
        <v>11</v>
      </c>
      <c r="H18" s="20">
        <f>A33</f>
        <v>0</v>
      </c>
      <c r="I18" s="20">
        <f>A29</f>
        <v>14</v>
      </c>
      <c r="J18" s="20">
        <f>A25</f>
        <v>10</v>
      </c>
      <c r="K18" s="20">
        <f>A32</f>
        <v>17</v>
      </c>
      <c r="L18" s="20">
        <f>A28</f>
        <v>0</v>
      </c>
      <c r="M18" s="20">
        <f>A31</f>
        <v>0</v>
      </c>
      <c r="O18" s="20">
        <f>IF(P18="",0,SUM($P$16:P18))</f>
        <v>3</v>
      </c>
      <c r="P18" s="20">
        <f t="shared" si="11"/>
        <v>1</v>
      </c>
      <c r="Q18" s="20">
        <v>3</v>
      </c>
    </row>
    <row r="19" spans="1:17" x14ac:dyDescent="0.3">
      <c r="A19" s="68">
        <f t="shared" si="8"/>
        <v>0</v>
      </c>
      <c r="B19" s="68">
        <f t="shared" si="9"/>
        <v>0</v>
      </c>
      <c r="C19" s="68">
        <f t="shared" si="10"/>
        <v>10</v>
      </c>
      <c r="D19" s="68">
        <f>IF(模拟!B6&lt;&gt;0,模拟!B6&amp;Q19,0)</f>
        <v>0</v>
      </c>
      <c r="E19" s="68">
        <f>E16</f>
        <v>10</v>
      </c>
      <c r="F19" s="68">
        <f>G16</f>
        <v>11</v>
      </c>
      <c r="G19" s="68">
        <f>H16</f>
        <v>0</v>
      </c>
      <c r="H19" s="68">
        <f>F16</f>
        <v>0</v>
      </c>
      <c r="I19" s="68">
        <f t="shared" ref="I19:M21" si="12">I16</f>
        <v>14</v>
      </c>
      <c r="J19" s="68">
        <f t="shared" si="12"/>
        <v>12</v>
      </c>
      <c r="K19" s="68">
        <f t="shared" si="12"/>
        <v>17</v>
      </c>
      <c r="L19" s="68">
        <f t="shared" si="12"/>
        <v>0</v>
      </c>
      <c r="M19" s="68">
        <f t="shared" si="12"/>
        <v>0</v>
      </c>
      <c r="O19" s="68">
        <f>IF(P19="",0,SUM($P$16:P19))</f>
        <v>0</v>
      </c>
      <c r="P19" s="68" t="str">
        <f t="shared" si="11"/>
        <v/>
      </c>
      <c r="Q19" s="68">
        <v>4</v>
      </c>
    </row>
    <row r="20" spans="1:17" x14ac:dyDescent="0.3">
      <c r="A20" s="68">
        <f t="shared" si="8"/>
        <v>5</v>
      </c>
      <c r="B20" s="68">
        <f t="shared" si="9"/>
        <v>5</v>
      </c>
      <c r="C20" s="68">
        <f t="shared" si="10"/>
        <v>11</v>
      </c>
      <c r="D20" s="68" t="str">
        <f>IF(模拟!D6&lt;&gt;0,模拟!D6&amp;Q20,0)</f>
        <v>辅助5</v>
      </c>
      <c r="E20" s="68">
        <f>E17</f>
        <v>11</v>
      </c>
      <c r="F20" s="68">
        <f t="shared" ref="F20:H21" si="13">F17</f>
        <v>14</v>
      </c>
      <c r="G20" s="68">
        <f t="shared" si="13"/>
        <v>12</v>
      </c>
      <c r="H20" s="68">
        <f t="shared" si="13"/>
        <v>10</v>
      </c>
      <c r="I20" s="68">
        <f t="shared" si="12"/>
        <v>17</v>
      </c>
      <c r="J20" s="68">
        <f t="shared" si="12"/>
        <v>0</v>
      </c>
      <c r="K20" s="68">
        <f t="shared" si="12"/>
        <v>0</v>
      </c>
      <c r="L20" s="68">
        <f t="shared" si="12"/>
        <v>0</v>
      </c>
      <c r="M20" s="68">
        <f t="shared" si="12"/>
        <v>0</v>
      </c>
      <c r="O20" s="68">
        <f>IF(P20="",0,SUM($P$16:P20))</f>
        <v>4</v>
      </c>
      <c r="P20" s="68">
        <f t="shared" si="11"/>
        <v>1</v>
      </c>
      <c r="Q20" s="68">
        <v>5</v>
      </c>
    </row>
    <row r="21" spans="1:17" x14ac:dyDescent="0.3">
      <c r="A21" s="68">
        <f t="shared" si="8"/>
        <v>0</v>
      </c>
      <c r="B21" s="68">
        <f t="shared" si="9"/>
        <v>0</v>
      </c>
      <c r="C21" s="68">
        <f t="shared" si="10"/>
        <v>12</v>
      </c>
      <c r="D21" s="68">
        <f>IF(模拟!F6&lt;&gt;0,模拟!F6&amp;Q21,0)</f>
        <v>0</v>
      </c>
      <c r="E21" s="68">
        <f>E18</f>
        <v>12</v>
      </c>
      <c r="F21" s="68">
        <f t="shared" si="13"/>
        <v>0</v>
      </c>
      <c r="G21" s="68">
        <f t="shared" si="13"/>
        <v>11</v>
      </c>
      <c r="H21" s="68">
        <f t="shared" si="13"/>
        <v>0</v>
      </c>
      <c r="I21" s="68">
        <f t="shared" si="12"/>
        <v>14</v>
      </c>
      <c r="J21" s="68">
        <f t="shared" si="12"/>
        <v>10</v>
      </c>
      <c r="K21" s="68">
        <f t="shared" si="12"/>
        <v>17</v>
      </c>
      <c r="L21" s="68">
        <f t="shared" si="12"/>
        <v>0</v>
      </c>
      <c r="M21" s="68">
        <f t="shared" si="12"/>
        <v>0</v>
      </c>
      <c r="O21" s="68">
        <f>IF(P21="",0,SUM($P$16:P21))</f>
        <v>0</v>
      </c>
      <c r="P21" s="68" t="str">
        <f t="shared" si="11"/>
        <v/>
      </c>
      <c r="Q21" s="68">
        <v>6</v>
      </c>
    </row>
    <row r="22" spans="1:17" x14ac:dyDescent="0.3">
      <c r="A22" s="20">
        <f t="shared" si="8"/>
        <v>0</v>
      </c>
      <c r="B22" s="5">
        <f t="shared" si="9"/>
        <v>0</v>
      </c>
      <c r="C22" s="5">
        <f t="shared" si="10"/>
        <v>10</v>
      </c>
      <c r="D22" s="5">
        <f>IF(模拟!B9&lt;&gt;0,模拟!B9&amp;Q22,0)</f>
        <v>0</v>
      </c>
      <c r="E22" s="20">
        <f>E16</f>
        <v>10</v>
      </c>
      <c r="F22" s="20">
        <f>G16</f>
        <v>11</v>
      </c>
      <c r="G22" s="20">
        <f>H16</f>
        <v>0</v>
      </c>
      <c r="H22" s="20">
        <f>F16</f>
        <v>0</v>
      </c>
      <c r="I22" s="20">
        <f t="shared" ref="I22:M24" si="14">I16</f>
        <v>14</v>
      </c>
      <c r="J22" s="20">
        <f t="shared" si="14"/>
        <v>12</v>
      </c>
      <c r="K22" s="20">
        <f t="shared" si="14"/>
        <v>17</v>
      </c>
      <c r="L22" s="20">
        <f t="shared" si="14"/>
        <v>0</v>
      </c>
      <c r="M22" s="20">
        <f t="shared" si="14"/>
        <v>0</v>
      </c>
      <c r="O22" s="20">
        <f>IF(P22="",0,SUM($P$16:P22))</f>
        <v>0</v>
      </c>
      <c r="P22" s="20" t="str">
        <f t="shared" si="11"/>
        <v/>
      </c>
      <c r="Q22" s="20">
        <v>7</v>
      </c>
    </row>
    <row r="23" spans="1:17" x14ac:dyDescent="0.3">
      <c r="A23" s="20">
        <f t="shared" si="8"/>
        <v>8</v>
      </c>
      <c r="B23" s="5">
        <f t="shared" si="9"/>
        <v>8</v>
      </c>
      <c r="C23" s="5">
        <f t="shared" si="10"/>
        <v>11</v>
      </c>
      <c r="D23" s="5" t="str">
        <f>IF(模拟!D9&lt;&gt;0,模拟!D9&amp;Q23,0)</f>
        <v>坦克8</v>
      </c>
      <c r="E23" s="20">
        <f>E17</f>
        <v>11</v>
      </c>
      <c r="F23" s="20">
        <f t="shared" ref="F23:H24" si="15">F17</f>
        <v>14</v>
      </c>
      <c r="G23" s="20">
        <f t="shared" si="15"/>
        <v>12</v>
      </c>
      <c r="H23" s="20">
        <f t="shared" si="15"/>
        <v>10</v>
      </c>
      <c r="I23" s="20">
        <f t="shared" si="14"/>
        <v>17</v>
      </c>
      <c r="J23" s="20">
        <f t="shared" si="14"/>
        <v>0</v>
      </c>
      <c r="K23" s="20">
        <f t="shared" si="14"/>
        <v>0</v>
      </c>
      <c r="L23" s="20">
        <f t="shared" si="14"/>
        <v>0</v>
      </c>
      <c r="M23" s="20">
        <f t="shared" si="14"/>
        <v>0</v>
      </c>
      <c r="O23" s="20">
        <f>IF(P23="",0,SUM($P$16:P23))</f>
        <v>5</v>
      </c>
      <c r="P23" s="20">
        <f t="shared" si="11"/>
        <v>1</v>
      </c>
      <c r="Q23" s="20">
        <v>8</v>
      </c>
    </row>
    <row r="24" spans="1:17" x14ac:dyDescent="0.3">
      <c r="A24" s="20">
        <f t="shared" si="8"/>
        <v>0</v>
      </c>
      <c r="B24" s="5">
        <f t="shared" si="9"/>
        <v>0</v>
      </c>
      <c r="C24" s="5">
        <f t="shared" si="10"/>
        <v>12</v>
      </c>
      <c r="D24" s="5">
        <f>IF(模拟!F9&lt;&gt;0,模拟!F9&amp;Q24,0)</f>
        <v>0</v>
      </c>
      <c r="E24" s="20">
        <f>E18</f>
        <v>12</v>
      </c>
      <c r="F24" s="20">
        <f t="shared" si="15"/>
        <v>0</v>
      </c>
      <c r="G24" s="20">
        <f t="shared" si="15"/>
        <v>11</v>
      </c>
      <c r="H24" s="20">
        <f t="shared" si="15"/>
        <v>0</v>
      </c>
      <c r="I24" s="20">
        <f t="shared" si="14"/>
        <v>14</v>
      </c>
      <c r="J24" s="20">
        <f t="shared" si="14"/>
        <v>10</v>
      </c>
      <c r="K24" s="20">
        <f t="shared" si="14"/>
        <v>17</v>
      </c>
      <c r="L24" s="20">
        <f t="shared" si="14"/>
        <v>0</v>
      </c>
      <c r="M24" s="20">
        <f t="shared" si="14"/>
        <v>0</v>
      </c>
      <c r="O24" s="20">
        <f>IF(P24="",0,SUM($P$16:P24))</f>
        <v>0</v>
      </c>
      <c r="P24" s="20" t="str">
        <f t="shared" si="11"/>
        <v/>
      </c>
      <c r="Q24" s="20">
        <v>9</v>
      </c>
    </row>
    <row r="25" spans="1:17" x14ac:dyDescent="0.3">
      <c r="A25" s="8">
        <f t="shared" si="8"/>
        <v>10</v>
      </c>
      <c r="B25" s="8">
        <f t="shared" si="9"/>
        <v>10</v>
      </c>
      <c r="C25" s="8">
        <f t="shared" si="10"/>
        <v>8</v>
      </c>
      <c r="D25" s="8" t="str">
        <f>IF(模拟!B14&lt;&gt;0,模拟!B14&amp;Q25,0)</f>
        <v>坦克10</v>
      </c>
      <c r="E25" s="8">
        <f>A22</f>
        <v>0</v>
      </c>
      <c r="F25" s="8">
        <f>A19</f>
        <v>0</v>
      </c>
      <c r="G25" s="8">
        <f>A23</f>
        <v>8</v>
      </c>
      <c r="H25" s="8">
        <f>A16</f>
        <v>1</v>
      </c>
      <c r="I25" s="8">
        <f>A20</f>
        <v>5</v>
      </c>
      <c r="J25" s="8">
        <f>A24</f>
        <v>0</v>
      </c>
      <c r="K25" s="8">
        <f>A17</f>
        <v>2</v>
      </c>
      <c r="L25" s="8">
        <f>A21</f>
        <v>0</v>
      </c>
      <c r="M25" s="8">
        <f>A18</f>
        <v>3</v>
      </c>
      <c r="O25" s="8">
        <f>IF(P25="",0,SUM($P$25:P25))</f>
        <v>1</v>
      </c>
      <c r="P25" s="8">
        <f t="shared" si="11"/>
        <v>1</v>
      </c>
      <c r="Q25" s="8">
        <v>10</v>
      </c>
    </row>
    <row r="26" spans="1:17" x14ac:dyDescent="0.3">
      <c r="A26" s="8">
        <f t="shared" si="8"/>
        <v>11</v>
      </c>
      <c r="B26" s="8">
        <f t="shared" si="9"/>
        <v>11</v>
      </c>
      <c r="C26" s="8">
        <f t="shared" si="10"/>
        <v>8</v>
      </c>
      <c r="D26" s="8" t="str">
        <f>IF(模拟!D14&lt;&gt;0,模拟!D14&amp;Q26,0)</f>
        <v>坦克11</v>
      </c>
      <c r="E26" s="8">
        <f>A23</f>
        <v>8</v>
      </c>
      <c r="F26" s="8">
        <f>A20</f>
        <v>5</v>
      </c>
      <c r="G26" s="8">
        <f>A24</f>
        <v>0</v>
      </c>
      <c r="H26" s="8">
        <f>A22</f>
        <v>0</v>
      </c>
      <c r="I26" s="8">
        <f>A17</f>
        <v>2</v>
      </c>
      <c r="J26" s="8">
        <f>A21</f>
        <v>0</v>
      </c>
      <c r="K26" s="8">
        <f>A19</f>
        <v>0</v>
      </c>
      <c r="L26" s="8">
        <f>A18</f>
        <v>3</v>
      </c>
      <c r="M26" s="8">
        <f>A16</f>
        <v>1</v>
      </c>
      <c r="O26" s="8">
        <f>IF(P26="",0,SUM($P$25:P26))</f>
        <v>2</v>
      </c>
      <c r="P26" s="8">
        <f t="shared" si="11"/>
        <v>1</v>
      </c>
      <c r="Q26" s="8">
        <v>11</v>
      </c>
    </row>
    <row r="27" spans="1:17" x14ac:dyDescent="0.3">
      <c r="A27" s="8">
        <f t="shared" si="8"/>
        <v>12</v>
      </c>
      <c r="B27" s="8">
        <f t="shared" si="9"/>
        <v>12</v>
      </c>
      <c r="C27" s="8">
        <f t="shared" si="10"/>
        <v>8</v>
      </c>
      <c r="D27" s="8" t="str">
        <f>IF(模拟!F14&lt;&gt;0,模拟!F14&amp;Q27,0)</f>
        <v>坦克12</v>
      </c>
      <c r="E27" s="8">
        <f>A24</f>
        <v>0</v>
      </c>
      <c r="F27" s="8">
        <f>A21</f>
        <v>0</v>
      </c>
      <c r="G27" s="8">
        <f>A23</f>
        <v>8</v>
      </c>
      <c r="H27" s="8">
        <f>A18</f>
        <v>3</v>
      </c>
      <c r="I27" s="8">
        <f>A20</f>
        <v>5</v>
      </c>
      <c r="J27" s="8">
        <f>A22</f>
        <v>0</v>
      </c>
      <c r="K27" s="8">
        <f>A17</f>
        <v>2</v>
      </c>
      <c r="L27" s="8">
        <f>A19</f>
        <v>0</v>
      </c>
      <c r="M27" s="8">
        <f>A16</f>
        <v>1</v>
      </c>
      <c r="O27" s="8">
        <f>IF(P27="",0,SUM($P$25:P27))</f>
        <v>3</v>
      </c>
      <c r="P27" s="8">
        <f t="shared" si="11"/>
        <v>1</v>
      </c>
      <c r="Q27" s="8">
        <v>12</v>
      </c>
    </row>
    <row r="28" spans="1:17" x14ac:dyDescent="0.3">
      <c r="A28" s="61">
        <f t="shared" si="8"/>
        <v>0</v>
      </c>
      <c r="B28" s="61">
        <f t="shared" si="9"/>
        <v>0</v>
      </c>
      <c r="C28" s="61">
        <f t="shared" si="10"/>
        <v>8</v>
      </c>
      <c r="D28" s="61">
        <f>IF(模拟!B17&lt;&gt;0,模拟!B17&amp;Q28,0)</f>
        <v>0</v>
      </c>
      <c r="E28" s="61">
        <f t="shared" ref="E28:M28" si="16">E25</f>
        <v>0</v>
      </c>
      <c r="F28" s="61">
        <f t="shared" si="16"/>
        <v>0</v>
      </c>
      <c r="G28" s="61">
        <f t="shared" si="16"/>
        <v>8</v>
      </c>
      <c r="H28" s="61">
        <f t="shared" si="16"/>
        <v>1</v>
      </c>
      <c r="I28" s="61">
        <f t="shared" si="16"/>
        <v>5</v>
      </c>
      <c r="J28" s="61">
        <f t="shared" si="16"/>
        <v>0</v>
      </c>
      <c r="K28" s="61">
        <f t="shared" si="16"/>
        <v>2</v>
      </c>
      <c r="L28" s="61">
        <f t="shared" si="16"/>
        <v>0</v>
      </c>
      <c r="M28" s="61">
        <f t="shared" si="16"/>
        <v>3</v>
      </c>
      <c r="O28" s="61">
        <f>IF(P28="",0,SUM($P$25:P28))</f>
        <v>0</v>
      </c>
      <c r="P28" s="61" t="str">
        <f t="shared" si="11"/>
        <v/>
      </c>
      <c r="Q28" s="61">
        <v>13</v>
      </c>
    </row>
    <row r="29" spans="1:17" x14ac:dyDescent="0.3">
      <c r="A29" s="61">
        <f t="shared" si="8"/>
        <v>14</v>
      </c>
      <c r="B29" s="61">
        <f t="shared" si="9"/>
        <v>14</v>
      </c>
      <c r="C29" s="61">
        <f t="shared" si="10"/>
        <v>8</v>
      </c>
      <c r="D29" s="61" t="str">
        <f>IF(模拟!D17&lt;&gt;0,模拟!D17&amp;Q29,0)</f>
        <v>法师14</v>
      </c>
      <c r="E29" s="61">
        <f t="shared" ref="E29:M29" si="17">E26</f>
        <v>8</v>
      </c>
      <c r="F29" s="61">
        <f t="shared" si="17"/>
        <v>5</v>
      </c>
      <c r="G29" s="61">
        <f t="shared" si="17"/>
        <v>0</v>
      </c>
      <c r="H29" s="61">
        <f t="shared" si="17"/>
        <v>0</v>
      </c>
      <c r="I29" s="61">
        <f t="shared" si="17"/>
        <v>2</v>
      </c>
      <c r="J29" s="61">
        <f t="shared" si="17"/>
        <v>0</v>
      </c>
      <c r="K29" s="61">
        <f t="shared" si="17"/>
        <v>0</v>
      </c>
      <c r="L29" s="61">
        <f t="shared" si="17"/>
        <v>3</v>
      </c>
      <c r="M29" s="61">
        <f t="shared" si="17"/>
        <v>1</v>
      </c>
      <c r="O29" s="61">
        <f>IF(P29="",0,SUM($P$25:P29))</f>
        <v>4</v>
      </c>
      <c r="P29" s="61">
        <f t="shared" si="11"/>
        <v>1</v>
      </c>
      <c r="Q29" s="61">
        <v>14</v>
      </c>
    </row>
    <row r="30" spans="1:17" x14ac:dyDescent="0.3">
      <c r="A30" s="61">
        <f t="shared" si="8"/>
        <v>0</v>
      </c>
      <c r="B30" s="61">
        <f t="shared" si="9"/>
        <v>0</v>
      </c>
      <c r="C30" s="61">
        <f t="shared" si="10"/>
        <v>8</v>
      </c>
      <c r="D30" s="61">
        <f>IF(模拟!F17&lt;&gt;0,模拟!F17&amp;Q30,0)</f>
        <v>0</v>
      </c>
      <c r="E30" s="61">
        <f t="shared" ref="E30:M30" si="18">E27</f>
        <v>0</v>
      </c>
      <c r="F30" s="61">
        <f t="shared" si="18"/>
        <v>0</v>
      </c>
      <c r="G30" s="61">
        <f t="shared" si="18"/>
        <v>8</v>
      </c>
      <c r="H30" s="61">
        <f t="shared" si="18"/>
        <v>3</v>
      </c>
      <c r="I30" s="61">
        <f t="shared" si="18"/>
        <v>5</v>
      </c>
      <c r="J30" s="61">
        <f t="shared" si="18"/>
        <v>0</v>
      </c>
      <c r="K30" s="61">
        <f t="shared" si="18"/>
        <v>2</v>
      </c>
      <c r="L30" s="61">
        <f t="shared" si="18"/>
        <v>0</v>
      </c>
      <c r="M30" s="61">
        <f t="shared" si="18"/>
        <v>1</v>
      </c>
      <c r="O30" s="61">
        <f>IF(P30="",0,SUM($P$25:P30))</f>
        <v>0</v>
      </c>
      <c r="P30" s="61" t="str">
        <f t="shared" si="11"/>
        <v/>
      </c>
      <c r="Q30" s="61">
        <v>15</v>
      </c>
    </row>
    <row r="31" spans="1:17" x14ac:dyDescent="0.3">
      <c r="A31" s="8">
        <f t="shared" si="8"/>
        <v>0</v>
      </c>
      <c r="B31" s="8">
        <f t="shared" si="9"/>
        <v>0</v>
      </c>
      <c r="C31" s="8">
        <f t="shared" si="10"/>
        <v>8</v>
      </c>
      <c r="D31" s="8">
        <f>IF(模拟!B20&lt;&gt;0,模拟!B20&amp;Q31,0)</f>
        <v>0</v>
      </c>
      <c r="E31" s="8">
        <f t="shared" ref="E31:M31" si="19">E28</f>
        <v>0</v>
      </c>
      <c r="F31" s="8">
        <f t="shared" si="19"/>
        <v>0</v>
      </c>
      <c r="G31" s="8">
        <f t="shared" si="19"/>
        <v>8</v>
      </c>
      <c r="H31" s="8">
        <f t="shared" si="19"/>
        <v>1</v>
      </c>
      <c r="I31" s="8">
        <f t="shared" si="19"/>
        <v>5</v>
      </c>
      <c r="J31" s="8">
        <f t="shared" si="19"/>
        <v>0</v>
      </c>
      <c r="K31" s="8">
        <f t="shared" si="19"/>
        <v>2</v>
      </c>
      <c r="L31" s="8">
        <f t="shared" si="19"/>
        <v>0</v>
      </c>
      <c r="M31" s="8">
        <f t="shared" si="19"/>
        <v>3</v>
      </c>
      <c r="O31" s="8">
        <f>IF(P31="",0,SUM($P$25:P31))</f>
        <v>0</v>
      </c>
      <c r="P31" s="8" t="str">
        <f t="shared" si="11"/>
        <v/>
      </c>
      <c r="Q31" s="8">
        <v>16</v>
      </c>
    </row>
    <row r="32" spans="1:17" x14ac:dyDescent="0.3">
      <c r="A32" s="8">
        <f t="shared" si="8"/>
        <v>17</v>
      </c>
      <c r="B32" s="8">
        <f t="shared" si="9"/>
        <v>17</v>
      </c>
      <c r="C32" s="8">
        <f t="shared" si="10"/>
        <v>8</v>
      </c>
      <c r="D32" s="8" t="str">
        <f>IF(模拟!D20&lt;&gt;0,模拟!D20&amp;Q32,0)</f>
        <v>法师17</v>
      </c>
      <c r="E32" s="8">
        <f t="shared" ref="E32:M32" si="20">E29</f>
        <v>8</v>
      </c>
      <c r="F32" s="8">
        <f t="shared" si="20"/>
        <v>5</v>
      </c>
      <c r="G32" s="8">
        <f t="shared" si="20"/>
        <v>0</v>
      </c>
      <c r="H32" s="8">
        <f t="shared" si="20"/>
        <v>0</v>
      </c>
      <c r="I32" s="8">
        <f t="shared" si="20"/>
        <v>2</v>
      </c>
      <c r="J32" s="8">
        <f t="shared" si="20"/>
        <v>0</v>
      </c>
      <c r="K32" s="8">
        <f t="shared" si="20"/>
        <v>0</v>
      </c>
      <c r="L32" s="8">
        <f t="shared" si="20"/>
        <v>3</v>
      </c>
      <c r="M32" s="8">
        <f t="shared" si="20"/>
        <v>1</v>
      </c>
      <c r="O32" s="8">
        <f>IF(P32="",0,SUM($P$25:P32))</f>
        <v>5</v>
      </c>
      <c r="P32" s="8">
        <f t="shared" si="11"/>
        <v>1</v>
      </c>
      <c r="Q32" s="8">
        <v>17</v>
      </c>
    </row>
    <row r="33" spans="1:17" x14ac:dyDescent="0.3">
      <c r="A33" s="8">
        <f t="shared" si="8"/>
        <v>0</v>
      </c>
      <c r="B33" s="8">
        <f t="shared" si="9"/>
        <v>0</v>
      </c>
      <c r="C33" s="8">
        <f t="shared" si="10"/>
        <v>8</v>
      </c>
      <c r="D33" s="8">
        <f>IF(模拟!F20&lt;&gt;0,模拟!F20&amp;Q33,0)</f>
        <v>0</v>
      </c>
      <c r="E33" s="8">
        <f t="shared" ref="E33:M33" si="21">E30</f>
        <v>0</v>
      </c>
      <c r="F33" s="8">
        <f t="shared" si="21"/>
        <v>0</v>
      </c>
      <c r="G33" s="8">
        <f t="shared" si="21"/>
        <v>8</v>
      </c>
      <c r="H33" s="8">
        <f t="shared" si="21"/>
        <v>3</v>
      </c>
      <c r="I33" s="8">
        <f t="shared" si="21"/>
        <v>5</v>
      </c>
      <c r="J33" s="8">
        <f t="shared" si="21"/>
        <v>0</v>
      </c>
      <c r="K33" s="8">
        <f t="shared" si="21"/>
        <v>2</v>
      </c>
      <c r="L33" s="8">
        <f t="shared" si="21"/>
        <v>0</v>
      </c>
      <c r="M33" s="8">
        <f t="shared" si="21"/>
        <v>1</v>
      </c>
      <c r="O33" s="8">
        <f>IF(P33="",0,SUM($P$25:P33))</f>
        <v>0</v>
      </c>
      <c r="P33" s="8" t="str">
        <f t="shared" si="11"/>
        <v/>
      </c>
      <c r="Q33" s="8">
        <v>18</v>
      </c>
    </row>
    <row r="36" spans="1:17" x14ac:dyDescent="0.3">
      <c r="A36" s="16" t="s">
        <v>165</v>
      </c>
      <c r="B36" s="16"/>
      <c r="C36" s="16" t="s">
        <v>155</v>
      </c>
      <c r="E36" s="16" t="s">
        <v>156</v>
      </c>
      <c r="F36" s="16" t="s">
        <v>157</v>
      </c>
      <c r="G36" s="16" t="s">
        <v>158</v>
      </c>
      <c r="H36" s="16" t="s">
        <v>159</v>
      </c>
      <c r="I36" s="16" t="s">
        <v>160</v>
      </c>
      <c r="J36" s="16" t="s">
        <v>161</v>
      </c>
      <c r="K36" s="16" t="s">
        <v>162</v>
      </c>
      <c r="L36" s="16" t="s">
        <v>163</v>
      </c>
      <c r="M36" s="16" t="s">
        <v>164</v>
      </c>
    </row>
    <row r="37" spans="1:17" x14ac:dyDescent="0.3">
      <c r="A37" s="20">
        <f t="shared" ref="A37:A54" si="22">A16</f>
        <v>1</v>
      </c>
      <c r="B37" s="20"/>
      <c r="C37" s="5">
        <f>IF(E37&lt;&gt;0,E37,IF(F37&lt;&gt;0,F37,IF(G37&lt;&gt;0,G37,IF(H37&lt;&gt;0,H37,IF(I37&lt;&gt;0,I37,IF(J37&lt;&gt;0,J37,IF(K37&lt;&gt;0,K37,IF(L37&lt;&gt;0,L37,IF(M37&lt;&gt;0,M37,)))))))))</f>
        <v>10</v>
      </c>
      <c r="E37" s="20">
        <f>A46</f>
        <v>10</v>
      </c>
      <c r="F37" s="20">
        <f>A47</f>
        <v>11</v>
      </c>
      <c r="G37" s="20">
        <f>A48</f>
        <v>12</v>
      </c>
      <c r="H37" s="20">
        <f>A49</f>
        <v>0</v>
      </c>
      <c r="I37" s="20">
        <f>A50</f>
        <v>14</v>
      </c>
      <c r="J37" s="20">
        <f>A51</f>
        <v>0</v>
      </c>
      <c r="K37" s="20">
        <f>A52</f>
        <v>0</v>
      </c>
      <c r="L37" s="20">
        <f>A53</f>
        <v>17</v>
      </c>
      <c r="M37" s="20">
        <f>A54</f>
        <v>0</v>
      </c>
    </row>
    <row r="38" spans="1:17" x14ac:dyDescent="0.3">
      <c r="A38" s="20">
        <f t="shared" si="22"/>
        <v>2</v>
      </c>
      <c r="B38" s="20"/>
      <c r="C38" s="5">
        <f t="shared" ref="C38:C54" si="23">IF(E38&lt;&gt;0,E38,IF(F38&lt;&gt;0,F38,IF(G38&lt;&gt;0,G38,IF(H38&lt;&gt;0,H38,IF(I38&lt;&gt;0,I38,IF(J38&lt;&gt;0,J38,IF(K38&lt;&gt;0,K38,IF(L38&lt;&gt;0,L38,IF(M38&lt;&gt;0,M38,)))))))))</f>
        <v>11</v>
      </c>
      <c r="E38" s="20">
        <f>A47</f>
        <v>11</v>
      </c>
      <c r="F38" s="20">
        <f>A48</f>
        <v>12</v>
      </c>
      <c r="G38" s="20">
        <f>A46</f>
        <v>10</v>
      </c>
      <c r="H38" s="20">
        <f>A50</f>
        <v>14</v>
      </c>
      <c r="I38" s="20">
        <f>A51</f>
        <v>0</v>
      </c>
      <c r="J38" s="20">
        <f>A49</f>
        <v>0</v>
      </c>
      <c r="K38" s="20">
        <f>A53</f>
        <v>17</v>
      </c>
      <c r="L38" s="20">
        <f>A54</f>
        <v>0</v>
      </c>
      <c r="M38" s="20">
        <f>A52</f>
        <v>0</v>
      </c>
    </row>
    <row r="39" spans="1:17" x14ac:dyDescent="0.3">
      <c r="A39" s="20">
        <f t="shared" si="22"/>
        <v>3</v>
      </c>
      <c r="B39" s="20"/>
      <c r="C39" s="5">
        <f t="shared" si="23"/>
        <v>12</v>
      </c>
      <c r="E39" s="20">
        <f>A48</f>
        <v>12</v>
      </c>
      <c r="F39" s="20">
        <f>A47</f>
        <v>11</v>
      </c>
      <c r="G39" s="20">
        <f>A46</f>
        <v>10</v>
      </c>
      <c r="H39" s="20">
        <f>A51</f>
        <v>0</v>
      </c>
      <c r="I39" s="20">
        <f>A50</f>
        <v>14</v>
      </c>
      <c r="J39" s="20">
        <f>A49</f>
        <v>0</v>
      </c>
      <c r="K39" s="20">
        <f>A54</f>
        <v>0</v>
      </c>
      <c r="L39" s="20">
        <f>A53</f>
        <v>17</v>
      </c>
      <c r="M39" s="20">
        <f>A52</f>
        <v>0</v>
      </c>
    </row>
    <row r="40" spans="1:17" x14ac:dyDescent="0.3">
      <c r="A40" s="68">
        <f t="shared" si="22"/>
        <v>0</v>
      </c>
      <c r="B40" s="68"/>
      <c r="C40" s="68">
        <f t="shared" si="23"/>
        <v>10</v>
      </c>
      <c r="E40" s="68">
        <f>E37</f>
        <v>10</v>
      </c>
      <c r="F40" s="68">
        <f>G37</f>
        <v>12</v>
      </c>
      <c r="G40" s="68">
        <f>H37</f>
        <v>0</v>
      </c>
      <c r="H40" s="68">
        <f>F37</f>
        <v>11</v>
      </c>
      <c r="I40" s="68">
        <f t="shared" ref="I40:M40" si="24">I37</f>
        <v>14</v>
      </c>
      <c r="J40" s="68">
        <f t="shared" si="24"/>
        <v>0</v>
      </c>
      <c r="K40" s="68">
        <f t="shared" si="24"/>
        <v>0</v>
      </c>
      <c r="L40" s="68">
        <f t="shared" si="24"/>
        <v>17</v>
      </c>
      <c r="M40" s="68">
        <f t="shared" si="24"/>
        <v>0</v>
      </c>
    </row>
    <row r="41" spans="1:17" x14ac:dyDescent="0.3">
      <c r="A41" s="68">
        <f t="shared" si="22"/>
        <v>5</v>
      </c>
      <c r="B41" s="68"/>
      <c r="C41" s="68">
        <f t="shared" si="23"/>
        <v>11</v>
      </c>
      <c r="E41" s="68">
        <f t="shared" ref="E41:M41" si="25">E38</f>
        <v>11</v>
      </c>
      <c r="F41" s="68">
        <f t="shared" si="25"/>
        <v>12</v>
      </c>
      <c r="G41" s="68">
        <f t="shared" si="25"/>
        <v>10</v>
      </c>
      <c r="H41" s="68">
        <f t="shared" si="25"/>
        <v>14</v>
      </c>
      <c r="I41" s="68">
        <f t="shared" si="25"/>
        <v>0</v>
      </c>
      <c r="J41" s="68">
        <f t="shared" si="25"/>
        <v>0</v>
      </c>
      <c r="K41" s="68">
        <f t="shared" si="25"/>
        <v>17</v>
      </c>
      <c r="L41" s="68">
        <f t="shared" si="25"/>
        <v>0</v>
      </c>
      <c r="M41" s="68">
        <f t="shared" si="25"/>
        <v>0</v>
      </c>
    </row>
    <row r="42" spans="1:17" x14ac:dyDescent="0.3">
      <c r="A42" s="68">
        <f t="shared" si="22"/>
        <v>0</v>
      </c>
      <c r="B42" s="68"/>
      <c r="C42" s="68">
        <f t="shared" si="23"/>
        <v>12</v>
      </c>
      <c r="E42" s="68">
        <f t="shared" ref="E42:M42" si="26">E39</f>
        <v>12</v>
      </c>
      <c r="F42" s="68">
        <f t="shared" si="26"/>
        <v>11</v>
      </c>
      <c r="G42" s="68">
        <f t="shared" si="26"/>
        <v>10</v>
      </c>
      <c r="H42" s="68">
        <f t="shared" si="26"/>
        <v>0</v>
      </c>
      <c r="I42" s="68">
        <f t="shared" si="26"/>
        <v>14</v>
      </c>
      <c r="J42" s="68">
        <f t="shared" si="26"/>
        <v>0</v>
      </c>
      <c r="K42" s="68">
        <f t="shared" si="26"/>
        <v>0</v>
      </c>
      <c r="L42" s="68">
        <f t="shared" si="26"/>
        <v>17</v>
      </c>
      <c r="M42" s="68">
        <f t="shared" si="26"/>
        <v>0</v>
      </c>
    </row>
    <row r="43" spans="1:17" x14ac:dyDescent="0.3">
      <c r="A43" s="20">
        <f t="shared" si="22"/>
        <v>0</v>
      </c>
      <c r="B43" s="20"/>
      <c r="C43" s="5">
        <f t="shared" si="23"/>
        <v>10</v>
      </c>
      <c r="E43" s="20">
        <f>E37</f>
        <v>10</v>
      </c>
      <c r="F43" s="20">
        <f>G37</f>
        <v>12</v>
      </c>
      <c r="G43" s="20">
        <f>H37</f>
        <v>0</v>
      </c>
      <c r="H43" s="20">
        <f>F37</f>
        <v>11</v>
      </c>
      <c r="I43" s="20">
        <f t="shared" ref="I43:M43" si="27">I37</f>
        <v>14</v>
      </c>
      <c r="J43" s="20">
        <f t="shared" si="27"/>
        <v>0</v>
      </c>
      <c r="K43" s="20">
        <f t="shared" si="27"/>
        <v>0</v>
      </c>
      <c r="L43" s="20">
        <f t="shared" si="27"/>
        <v>17</v>
      </c>
      <c r="M43" s="20">
        <f t="shared" si="27"/>
        <v>0</v>
      </c>
    </row>
    <row r="44" spans="1:17" x14ac:dyDescent="0.3">
      <c r="A44" s="20">
        <f t="shared" si="22"/>
        <v>8</v>
      </c>
      <c r="B44" s="20"/>
      <c r="C44" s="5">
        <f t="shared" si="23"/>
        <v>11</v>
      </c>
      <c r="E44" s="20">
        <f t="shared" ref="E44:M44" si="28">E38</f>
        <v>11</v>
      </c>
      <c r="F44" s="20">
        <f t="shared" si="28"/>
        <v>12</v>
      </c>
      <c r="G44" s="20">
        <f t="shared" si="28"/>
        <v>10</v>
      </c>
      <c r="H44" s="20">
        <f t="shared" si="28"/>
        <v>14</v>
      </c>
      <c r="I44" s="20">
        <f t="shared" si="28"/>
        <v>0</v>
      </c>
      <c r="J44" s="20">
        <f t="shared" si="28"/>
        <v>0</v>
      </c>
      <c r="K44" s="20">
        <f t="shared" si="28"/>
        <v>17</v>
      </c>
      <c r="L44" s="20">
        <f t="shared" si="28"/>
        <v>0</v>
      </c>
      <c r="M44" s="20">
        <f t="shared" si="28"/>
        <v>0</v>
      </c>
    </row>
    <row r="45" spans="1:17" x14ac:dyDescent="0.3">
      <c r="A45" s="20">
        <f t="shared" si="22"/>
        <v>0</v>
      </c>
      <c r="B45" s="20"/>
      <c r="C45" s="5">
        <f t="shared" si="23"/>
        <v>12</v>
      </c>
      <c r="E45" s="20">
        <f t="shared" ref="E45:M45" si="29">E39</f>
        <v>12</v>
      </c>
      <c r="F45" s="20">
        <f t="shared" si="29"/>
        <v>11</v>
      </c>
      <c r="G45" s="20">
        <f t="shared" si="29"/>
        <v>10</v>
      </c>
      <c r="H45" s="20">
        <f t="shared" si="29"/>
        <v>0</v>
      </c>
      <c r="I45" s="20">
        <f t="shared" si="29"/>
        <v>14</v>
      </c>
      <c r="J45" s="20">
        <f t="shared" si="29"/>
        <v>0</v>
      </c>
      <c r="K45" s="20">
        <f t="shared" si="29"/>
        <v>0</v>
      </c>
      <c r="L45" s="20">
        <f t="shared" si="29"/>
        <v>17</v>
      </c>
      <c r="M45" s="20">
        <f t="shared" si="29"/>
        <v>0</v>
      </c>
    </row>
    <row r="46" spans="1:17" x14ac:dyDescent="0.3">
      <c r="A46" s="8">
        <f t="shared" si="22"/>
        <v>10</v>
      </c>
      <c r="B46" s="8"/>
      <c r="C46" s="8">
        <f t="shared" si="23"/>
        <v>8</v>
      </c>
      <c r="E46" s="8">
        <f>A43</f>
        <v>0</v>
      </c>
      <c r="F46" s="8">
        <f>A44</f>
        <v>8</v>
      </c>
      <c r="G46" s="8">
        <f>A45</f>
        <v>0</v>
      </c>
      <c r="H46" s="8">
        <f>A40</f>
        <v>0</v>
      </c>
      <c r="I46" s="8">
        <f>A41</f>
        <v>5</v>
      </c>
      <c r="J46" s="8">
        <f>A42</f>
        <v>0</v>
      </c>
      <c r="K46" s="8">
        <f>A37</f>
        <v>1</v>
      </c>
      <c r="L46" s="8">
        <f>A38</f>
        <v>2</v>
      </c>
      <c r="M46" s="8">
        <f>A39</f>
        <v>3</v>
      </c>
    </row>
    <row r="47" spans="1:17" x14ac:dyDescent="0.3">
      <c r="A47" s="8">
        <f t="shared" si="22"/>
        <v>11</v>
      </c>
      <c r="B47" s="8"/>
      <c r="C47" s="8">
        <f t="shared" si="23"/>
        <v>8</v>
      </c>
      <c r="E47" s="8">
        <f>A44</f>
        <v>8</v>
      </c>
      <c r="F47" s="8">
        <f>A45</f>
        <v>0</v>
      </c>
      <c r="G47" s="8">
        <f>A43</f>
        <v>0</v>
      </c>
      <c r="H47" s="8">
        <f>A41</f>
        <v>5</v>
      </c>
      <c r="I47" s="8">
        <f>A42</f>
        <v>0</v>
      </c>
      <c r="J47" s="8">
        <f>A40</f>
        <v>0</v>
      </c>
      <c r="K47" s="8">
        <f>A38</f>
        <v>2</v>
      </c>
      <c r="L47" s="8">
        <f>A39</f>
        <v>3</v>
      </c>
      <c r="M47" s="8">
        <f>A37</f>
        <v>1</v>
      </c>
    </row>
    <row r="48" spans="1:17" x14ac:dyDescent="0.3">
      <c r="A48" s="8">
        <f t="shared" si="22"/>
        <v>12</v>
      </c>
      <c r="B48" s="8"/>
      <c r="C48" s="8">
        <f t="shared" si="23"/>
        <v>8</v>
      </c>
      <c r="E48" s="8">
        <f>A45</f>
        <v>0</v>
      </c>
      <c r="F48" s="8">
        <f>A44</f>
        <v>8</v>
      </c>
      <c r="G48" s="8">
        <f>A43</f>
        <v>0</v>
      </c>
      <c r="H48" s="8">
        <f>A42</f>
        <v>0</v>
      </c>
      <c r="I48" s="8">
        <f>A41</f>
        <v>5</v>
      </c>
      <c r="J48" s="8">
        <f>A40</f>
        <v>0</v>
      </c>
      <c r="K48" s="8">
        <f>A39</f>
        <v>3</v>
      </c>
      <c r="L48" s="8">
        <f>A38</f>
        <v>2</v>
      </c>
      <c r="M48" s="8">
        <f>A37</f>
        <v>1</v>
      </c>
    </row>
    <row r="49" spans="1:13" x14ac:dyDescent="0.3">
      <c r="A49" s="61">
        <f t="shared" si="22"/>
        <v>0</v>
      </c>
      <c r="B49" s="61"/>
      <c r="C49" s="61">
        <f t="shared" si="23"/>
        <v>8</v>
      </c>
      <c r="E49" s="61">
        <f>E46</f>
        <v>0</v>
      </c>
      <c r="F49" s="61">
        <f t="shared" ref="F49:M49" si="30">F46</f>
        <v>8</v>
      </c>
      <c r="G49" s="61">
        <f t="shared" si="30"/>
        <v>0</v>
      </c>
      <c r="H49" s="61">
        <f t="shared" si="30"/>
        <v>0</v>
      </c>
      <c r="I49" s="61">
        <f t="shared" si="30"/>
        <v>5</v>
      </c>
      <c r="J49" s="61">
        <f t="shared" si="30"/>
        <v>0</v>
      </c>
      <c r="K49" s="61">
        <f t="shared" si="30"/>
        <v>1</v>
      </c>
      <c r="L49" s="61">
        <f t="shared" si="30"/>
        <v>2</v>
      </c>
      <c r="M49" s="61">
        <f t="shared" si="30"/>
        <v>3</v>
      </c>
    </row>
    <row r="50" spans="1:13" x14ac:dyDescent="0.3">
      <c r="A50" s="61">
        <f t="shared" si="22"/>
        <v>14</v>
      </c>
      <c r="B50" s="61"/>
      <c r="C50" s="61">
        <f t="shared" si="23"/>
        <v>8</v>
      </c>
      <c r="E50" s="61">
        <f t="shared" ref="E50:M50" si="31">E47</f>
        <v>8</v>
      </c>
      <c r="F50" s="61">
        <f t="shared" si="31"/>
        <v>0</v>
      </c>
      <c r="G50" s="61">
        <f t="shared" si="31"/>
        <v>0</v>
      </c>
      <c r="H50" s="61">
        <f t="shared" si="31"/>
        <v>5</v>
      </c>
      <c r="I50" s="61">
        <f t="shared" si="31"/>
        <v>0</v>
      </c>
      <c r="J50" s="61">
        <f t="shared" si="31"/>
        <v>0</v>
      </c>
      <c r="K50" s="61">
        <f t="shared" si="31"/>
        <v>2</v>
      </c>
      <c r="L50" s="61">
        <f t="shared" si="31"/>
        <v>3</v>
      </c>
      <c r="M50" s="61">
        <f t="shared" si="31"/>
        <v>1</v>
      </c>
    </row>
    <row r="51" spans="1:13" x14ac:dyDescent="0.3">
      <c r="A51" s="61">
        <f t="shared" si="22"/>
        <v>0</v>
      </c>
      <c r="B51" s="61"/>
      <c r="C51" s="61">
        <f t="shared" si="23"/>
        <v>8</v>
      </c>
      <c r="E51" s="61">
        <f t="shared" ref="E51:M51" si="32">E48</f>
        <v>0</v>
      </c>
      <c r="F51" s="61">
        <f t="shared" si="32"/>
        <v>8</v>
      </c>
      <c r="G51" s="61">
        <f t="shared" si="32"/>
        <v>0</v>
      </c>
      <c r="H51" s="61">
        <f t="shared" si="32"/>
        <v>0</v>
      </c>
      <c r="I51" s="61">
        <f t="shared" si="32"/>
        <v>5</v>
      </c>
      <c r="J51" s="61">
        <f t="shared" si="32"/>
        <v>0</v>
      </c>
      <c r="K51" s="61">
        <f t="shared" si="32"/>
        <v>3</v>
      </c>
      <c r="L51" s="61">
        <f t="shared" si="32"/>
        <v>2</v>
      </c>
      <c r="M51" s="61">
        <f t="shared" si="32"/>
        <v>1</v>
      </c>
    </row>
    <row r="52" spans="1:13" x14ac:dyDescent="0.3">
      <c r="A52" s="8">
        <f t="shared" si="22"/>
        <v>0</v>
      </c>
      <c r="B52" s="8"/>
      <c r="C52" s="8">
        <f t="shared" si="23"/>
        <v>8</v>
      </c>
      <c r="E52" s="8">
        <f>E49</f>
        <v>0</v>
      </c>
      <c r="F52" s="8">
        <f t="shared" ref="F52:M52" si="33">F49</f>
        <v>8</v>
      </c>
      <c r="G52" s="8">
        <f t="shared" si="33"/>
        <v>0</v>
      </c>
      <c r="H52" s="8">
        <f t="shared" si="33"/>
        <v>0</v>
      </c>
      <c r="I52" s="8">
        <f t="shared" si="33"/>
        <v>5</v>
      </c>
      <c r="J52" s="8">
        <f t="shared" si="33"/>
        <v>0</v>
      </c>
      <c r="K52" s="8">
        <f t="shared" si="33"/>
        <v>1</v>
      </c>
      <c r="L52" s="8">
        <f t="shared" si="33"/>
        <v>2</v>
      </c>
      <c r="M52" s="8">
        <f t="shared" si="33"/>
        <v>3</v>
      </c>
    </row>
    <row r="53" spans="1:13" x14ac:dyDescent="0.3">
      <c r="A53" s="8">
        <f t="shared" si="22"/>
        <v>17</v>
      </c>
      <c r="B53" s="8"/>
      <c r="C53" s="8">
        <f t="shared" si="23"/>
        <v>8</v>
      </c>
      <c r="E53" s="8">
        <f t="shared" ref="E53:M53" si="34">E50</f>
        <v>8</v>
      </c>
      <c r="F53" s="8">
        <f t="shared" si="34"/>
        <v>0</v>
      </c>
      <c r="G53" s="8">
        <f t="shared" si="34"/>
        <v>0</v>
      </c>
      <c r="H53" s="8">
        <f t="shared" si="34"/>
        <v>5</v>
      </c>
      <c r="I53" s="8">
        <f t="shared" si="34"/>
        <v>0</v>
      </c>
      <c r="J53" s="8">
        <f t="shared" si="34"/>
        <v>0</v>
      </c>
      <c r="K53" s="8">
        <f t="shared" si="34"/>
        <v>2</v>
      </c>
      <c r="L53" s="8">
        <f t="shared" si="34"/>
        <v>3</v>
      </c>
      <c r="M53" s="8">
        <f t="shared" si="34"/>
        <v>1</v>
      </c>
    </row>
    <row r="54" spans="1:13" x14ac:dyDescent="0.3">
      <c r="A54" s="8">
        <f t="shared" si="22"/>
        <v>0</v>
      </c>
      <c r="B54" s="8"/>
      <c r="C54" s="8">
        <f t="shared" si="23"/>
        <v>8</v>
      </c>
      <c r="E54" s="8">
        <f t="shared" ref="E54:M54" si="35">E51</f>
        <v>0</v>
      </c>
      <c r="F54" s="8">
        <f t="shared" si="35"/>
        <v>8</v>
      </c>
      <c r="G54" s="8">
        <f t="shared" si="35"/>
        <v>0</v>
      </c>
      <c r="H54" s="8">
        <f t="shared" si="35"/>
        <v>0</v>
      </c>
      <c r="I54" s="8">
        <f t="shared" si="35"/>
        <v>5</v>
      </c>
      <c r="J54" s="8">
        <f t="shared" si="35"/>
        <v>0</v>
      </c>
      <c r="K54" s="8">
        <f t="shared" si="35"/>
        <v>3</v>
      </c>
      <c r="L54" s="8">
        <f t="shared" si="35"/>
        <v>2</v>
      </c>
      <c r="M54" s="8">
        <f t="shared" si="35"/>
        <v>1</v>
      </c>
    </row>
    <row r="78755" spans="8:8" x14ac:dyDescent="0.3">
      <c r="H78755" s="1">
        <v>157500</v>
      </c>
    </row>
    <row r="103118" spans="8:8" x14ac:dyDescent="0.3">
      <c r="H103118" s="1">
        <v>157500</v>
      </c>
    </row>
    <row r="107426" spans="8:8" x14ac:dyDescent="0.3">
      <c r="H107426" s="1">
        <v>133121.5</v>
      </c>
    </row>
    <row r="133126" spans="8:8" x14ac:dyDescent="0.3">
      <c r="H133126" s="1">
        <v>157500</v>
      </c>
    </row>
    <row r="157505" spans="8:8" x14ac:dyDescent="0.3">
      <c r="H157505" s="1">
        <v>133121.5</v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7 H26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规划</vt:lpstr>
      <vt:lpstr>模拟</vt:lpstr>
      <vt:lpstr>数据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playcrab</cp:lastModifiedBy>
  <dcterms:created xsi:type="dcterms:W3CDTF">2006-09-16T00:00:00Z</dcterms:created>
  <dcterms:modified xsi:type="dcterms:W3CDTF">2017-09-20T10:24:15Z</dcterms:modified>
</cp:coreProperties>
</file>